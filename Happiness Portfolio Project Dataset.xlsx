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jaelinrippe/Downloads/"/>
    </mc:Choice>
  </mc:AlternateContent>
  <xr:revisionPtr revIDLastSave="0" documentId="8_{B763D7D4-A312-5A41-B28A-77C69574846D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Info" sheetId="1" r:id="rId1"/>
    <sheet name="raw_data" sheetId="2" state="hidden" r:id="rId2"/>
    <sheet name="whr" sheetId="3" r:id="rId3"/>
    <sheet name="country region mapping" sheetId="4" r:id="rId4"/>
    <sheet name="jdr" sheetId="5" r:id="rId5"/>
    <sheet name="jdr_habitavgs" sheetId="6" r:id="rId6"/>
  </sheets>
  <definedNames>
    <definedName name="_xlnm._FilterDatabase" localSheetId="4" hidden="1">jdr!$A$1:$G$261</definedName>
    <definedName name="_xlnm._FilterDatabase" localSheetId="1" hidden="1">raw_data!$A$1:$Y$1662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6" l="1"/>
  <c r="C5" i="6"/>
  <c r="C4" i="6"/>
  <c r="C3" i="6"/>
  <c r="C2" i="6"/>
  <c r="F1640" i="3" a="1"/>
  <c r="F1640" i="3" s="1"/>
  <c r="E1640" i="3" a="1"/>
  <c r="E1640" i="3" s="1"/>
  <c r="D1640" i="3" a="1"/>
  <c r="D1640" i="3" s="1"/>
  <c r="F1639" i="3" a="1"/>
  <c r="F1639" i="3" s="1"/>
  <c r="E1639" i="3" a="1"/>
  <c r="E1639" i="3" s="1"/>
  <c r="D1639" i="3" a="1"/>
  <c r="D1639" i="3" s="1"/>
  <c r="F1638" i="3" a="1"/>
  <c r="F1638" i="3" s="1"/>
  <c r="E1638" i="3" a="1"/>
  <c r="E1638" i="3" s="1"/>
  <c r="D1638" i="3" a="1"/>
  <c r="D1638" i="3" s="1"/>
  <c r="F1637" i="3" a="1"/>
  <c r="F1637" i="3" s="1"/>
  <c r="E1637" i="3" a="1"/>
  <c r="E1637" i="3" s="1"/>
  <c r="D1637" i="3" a="1"/>
  <c r="D1637" i="3" s="1"/>
  <c r="F1636" i="3" a="1"/>
  <c r="F1636" i="3" s="1"/>
  <c r="E1636" i="3" a="1"/>
  <c r="E1636" i="3" s="1"/>
  <c r="D1636" i="3" a="1"/>
  <c r="D1636" i="3" s="1"/>
  <c r="F1635" i="3" a="1"/>
  <c r="F1635" i="3" s="1"/>
  <c r="E1635" i="3" a="1"/>
  <c r="E1635" i="3" s="1"/>
  <c r="D1635" i="3" a="1"/>
  <c r="D1635" i="3" s="1"/>
  <c r="F1634" i="3" a="1"/>
  <c r="F1634" i="3" s="1"/>
  <c r="E1634" i="3" a="1"/>
  <c r="E1634" i="3" s="1"/>
  <c r="D1634" i="3" a="1"/>
  <c r="D1634" i="3" s="1"/>
  <c r="F1633" i="3" a="1"/>
  <c r="F1633" i="3"/>
  <c r="E1633" i="3" a="1"/>
  <c r="E1633" i="3" s="1"/>
  <c r="D1633" i="3" a="1"/>
  <c r="D1633" i="3" s="1"/>
  <c r="F1632" i="3" a="1"/>
  <c r="F1632" i="3" s="1"/>
  <c r="E1632" i="3" a="1"/>
  <c r="E1632" i="3" s="1"/>
  <c r="D1632" i="3" a="1"/>
  <c r="D1632" i="3" s="1"/>
  <c r="F1631" i="3" a="1"/>
  <c r="F1631" i="3"/>
  <c r="E1631" i="3" a="1"/>
  <c r="E1631" i="3" s="1"/>
  <c r="D1631" i="3" a="1"/>
  <c r="D1631" i="3" s="1"/>
  <c r="F1630" i="3" a="1"/>
  <c r="F1630" i="3" s="1"/>
  <c r="E1630" i="3" a="1"/>
  <c r="E1630" i="3" s="1"/>
  <c r="D1630" i="3" a="1"/>
  <c r="D1630" i="3" s="1"/>
  <c r="F1629" i="3" a="1"/>
  <c r="F1629" i="3" s="1"/>
  <c r="E1629" i="3" a="1"/>
  <c r="E1629" i="3" s="1"/>
  <c r="D1629" i="3" a="1"/>
  <c r="D1629" i="3" s="1"/>
  <c r="F1628" i="3" a="1"/>
  <c r="F1628" i="3" s="1"/>
  <c r="E1628" i="3" a="1"/>
  <c r="E1628" i="3" s="1"/>
  <c r="D1628" i="3" a="1"/>
  <c r="D1628" i="3" s="1"/>
  <c r="F1627" i="3" a="1"/>
  <c r="F1627" i="3" s="1"/>
  <c r="E1627" i="3" a="1"/>
  <c r="E1627" i="3" s="1"/>
  <c r="D1627" i="3" a="1"/>
  <c r="D1627" i="3" s="1"/>
  <c r="F1626" i="3" a="1"/>
  <c r="F1626" i="3" s="1"/>
  <c r="E1626" i="3" a="1"/>
  <c r="E1626" i="3" s="1"/>
  <c r="D1626" i="3" a="1"/>
  <c r="D1626" i="3" s="1"/>
  <c r="F1625" i="3" a="1"/>
  <c r="F1625" i="3" s="1"/>
  <c r="E1625" i="3" a="1"/>
  <c r="E1625" i="3" s="1"/>
  <c r="D1625" i="3" a="1"/>
  <c r="D1625" i="3" s="1"/>
  <c r="F1624" i="3" a="1"/>
  <c r="F1624" i="3" s="1"/>
  <c r="E1624" i="3" a="1"/>
  <c r="E1624" i="3" s="1"/>
  <c r="D1624" i="3" a="1"/>
  <c r="D1624" i="3" s="1"/>
  <c r="F1623" i="3" a="1"/>
  <c r="F1623" i="3" s="1"/>
  <c r="E1623" i="3" a="1"/>
  <c r="E1623" i="3" s="1"/>
  <c r="D1623" i="3" a="1"/>
  <c r="D1623" i="3" s="1"/>
  <c r="F1622" i="3" a="1"/>
  <c r="F1622" i="3" s="1"/>
  <c r="E1622" i="3" a="1"/>
  <c r="E1622" i="3" s="1"/>
  <c r="D1622" i="3" a="1"/>
  <c r="D1622" i="3" s="1"/>
  <c r="F1621" i="3" a="1"/>
  <c r="F1621" i="3" s="1"/>
  <c r="E1621" i="3" a="1"/>
  <c r="E1621" i="3"/>
  <c r="D1621" i="3" a="1"/>
  <c r="D1621" i="3" s="1"/>
  <c r="F1620" i="3" a="1"/>
  <c r="F1620" i="3" s="1"/>
  <c r="E1620" i="3" a="1"/>
  <c r="E1620" i="3" s="1"/>
  <c r="D1620" i="3" a="1"/>
  <c r="D1620" i="3" s="1"/>
  <c r="F1619" i="3" a="1"/>
  <c r="F1619" i="3" s="1"/>
  <c r="E1619" i="3" a="1"/>
  <c r="E1619" i="3" s="1"/>
  <c r="D1619" i="3" a="1"/>
  <c r="D1619" i="3" s="1"/>
  <c r="F1618" i="3" a="1"/>
  <c r="F1618" i="3" s="1"/>
  <c r="E1618" i="3" a="1"/>
  <c r="E1618" i="3" s="1"/>
  <c r="D1618" i="3" a="1"/>
  <c r="D1618" i="3" s="1"/>
  <c r="F1617" i="3" a="1"/>
  <c r="F1617" i="3" s="1"/>
  <c r="E1617" i="3" a="1"/>
  <c r="E1617" i="3" s="1"/>
  <c r="D1617" i="3" a="1"/>
  <c r="D1617" i="3" s="1"/>
  <c r="F1616" i="3" a="1"/>
  <c r="F1616" i="3" s="1"/>
  <c r="E1616" i="3" a="1"/>
  <c r="E1616" i="3" s="1"/>
  <c r="D1616" i="3" a="1"/>
  <c r="D1616" i="3"/>
  <c r="F1615" i="3" a="1"/>
  <c r="F1615" i="3" s="1"/>
  <c r="E1615" i="3" a="1"/>
  <c r="E1615" i="3" s="1"/>
  <c r="D1615" i="3" a="1"/>
  <c r="D1615" i="3" s="1"/>
  <c r="F1614" i="3" a="1"/>
  <c r="F1614" i="3" s="1"/>
  <c r="E1614" i="3" a="1"/>
  <c r="E1614" i="3" s="1"/>
  <c r="D1614" i="3" a="1"/>
  <c r="D1614" i="3" s="1"/>
  <c r="F1613" i="3" a="1"/>
  <c r="F1613" i="3" s="1"/>
  <c r="E1613" i="3" a="1"/>
  <c r="E1613" i="3" s="1"/>
  <c r="D1613" i="3" a="1"/>
  <c r="D1613" i="3" s="1"/>
  <c r="F1612" i="3" a="1"/>
  <c r="F1612" i="3" s="1"/>
  <c r="E1612" i="3" a="1"/>
  <c r="E1612" i="3" s="1"/>
  <c r="D1612" i="3" a="1"/>
  <c r="D1612" i="3" s="1"/>
  <c r="F1611" i="3" a="1"/>
  <c r="F1611" i="3" s="1"/>
  <c r="E1611" i="3" a="1"/>
  <c r="E1611" i="3" s="1"/>
  <c r="D1611" i="3" a="1"/>
  <c r="D1611" i="3" s="1"/>
  <c r="F1610" i="3" a="1"/>
  <c r="F1610" i="3" s="1"/>
  <c r="E1610" i="3" a="1"/>
  <c r="E1610" i="3"/>
  <c r="D1610" i="3" a="1"/>
  <c r="D1610" i="3" s="1"/>
  <c r="F1609" i="3" a="1"/>
  <c r="F1609" i="3" s="1"/>
  <c r="E1609" i="3" a="1"/>
  <c r="E1609" i="3" s="1"/>
  <c r="D1609" i="3" a="1"/>
  <c r="D1609" i="3" s="1"/>
  <c r="F1608" i="3" a="1"/>
  <c r="F1608" i="3" s="1"/>
  <c r="E1608" i="3" a="1"/>
  <c r="E1608" i="3" s="1"/>
  <c r="D1608" i="3" a="1"/>
  <c r="D1608" i="3" s="1"/>
  <c r="F1607" i="3" a="1"/>
  <c r="F1607" i="3" s="1"/>
  <c r="E1607" i="3" a="1"/>
  <c r="E1607" i="3" s="1"/>
  <c r="D1607" i="3" a="1"/>
  <c r="D1607" i="3" s="1"/>
  <c r="F1606" i="3" a="1"/>
  <c r="F1606" i="3" s="1"/>
  <c r="E1606" i="3" a="1"/>
  <c r="E1606" i="3" s="1"/>
  <c r="D1606" i="3" a="1"/>
  <c r="D1606" i="3" s="1"/>
  <c r="F1605" i="3" a="1"/>
  <c r="F1605" i="3" s="1"/>
  <c r="E1605" i="3" a="1"/>
  <c r="E1605" i="3"/>
  <c r="D1605" i="3" a="1"/>
  <c r="D1605" i="3" s="1"/>
  <c r="F1604" i="3" a="1"/>
  <c r="F1604" i="3" s="1"/>
  <c r="E1604" i="3" a="1"/>
  <c r="E1604" i="3" s="1"/>
  <c r="D1604" i="3" a="1"/>
  <c r="D1604" i="3" s="1"/>
  <c r="F1603" i="3" a="1"/>
  <c r="F1603" i="3" s="1"/>
  <c r="E1603" i="3" a="1"/>
  <c r="E1603" i="3" s="1"/>
  <c r="D1603" i="3" a="1"/>
  <c r="D1603" i="3" s="1"/>
  <c r="F1602" i="3" a="1"/>
  <c r="F1602" i="3" s="1"/>
  <c r="E1602" i="3" a="1"/>
  <c r="E1602" i="3"/>
  <c r="D1602" i="3" a="1"/>
  <c r="D1602" i="3" s="1"/>
  <c r="F1601" i="3" a="1"/>
  <c r="F1601" i="3" s="1"/>
  <c r="E1601" i="3" a="1"/>
  <c r="E1601" i="3" s="1"/>
  <c r="D1601" i="3" a="1"/>
  <c r="D1601" i="3" s="1"/>
  <c r="F1600" i="3" a="1"/>
  <c r="F1600" i="3" s="1"/>
  <c r="E1600" i="3" a="1"/>
  <c r="E1600" i="3" s="1"/>
  <c r="D1600" i="3" a="1"/>
  <c r="D1600" i="3" s="1"/>
  <c r="F1599" i="3" a="1"/>
  <c r="F1599" i="3" s="1"/>
  <c r="E1599" i="3" a="1"/>
  <c r="E1599" i="3" s="1"/>
  <c r="D1599" i="3" a="1"/>
  <c r="D1599" i="3" s="1"/>
  <c r="F1598" i="3" a="1"/>
  <c r="F1598" i="3" s="1"/>
  <c r="E1598" i="3" a="1"/>
  <c r="E1598" i="3" s="1"/>
  <c r="D1598" i="3" a="1"/>
  <c r="D1598" i="3" s="1"/>
  <c r="F1597" i="3" a="1"/>
  <c r="F1597" i="3" s="1"/>
  <c r="E1597" i="3" a="1"/>
  <c r="E1597" i="3" s="1"/>
  <c r="D1597" i="3" a="1"/>
  <c r="D1597" i="3" s="1"/>
  <c r="F1596" i="3" a="1"/>
  <c r="F1596" i="3" s="1"/>
  <c r="E1596" i="3" a="1"/>
  <c r="E1596" i="3" s="1"/>
  <c r="D1596" i="3" a="1"/>
  <c r="D1596" i="3" s="1"/>
  <c r="F1595" i="3" a="1"/>
  <c r="F1595" i="3" s="1"/>
  <c r="E1595" i="3" a="1"/>
  <c r="E1595" i="3" s="1"/>
  <c r="D1595" i="3" a="1"/>
  <c r="D1595" i="3" s="1"/>
  <c r="F1594" i="3" a="1"/>
  <c r="F1594" i="3" s="1"/>
  <c r="E1594" i="3" a="1"/>
  <c r="E1594" i="3" s="1"/>
  <c r="D1594" i="3" a="1"/>
  <c r="D1594" i="3" s="1"/>
  <c r="F1593" i="3" a="1"/>
  <c r="F1593" i="3" s="1"/>
  <c r="E1593" i="3" a="1"/>
  <c r="E1593" i="3" s="1"/>
  <c r="D1593" i="3" a="1"/>
  <c r="D1593" i="3" s="1"/>
  <c r="F1592" i="3" a="1"/>
  <c r="F1592" i="3" s="1"/>
  <c r="E1592" i="3" a="1"/>
  <c r="E1592" i="3" s="1"/>
  <c r="D1592" i="3" a="1"/>
  <c r="D1592" i="3" s="1"/>
  <c r="F1591" i="3" a="1"/>
  <c r="F1591" i="3" s="1"/>
  <c r="E1591" i="3" a="1"/>
  <c r="E1591" i="3" s="1"/>
  <c r="D1591" i="3" a="1"/>
  <c r="D1591" i="3" s="1"/>
  <c r="F1590" i="3" a="1"/>
  <c r="F1590" i="3" s="1"/>
  <c r="E1590" i="3" a="1"/>
  <c r="E1590" i="3" s="1"/>
  <c r="D1590" i="3" a="1"/>
  <c r="D1590" i="3" s="1"/>
  <c r="F1589" i="3" a="1"/>
  <c r="F1589" i="3" s="1"/>
  <c r="E1589" i="3" a="1"/>
  <c r="E1589" i="3" s="1"/>
  <c r="D1589" i="3" a="1"/>
  <c r="D1589" i="3" s="1"/>
  <c r="F1588" i="3" a="1"/>
  <c r="F1588" i="3" s="1"/>
  <c r="E1588" i="3" a="1"/>
  <c r="E1588" i="3" s="1"/>
  <c r="D1588" i="3" a="1"/>
  <c r="D1588" i="3" s="1"/>
  <c r="F1587" i="3" a="1"/>
  <c r="F1587" i="3"/>
  <c r="E1587" i="3" a="1"/>
  <c r="E1587" i="3" s="1"/>
  <c r="D1587" i="3" a="1"/>
  <c r="D1587" i="3" s="1"/>
  <c r="F1586" i="3" a="1"/>
  <c r="F1586" i="3" s="1"/>
  <c r="E1586" i="3" a="1"/>
  <c r="E1586" i="3" s="1"/>
  <c r="D1586" i="3" a="1"/>
  <c r="D1586" i="3" s="1"/>
  <c r="F1585" i="3" a="1"/>
  <c r="F1585" i="3" s="1"/>
  <c r="E1585" i="3" a="1"/>
  <c r="E1585" i="3" s="1"/>
  <c r="D1585" i="3" a="1"/>
  <c r="D1585" i="3" s="1"/>
  <c r="F1584" i="3" a="1"/>
  <c r="F1584" i="3" s="1"/>
  <c r="E1584" i="3" a="1"/>
  <c r="E1584" i="3" s="1"/>
  <c r="D1584" i="3" a="1"/>
  <c r="D1584" i="3"/>
  <c r="F1583" i="3" a="1"/>
  <c r="F1583" i="3" s="1"/>
  <c r="E1583" i="3" a="1"/>
  <c r="E1583" i="3" s="1"/>
  <c r="D1583" i="3" a="1"/>
  <c r="D1583" i="3" s="1"/>
  <c r="F1582" i="3" a="1"/>
  <c r="F1582" i="3" s="1"/>
  <c r="E1582" i="3" a="1"/>
  <c r="E1582" i="3" s="1"/>
  <c r="D1582" i="3" a="1"/>
  <c r="D1582" i="3" s="1"/>
  <c r="F1581" i="3" a="1"/>
  <c r="F1581" i="3" s="1"/>
  <c r="E1581" i="3" a="1"/>
  <c r="E1581" i="3"/>
  <c r="D1581" i="3" a="1"/>
  <c r="D1581" i="3" s="1"/>
  <c r="F1580" i="3" a="1"/>
  <c r="F1580" i="3" s="1"/>
  <c r="E1580" i="3" a="1"/>
  <c r="E1580" i="3" s="1"/>
  <c r="D1580" i="3" a="1"/>
  <c r="D1580" i="3" s="1"/>
  <c r="F1579" i="3" a="1"/>
  <c r="F1579" i="3" s="1"/>
  <c r="E1579" i="3" a="1"/>
  <c r="E1579" i="3" s="1"/>
  <c r="D1579" i="3" a="1"/>
  <c r="D1579" i="3" s="1"/>
  <c r="F1578" i="3" a="1"/>
  <c r="F1578" i="3" s="1"/>
  <c r="E1578" i="3" a="1"/>
  <c r="E1578" i="3" s="1"/>
  <c r="D1578" i="3" a="1"/>
  <c r="D1578" i="3" s="1"/>
  <c r="F1577" i="3" a="1"/>
  <c r="F1577" i="3" s="1"/>
  <c r="E1577" i="3" a="1"/>
  <c r="E1577" i="3" s="1"/>
  <c r="D1577" i="3" a="1"/>
  <c r="D1577" i="3" s="1"/>
  <c r="F1576" i="3" a="1"/>
  <c r="F1576" i="3" s="1"/>
  <c r="E1576" i="3" a="1"/>
  <c r="E1576" i="3" s="1"/>
  <c r="D1576" i="3" a="1"/>
  <c r="D1576" i="3"/>
  <c r="F1575" i="3" a="1"/>
  <c r="F1575" i="3" s="1"/>
  <c r="E1575" i="3" a="1"/>
  <c r="E1575" i="3" s="1"/>
  <c r="D1575" i="3" a="1"/>
  <c r="D1575" i="3" s="1"/>
  <c r="F1574" i="3" a="1"/>
  <c r="F1574" i="3" s="1"/>
  <c r="E1574" i="3" a="1"/>
  <c r="E1574" i="3" s="1"/>
  <c r="D1574" i="3" a="1"/>
  <c r="D1574" i="3" s="1"/>
  <c r="F1573" i="3" a="1"/>
  <c r="F1573" i="3" s="1"/>
  <c r="E1573" i="3" a="1"/>
  <c r="E1573" i="3" s="1"/>
  <c r="D1573" i="3" a="1"/>
  <c r="D1573" i="3" s="1"/>
  <c r="F1572" i="3" a="1"/>
  <c r="F1572" i="3" s="1"/>
  <c r="E1572" i="3" a="1"/>
  <c r="E1572" i="3" s="1"/>
  <c r="D1572" i="3" a="1"/>
  <c r="D1572" i="3" s="1"/>
  <c r="F1571" i="3" a="1"/>
  <c r="F1571" i="3" s="1"/>
  <c r="E1571" i="3" a="1"/>
  <c r="E1571" i="3" s="1"/>
  <c r="D1571" i="3" a="1"/>
  <c r="D1571" i="3" s="1"/>
  <c r="F1570" i="3" a="1"/>
  <c r="F1570" i="3" s="1"/>
  <c r="E1570" i="3" a="1"/>
  <c r="E1570" i="3"/>
  <c r="D1570" i="3" a="1"/>
  <c r="D1570" i="3" s="1"/>
  <c r="F1569" i="3" a="1"/>
  <c r="F1569" i="3"/>
  <c r="E1569" i="3" a="1"/>
  <c r="E1569" i="3" s="1"/>
  <c r="D1569" i="3" a="1"/>
  <c r="D1569" i="3" s="1"/>
  <c r="F1568" i="3" a="1"/>
  <c r="F1568" i="3" s="1"/>
  <c r="E1568" i="3" a="1"/>
  <c r="E1568" i="3" s="1"/>
  <c r="D1568" i="3" a="1"/>
  <c r="D1568" i="3" s="1"/>
  <c r="F1567" i="3" a="1"/>
  <c r="F1567" i="3" s="1"/>
  <c r="E1567" i="3" a="1"/>
  <c r="E1567" i="3" s="1"/>
  <c r="D1567" i="3" a="1"/>
  <c r="D1567" i="3" s="1"/>
  <c r="F1566" i="3" a="1"/>
  <c r="F1566" i="3" s="1"/>
  <c r="E1566" i="3" a="1"/>
  <c r="E1566" i="3" s="1"/>
  <c r="D1566" i="3" a="1"/>
  <c r="D1566" i="3" s="1"/>
  <c r="F1565" i="3" a="1"/>
  <c r="F1565" i="3" s="1"/>
  <c r="E1565" i="3" a="1"/>
  <c r="E1565" i="3" s="1"/>
  <c r="D1565" i="3" a="1"/>
  <c r="D1565" i="3" s="1"/>
  <c r="F1564" i="3" a="1"/>
  <c r="F1564" i="3" s="1"/>
  <c r="E1564" i="3" a="1"/>
  <c r="E1564" i="3" s="1"/>
  <c r="D1564" i="3" a="1"/>
  <c r="D1564" i="3" s="1"/>
  <c r="F1563" i="3" a="1"/>
  <c r="F1563" i="3" s="1"/>
  <c r="E1563" i="3" a="1"/>
  <c r="E1563" i="3" s="1"/>
  <c r="D1563" i="3" a="1"/>
  <c r="D1563" i="3" s="1"/>
  <c r="F1562" i="3" a="1"/>
  <c r="F1562" i="3" s="1"/>
  <c r="E1562" i="3" a="1"/>
  <c r="E1562" i="3" s="1"/>
  <c r="D1562" i="3" a="1"/>
  <c r="D1562" i="3" s="1"/>
  <c r="F1561" i="3" a="1"/>
  <c r="F1561" i="3" s="1"/>
  <c r="E1561" i="3" a="1"/>
  <c r="E1561" i="3" s="1"/>
  <c r="D1561" i="3" a="1"/>
  <c r="D1561" i="3" s="1"/>
  <c r="F1560" i="3" a="1"/>
  <c r="F1560" i="3" s="1"/>
  <c r="E1560" i="3" a="1"/>
  <c r="E1560" i="3" s="1"/>
  <c r="D1560" i="3" a="1"/>
  <c r="D1560" i="3" s="1"/>
  <c r="F1559" i="3" a="1"/>
  <c r="F1559" i="3" s="1"/>
  <c r="E1559" i="3" a="1"/>
  <c r="E1559" i="3" s="1"/>
  <c r="D1559" i="3" a="1"/>
  <c r="D1559" i="3" s="1"/>
  <c r="F1558" i="3" a="1"/>
  <c r="F1558" i="3" s="1"/>
  <c r="E1558" i="3" a="1"/>
  <c r="E1558" i="3" s="1"/>
  <c r="D1558" i="3" a="1"/>
  <c r="D1558" i="3" s="1"/>
  <c r="F1557" i="3" a="1"/>
  <c r="F1557" i="3" s="1"/>
  <c r="E1557" i="3" a="1"/>
  <c r="E1557" i="3"/>
  <c r="D1557" i="3" a="1"/>
  <c r="D1557" i="3" s="1"/>
  <c r="F1556" i="3" a="1"/>
  <c r="F1556" i="3" s="1"/>
  <c r="E1556" i="3" a="1"/>
  <c r="E1556" i="3" s="1"/>
  <c r="D1556" i="3" a="1"/>
  <c r="D1556" i="3" s="1"/>
  <c r="F1555" i="3" a="1"/>
  <c r="F1555" i="3" s="1"/>
  <c r="E1555" i="3" a="1"/>
  <c r="E1555" i="3" s="1"/>
  <c r="D1555" i="3" a="1"/>
  <c r="D1555" i="3" s="1"/>
  <c r="F1554" i="3" a="1"/>
  <c r="F1554" i="3" s="1"/>
  <c r="E1554" i="3" a="1"/>
  <c r="E1554" i="3" s="1"/>
  <c r="D1554" i="3" a="1"/>
  <c r="D1554" i="3" s="1"/>
  <c r="F1553" i="3" a="1"/>
  <c r="F1553" i="3" s="1"/>
  <c r="E1553" i="3" a="1"/>
  <c r="E1553" i="3" s="1"/>
  <c r="D1553" i="3" a="1"/>
  <c r="D1553" i="3" s="1"/>
  <c r="F1552" i="3" a="1"/>
  <c r="F1552" i="3" s="1"/>
  <c r="E1552" i="3" a="1"/>
  <c r="E1552" i="3" s="1"/>
  <c r="D1552" i="3" a="1"/>
  <c r="D1552" i="3" s="1"/>
  <c r="F1551" i="3" a="1"/>
  <c r="F1551" i="3" s="1"/>
  <c r="E1551" i="3" a="1"/>
  <c r="E1551" i="3" s="1"/>
  <c r="D1551" i="3" a="1"/>
  <c r="D1551" i="3" s="1"/>
  <c r="F1550" i="3" a="1"/>
  <c r="F1550" i="3" s="1"/>
  <c r="E1550" i="3" a="1"/>
  <c r="E1550" i="3" s="1"/>
  <c r="D1550" i="3" a="1"/>
  <c r="D1550" i="3" s="1"/>
  <c r="F1549" i="3" a="1"/>
  <c r="F1549" i="3" s="1"/>
  <c r="E1549" i="3" a="1"/>
  <c r="E1549" i="3" s="1"/>
  <c r="D1549" i="3" a="1"/>
  <c r="D1549" i="3" s="1"/>
  <c r="F1548" i="3" a="1"/>
  <c r="F1548" i="3" s="1"/>
  <c r="E1548" i="3" a="1"/>
  <c r="E1548" i="3" s="1"/>
  <c r="D1548" i="3" a="1"/>
  <c r="D1548" i="3" s="1"/>
  <c r="F1547" i="3" a="1"/>
  <c r="F1547" i="3" s="1"/>
  <c r="E1547" i="3" a="1"/>
  <c r="E1547" i="3" s="1"/>
  <c r="D1547" i="3" a="1"/>
  <c r="D1547" i="3" s="1"/>
  <c r="F1546" i="3" a="1"/>
  <c r="F1546" i="3" s="1"/>
  <c r="E1546" i="3" a="1"/>
  <c r="E1546" i="3" s="1"/>
  <c r="D1546" i="3" a="1"/>
  <c r="D1546" i="3" s="1"/>
  <c r="F1545" i="3" a="1"/>
  <c r="F1545" i="3" s="1"/>
  <c r="E1545" i="3" a="1"/>
  <c r="E1545" i="3" s="1"/>
  <c r="D1545" i="3" a="1"/>
  <c r="D1545" i="3" s="1"/>
  <c r="F1544" i="3" a="1"/>
  <c r="F1544" i="3" s="1"/>
  <c r="E1544" i="3" a="1"/>
  <c r="E1544" i="3" s="1"/>
  <c r="D1544" i="3" a="1"/>
  <c r="D1544" i="3" s="1"/>
  <c r="F1543" i="3" a="1"/>
  <c r="F1543" i="3" s="1"/>
  <c r="E1543" i="3" a="1"/>
  <c r="E1543" i="3" s="1"/>
  <c r="D1543" i="3" a="1"/>
  <c r="D1543" i="3" s="1"/>
  <c r="F1542" i="3" a="1"/>
  <c r="F1542" i="3" s="1"/>
  <c r="E1542" i="3" a="1"/>
  <c r="E1542" i="3" s="1"/>
  <c r="D1542" i="3" a="1"/>
  <c r="D1542" i="3" s="1"/>
  <c r="F1541" i="3" a="1"/>
  <c r="F1541" i="3" s="1"/>
  <c r="E1541" i="3" a="1"/>
  <c r="E1541" i="3" s="1"/>
  <c r="D1541" i="3" a="1"/>
  <c r="D1541" i="3"/>
  <c r="F1540" i="3" a="1"/>
  <c r="F1540" i="3" s="1"/>
  <c r="E1540" i="3" a="1"/>
  <c r="E1540" i="3" s="1"/>
  <c r="D1540" i="3" a="1"/>
  <c r="D1540" i="3" s="1"/>
  <c r="F1539" i="3" a="1"/>
  <c r="F1539" i="3" s="1"/>
  <c r="E1539" i="3" a="1"/>
  <c r="E1539" i="3" s="1"/>
  <c r="D1539" i="3" a="1"/>
  <c r="D1539" i="3" s="1"/>
  <c r="F1538" i="3" a="1"/>
  <c r="F1538" i="3" s="1"/>
  <c r="E1538" i="3" a="1"/>
  <c r="E1538" i="3" s="1"/>
  <c r="D1538" i="3" a="1"/>
  <c r="D1538" i="3" s="1"/>
  <c r="F1537" i="3" a="1"/>
  <c r="F1537" i="3" s="1"/>
  <c r="E1537" i="3" a="1"/>
  <c r="E1537" i="3" s="1"/>
  <c r="D1537" i="3" a="1"/>
  <c r="D1537" i="3" s="1"/>
  <c r="F1536" i="3" a="1"/>
  <c r="F1536" i="3" s="1"/>
  <c r="E1536" i="3" a="1"/>
  <c r="E1536" i="3" s="1"/>
  <c r="D1536" i="3" a="1"/>
  <c r="D1536" i="3" s="1"/>
  <c r="F1535" i="3" a="1"/>
  <c r="F1535" i="3" s="1"/>
  <c r="E1535" i="3" a="1"/>
  <c r="E1535" i="3" s="1"/>
  <c r="D1535" i="3" a="1"/>
  <c r="D1535" i="3" s="1"/>
  <c r="F1534" i="3" a="1"/>
  <c r="F1534" i="3" s="1"/>
  <c r="E1534" i="3" a="1"/>
  <c r="E1534" i="3" s="1"/>
  <c r="D1534" i="3" a="1"/>
  <c r="D1534" i="3" s="1"/>
  <c r="F1533" i="3" a="1"/>
  <c r="F1533" i="3" s="1"/>
  <c r="E1533" i="3" a="1"/>
  <c r="E1533" i="3" s="1"/>
  <c r="D1533" i="3" a="1"/>
  <c r="D1533" i="3" s="1"/>
  <c r="F1532" i="3" a="1"/>
  <c r="F1532" i="3" s="1"/>
  <c r="E1532" i="3" a="1"/>
  <c r="E1532" i="3" s="1"/>
  <c r="D1532" i="3" a="1"/>
  <c r="D1532" i="3" s="1"/>
  <c r="F1531" i="3" a="1"/>
  <c r="F1531" i="3" s="1"/>
  <c r="E1531" i="3" a="1"/>
  <c r="E1531" i="3" s="1"/>
  <c r="D1531" i="3" a="1"/>
  <c r="D1531" i="3" s="1"/>
  <c r="F1530" i="3" a="1"/>
  <c r="F1530" i="3"/>
  <c r="E1530" i="3" a="1"/>
  <c r="E1530" i="3" s="1"/>
  <c r="D1530" i="3" a="1"/>
  <c r="D1530" i="3" s="1"/>
  <c r="F1529" i="3" a="1"/>
  <c r="F1529" i="3" s="1"/>
  <c r="E1529" i="3" a="1"/>
  <c r="E1529" i="3" s="1"/>
  <c r="D1529" i="3" a="1"/>
  <c r="D1529" i="3" s="1"/>
  <c r="F1528" i="3" a="1"/>
  <c r="F1528" i="3" s="1"/>
  <c r="E1528" i="3" a="1"/>
  <c r="E1528" i="3" s="1"/>
  <c r="D1528" i="3" a="1"/>
  <c r="D1528" i="3"/>
  <c r="F1527" i="3" a="1"/>
  <c r="F1527" i="3" s="1"/>
  <c r="E1527" i="3" a="1"/>
  <c r="E1527" i="3" s="1"/>
  <c r="D1527" i="3" a="1"/>
  <c r="D1527" i="3"/>
  <c r="F1526" i="3" a="1"/>
  <c r="F1526" i="3" s="1"/>
  <c r="E1526" i="3" a="1"/>
  <c r="E1526" i="3" s="1"/>
  <c r="D1526" i="3" a="1"/>
  <c r="D1526" i="3" s="1"/>
  <c r="F1525" i="3" a="1"/>
  <c r="F1525" i="3" s="1"/>
  <c r="E1525" i="3" a="1"/>
  <c r="E1525" i="3" s="1"/>
  <c r="D1525" i="3" a="1"/>
  <c r="D1525" i="3" s="1"/>
  <c r="F1524" i="3" a="1"/>
  <c r="F1524" i="3" s="1"/>
  <c r="E1524" i="3" a="1"/>
  <c r="E1524" i="3" s="1"/>
  <c r="D1524" i="3" a="1"/>
  <c r="D1524" i="3"/>
  <c r="F1523" i="3" a="1"/>
  <c r="F1523" i="3" s="1"/>
  <c r="E1523" i="3" a="1"/>
  <c r="E1523" i="3" s="1"/>
  <c r="D1523" i="3" a="1"/>
  <c r="D1523" i="3" s="1"/>
  <c r="F1522" i="3" a="1"/>
  <c r="F1522" i="3" s="1"/>
  <c r="E1522" i="3" a="1"/>
  <c r="E1522" i="3" s="1"/>
  <c r="D1522" i="3" a="1"/>
  <c r="D1522" i="3" s="1"/>
  <c r="F1521" i="3" a="1"/>
  <c r="F1521" i="3" s="1"/>
  <c r="E1521" i="3" a="1"/>
  <c r="E1521" i="3" s="1"/>
  <c r="D1521" i="3" a="1"/>
  <c r="D1521" i="3" s="1"/>
  <c r="F1520" i="3" a="1"/>
  <c r="F1520" i="3" s="1"/>
  <c r="E1520" i="3" a="1"/>
  <c r="E1520" i="3"/>
  <c r="D1520" i="3" a="1"/>
  <c r="D1520" i="3" s="1"/>
  <c r="F1519" i="3" a="1"/>
  <c r="F1519" i="3" s="1"/>
  <c r="E1519" i="3" a="1"/>
  <c r="E1519" i="3" s="1"/>
  <c r="D1519" i="3" a="1"/>
  <c r="D1519" i="3" s="1"/>
  <c r="F1518" i="3" a="1"/>
  <c r="F1518" i="3" s="1"/>
  <c r="E1518" i="3" a="1"/>
  <c r="E1518" i="3"/>
  <c r="D1518" i="3" a="1"/>
  <c r="D1518" i="3" s="1"/>
  <c r="F1517" i="3" a="1"/>
  <c r="F1517" i="3"/>
  <c r="E1517" i="3" a="1"/>
  <c r="E1517" i="3" s="1"/>
  <c r="D1517" i="3" a="1"/>
  <c r="D1517" i="3" s="1"/>
  <c r="F1516" i="3" a="1"/>
  <c r="F1516" i="3" s="1"/>
  <c r="E1516" i="3" a="1"/>
  <c r="E1516" i="3" s="1"/>
  <c r="D1516" i="3" a="1"/>
  <c r="D1516" i="3" s="1"/>
  <c r="F1515" i="3" a="1"/>
  <c r="F1515" i="3" s="1"/>
  <c r="E1515" i="3" a="1"/>
  <c r="E1515" i="3" s="1"/>
  <c r="D1515" i="3" a="1"/>
  <c r="D1515" i="3" s="1"/>
  <c r="F1514" i="3" a="1"/>
  <c r="F1514" i="3" s="1"/>
  <c r="E1514" i="3" a="1"/>
  <c r="E1514" i="3" s="1"/>
  <c r="D1514" i="3" a="1"/>
  <c r="D1514" i="3" s="1"/>
  <c r="F1513" i="3" a="1"/>
  <c r="F1513" i="3" s="1"/>
  <c r="E1513" i="3" a="1"/>
  <c r="E1513" i="3" s="1"/>
  <c r="D1513" i="3" a="1"/>
  <c r="D1513" i="3" s="1"/>
  <c r="F1512" i="3" a="1"/>
  <c r="F1512" i="3" s="1"/>
  <c r="E1512" i="3" a="1"/>
  <c r="E1512" i="3" s="1"/>
  <c r="D1512" i="3" a="1"/>
  <c r="D1512" i="3" s="1"/>
  <c r="F1511" i="3" a="1"/>
  <c r="F1511" i="3"/>
  <c r="E1511" i="3" a="1"/>
  <c r="E1511" i="3" s="1"/>
  <c r="D1511" i="3" a="1"/>
  <c r="D1511" i="3" s="1"/>
  <c r="F1510" i="3" a="1"/>
  <c r="F1510" i="3" s="1"/>
  <c r="E1510" i="3" a="1"/>
  <c r="E1510" i="3" s="1"/>
  <c r="D1510" i="3" a="1"/>
  <c r="D1510" i="3" s="1"/>
  <c r="F1509" i="3" a="1"/>
  <c r="F1509" i="3" s="1"/>
  <c r="E1509" i="3" a="1"/>
  <c r="E1509" i="3" s="1"/>
  <c r="D1509" i="3" a="1"/>
  <c r="D1509" i="3" s="1"/>
  <c r="F1508" i="3" a="1"/>
  <c r="F1508" i="3" s="1"/>
  <c r="E1508" i="3" a="1"/>
  <c r="E1508" i="3" s="1"/>
  <c r="D1508" i="3" a="1"/>
  <c r="D1508" i="3" s="1"/>
  <c r="F1507" i="3" a="1"/>
  <c r="F1507" i="3" s="1"/>
  <c r="E1507" i="3" a="1"/>
  <c r="E1507" i="3" s="1"/>
  <c r="D1507" i="3" a="1"/>
  <c r="D1507" i="3" s="1"/>
  <c r="F1506" i="3" a="1"/>
  <c r="F1506" i="3" s="1"/>
  <c r="E1506" i="3" a="1"/>
  <c r="E1506" i="3"/>
  <c r="D1506" i="3" a="1"/>
  <c r="D1506" i="3" s="1"/>
  <c r="F1505" i="3" a="1"/>
  <c r="F1505" i="3" s="1"/>
  <c r="E1505" i="3" a="1"/>
  <c r="E1505" i="3" s="1"/>
  <c r="D1505" i="3" a="1"/>
  <c r="D1505" i="3" s="1"/>
  <c r="F1504" i="3" a="1"/>
  <c r="F1504" i="3" s="1"/>
  <c r="E1504" i="3" a="1"/>
  <c r="E1504" i="3" s="1"/>
  <c r="D1504" i="3" a="1"/>
  <c r="D1504" i="3" s="1"/>
  <c r="F1503" i="3" a="1"/>
  <c r="F1503" i="3" s="1"/>
  <c r="E1503" i="3" a="1"/>
  <c r="E1503" i="3" s="1"/>
  <c r="D1503" i="3" a="1"/>
  <c r="D1503" i="3" s="1"/>
  <c r="F1502" i="3" a="1"/>
  <c r="F1502" i="3" s="1"/>
  <c r="E1502" i="3" a="1"/>
  <c r="E1502" i="3" s="1"/>
  <c r="D1502" i="3" a="1"/>
  <c r="D1502" i="3" s="1"/>
  <c r="F1501" i="3" a="1"/>
  <c r="F1501" i="3" s="1"/>
  <c r="E1501" i="3" a="1"/>
  <c r="E1501" i="3" s="1"/>
  <c r="D1501" i="3" a="1"/>
  <c r="D1501" i="3" s="1"/>
  <c r="F1500" i="3" a="1"/>
  <c r="F1500" i="3" s="1"/>
  <c r="E1500" i="3" a="1"/>
  <c r="E1500" i="3" s="1"/>
  <c r="D1500" i="3" a="1"/>
  <c r="D1500" i="3" s="1"/>
  <c r="F1499" i="3" a="1"/>
  <c r="F1499" i="3" s="1"/>
  <c r="E1499" i="3" a="1"/>
  <c r="E1499" i="3" s="1"/>
  <c r="D1499" i="3" a="1"/>
  <c r="D1499" i="3" s="1"/>
  <c r="F1498" i="3" a="1"/>
  <c r="F1498" i="3" s="1"/>
  <c r="E1498" i="3" a="1"/>
  <c r="E1498" i="3" s="1"/>
  <c r="D1498" i="3" a="1"/>
  <c r="D1498" i="3" s="1"/>
  <c r="F1497" i="3" a="1"/>
  <c r="F1497" i="3" s="1"/>
  <c r="E1497" i="3" a="1"/>
  <c r="E1497" i="3" s="1"/>
  <c r="D1497" i="3" a="1"/>
  <c r="D1497" i="3" s="1"/>
  <c r="F1496" i="3" a="1"/>
  <c r="F1496" i="3" s="1"/>
  <c r="E1496" i="3" a="1"/>
  <c r="E1496" i="3" s="1"/>
  <c r="D1496" i="3" a="1"/>
  <c r="D1496" i="3" s="1"/>
  <c r="F1495" i="3" a="1"/>
  <c r="F1495" i="3" s="1"/>
  <c r="E1495" i="3" a="1"/>
  <c r="E1495" i="3" s="1"/>
  <c r="D1495" i="3" a="1"/>
  <c r="D1495" i="3"/>
  <c r="F1494" i="3" a="1"/>
  <c r="F1494" i="3" s="1"/>
  <c r="E1494" i="3" a="1"/>
  <c r="E1494" i="3" s="1"/>
  <c r="D1494" i="3" a="1"/>
  <c r="D1494" i="3" s="1"/>
  <c r="F1493" i="3" a="1"/>
  <c r="F1493" i="3" s="1"/>
  <c r="E1493" i="3" a="1"/>
  <c r="E1493" i="3" s="1"/>
  <c r="D1493" i="3" a="1"/>
  <c r="D1493" i="3" s="1"/>
  <c r="F1492" i="3" a="1"/>
  <c r="F1492" i="3" s="1"/>
  <c r="E1492" i="3" a="1"/>
  <c r="E1492" i="3" s="1"/>
  <c r="D1492" i="3" a="1"/>
  <c r="D1492" i="3" s="1"/>
  <c r="F1491" i="3" a="1"/>
  <c r="F1491" i="3" s="1"/>
  <c r="E1491" i="3" a="1"/>
  <c r="E1491" i="3" s="1"/>
  <c r="D1491" i="3" a="1"/>
  <c r="D1491" i="3" s="1"/>
  <c r="F1490" i="3" a="1"/>
  <c r="F1490" i="3" s="1"/>
  <c r="E1490" i="3" a="1"/>
  <c r="E1490" i="3" s="1"/>
  <c r="D1490" i="3" a="1"/>
  <c r="D1490" i="3" s="1"/>
  <c r="F1489" i="3" a="1"/>
  <c r="F1489" i="3" s="1"/>
  <c r="E1489" i="3" a="1"/>
  <c r="E1489" i="3" s="1"/>
  <c r="D1489" i="3" a="1"/>
  <c r="D1489" i="3" s="1"/>
  <c r="F1488" i="3" a="1"/>
  <c r="F1488" i="3" s="1"/>
  <c r="E1488" i="3" a="1"/>
  <c r="E1488" i="3" s="1"/>
  <c r="D1488" i="3" a="1"/>
  <c r="D1488" i="3"/>
  <c r="F1487" i="3" a="1"/>
  <c r="F1487" i="3" s="1"/>
  <c r="E1487" i="3" a="1"/>
  <c r="E1487" i="3" s="1"/>
  <c r="D1487" i="3" a="1"/>
  <c r="D1487" i="3" s="1"/>
  <c r="F1486" i="3" a="1"/>
  <c r="F1486" i="3" s="1"/>
  <c r="E1486" i="3" a="1"/>
  <c r="E1486" i="3" s="1"/>
  <c r="D1486" i="3" a="1"/>
  <c r="D1486" i="3" s="1"/>
  <c r="F1485" i="3" a="1"/>
  <c r="F1485" i="3"/>
  <c r="E1485" i="3" a="1"/>
  <c r="E1485" i="3" s="1"/>
  <c r="D1485" i="3" a="1"/>
  <c r="D1485" i="3" s="1"/>
  <c r="F1484" i="3" a="1"/>
  <c r="F1484" i="3" s="1"/>
  <c r="E1484" i="3" a="1"/>
  <c r="E1484" i="3" s="1"/>
  <c r="D1484" i="3" a="1"/>
  <c r="D1484" i="3" s="1"/>
  <c r="F1483" i="3" a="1"/>
  <c r="F1483" i="3" s="1"/>
  <c r="E1483" i="3" a="1"/>
  <c r="E1483" i="3" s="1"/>
  <c r="D1483" i="3" a="1"/>
  <c r="D1483" i="3" s="1"/>
  <c r="F1482" i="3" a="1"/>
  <c r="F1482" i="3" s="1"/>
  <c r="E1482" i="3" a="1"/>
  <c r="E1482" i="3" s="1"/>
  <c r="D1482" i="3" a="1"/>
  <c r="D1482" i="3" s="1"/>
  <c r="F1481" i="3" a="1"/>
  <c r="F1481" i="3" s="1"/>
  <c r="E1481" i="3" a="1"/>
  <c r="E1481" i="3" s="1"/>
  <c r="D1481" i="3" a="1"/>
  <c r="D1481" i="3" s="1"/>
  <c r="F1480" i="3" a="1"/>
  <c r="F1480" i="3" s="1"/>
  <c r="E1480" i="3" a="1"/>
  <c r="E1480" i="3"/>
  <c r="D1480" i="3" a="1"/>
  <c r="D1480" i="3" s="1"/>
  <c r="F1479" i="3" a="1"/>
  <c r="F1479" i="3" s="1"/>
  <c r="E1479" i="3" a="1"/>
  <c r="E1479" i="3" s="1"/>
  <c r="D1479" i="3" a="1"/>
  <c r="D1479" i="3" s="1"/>
  <c r="F1478" i="3" a="1"/>
  <c r="F1478" i="3" s="1"/>
  <c r="E1478" i="3" a="1"/>
  <c r="E1478" i="3"/>
  <c r="D1478" i="3" a="1"/>
  <c r="D1478" i="3" s="1"/>
  <c r="F1477" i="3" a="1"/>
  <c r="F1477" i="3" s="1"/>
  <c r="E1477" i="3" a="1"/>
  <c r="E1477" i="3"/>
  <c r="D1477" i="3" a="1"/>
  <c r="D1477" i="3" s="1"/>
  <c r="F1476" i="3" a="1"/>
  <c r="F1476" i="3" s="1"/>
  <c r="E1476" i="3" a="1"/>
  <c r="E1476" i="3" s="1"/>
  <c r="D1476" i="3" a="1"/>
  <c r="D1476" i="3" s="1"/>
  <c r="F1475" i="3" a="1"/>
  <c r="F1475" i="3"/>
  <c r="E1475" i="3" a="1"/>
  <c r="E1475" i="3" s="1"/>
  <c r="D1475" i="3" a="1"/>
  <c r="D1475" i="3"/>
  <c r="F1474" i="3" a="1"/>
  <c r="F1474" i="3" s="1"/>
  <c r="E1474" i="3" a="1"/>
  <c r="E1474" i="3" s="1"/>
  <c r="D1474" i="3" a="1"/>
  <c r="D1474" i="3" s="1"/>
  <c r="F1473" i="3" a="1"/>
  <c r="F1473" i="3" s="1"/>
  <c r="E1473" i="3" a="1"/>
  <c r="E1473" i="3" s="1"/>
  <c r="D1473" i="3" a="1"/>
  <c r="D1473" i="3" s="1"/>
  <c r="F1472" i="3" a="1"/>
  <c r="F1472" i="3" s="1"/>
  <c r="E1472" i="3" a="1"/>
  <c r="E1472" i="3" s="1"/>
  <c r="D1472" i="3" a="1"/>
  <c r="D1472" i="3" s="1"/>
  <c r="F1471" i="3" a="1"/>
  <c r="F1471" i="3" s="1"/>
  <c r="E1471" i="3" a="1"/>
  <c r="E1471" i="3" s="1"/>
  <c r="D1471" i="3" a="1"/>
  <c r="D1471" i="3" s="1"/>
  <c r="F1470" i="3" a="1"/>
  <c r="F1470" i="3" s="1"/>
  <c r="E1470" i="3" a="1"/>
  <c r="E1470" i="3" s="1"/>
  <c r="D1470" i="3" a="1"/>
  <c r="D1470" i="3" s="1"/>
  <c r="F1469" i="3" a="1"/>
  <c r="F1469" i="3" s="1"/>
  <c r="E1469" i="3" a="1"/>
  <c r="E1469" i="3" s="1"/>
  <c r="D1469" i="3" a="1"/>
  <c r="D1469" i="3" s="1"/>
  <c r="F1468" i="3" a="1"/>
  <c r="F1468" i="3" s="1"/>
  <c r="E1468" i="3" a="1"/>
  <c r="E1468" i="3" s="1"/>
  <c r="D1468" i="3" a="1"/>
  <c r="D1468" i="3"/>
  <c r="F1467" i="3" a="1"/>
  <c r="F1467" i="3" s="1"/>
  <c r="E1467" i="3" a="1"/>
  <c r="E1467" i="3" s="1"/>
  <c r="D1467" i="3" a="1"/>
  <c r="D1467" i="3" s="1"/>
  <c r="F1466" i="3" a="1"/>
  <c r="F1466" i="3" s="1"/>
  <c r="E1466" i="3" a="1"/>
  <c r="E1466" i="3" s="1"/>
  <c r="D1466" i="3" a="1"/>
  <c r="D1466" i="3" s="1"/>
  <c r="F1465" i="3" a="1"/>
  <c r="F1465" i="3"/>
  <c r="E1465" i="3" a="1"/>
  <c r="E1465" i="3" s="1"/>
  <c r="D1465" i="3" a="1"/>
  <c r="D1465" i="3" s="1"/>
  <c r="F1464" i="3" a="1"/>
  <c r="F1464" i="3" s="1"/>
  <c r="E1464" i="3" a="1"/>
  <c r="E1464" i="3"/>
  <c r="D1464" i="3" a="1"/>
  <c r="D1464" i="3"/>
  <c r="F1463" i="3" a="1"/>
  <c r="F1463" i="3" s="1"/>
  <c r="E1463" i="3" a="1"/>
  <c r="E1463" i="3" s="1"/>
  <c r="D1463" i="3" a="1"/>
  <c r="D1463" i="3" s="1"/>
  <c r="F1462" i="3" a="1"/>
  <c r="F1462" i="3" s="1"/>
  <c r="E1462" i="3" a="1"/>
  <c r="E1462" i="3" s="1"/>
  <c r="D1462" i="3" a="1"/>
  <c r="D1462" i="3" s="1"/>
  <c r="F1461" i="3" a="1"/>
  <c r="F1461" i="3" s="1"/>
  <c r="E1461" i="3" a="1"/>
  <c r="E1461" i="3" s="1"/>
  <c r="D1461" i="3" a="1"/>
  <c r="D1461" i="3" s="1"/>
  <c r="F1460" i="3" a="1"/>
  <c r="F1460" i="3" s="1"/>
  <c r="E1460" i="3" a="1"/>
  <c r="E1460" i="3" s="1"/>
  <c r="D1460" i="3" a="1"/>
  <c r="D1460" i="3" s="1"/>
  <c r="F1459" i="3" a="1"/>
  <c r="F1459" i="3" s="1"/>
  <c r="E1459" i="3" a="1"/>
  <c r="E1459" i="3" s="1"/>
  <c r="D1459" i="3" a="1"/>
  <c r="D1459" i="3" s="1"/>
  <c r="F1458" i="3" a="1"/>
  <c r="F1458" i="3" s="1"/>
  <c r="E1458" i="3" a="1"/>
  <c r="E1458" i="3" s="1"/>
  <c r="D1458" i="3" a="1"/>
  <c r="D1458" i="3" s="1"/>
  <c r="F1457" i="3" a="1"/>
  <c r="F1457" i="3" s="1"/>
  <c r="E1457" i="3" a="1"/>
  <c r="E1457" i="3" s="1"/>
  <c r="D1457" i="3" a="1"/>
  <c r="D1457" i="3" s="1"/>
  <c r="F1456" i="3" a="1"/>
  <c r="F1456" i="3" s="1"/>
  <c r="E1456" i="3" a="1"/>
  <c r="E1456" i="3"/>
  <c r="D1456" i="3" a="1"/>
  <c r="D1456" i="3" s="1"/>
  <c r="F1455" i="3" a="1"/>
  <c r="F1455" i="3" s="1"/>
  <c r="E1455" i="3" a="1"/>
  <c r="E1455" i="3" s="1"/>
  <c r="D1455" i="3" a="1"/>
  <c r="D1455" i="3" s="1"/>
  <c r="F1454" i="3" a="1"/>
  <c r="F1454" i="3" s="1"/>
  <c r="E1454" i="3" a="1"/>
  <c r="E1454" i="3"/>
  <c r="D1454" i="3" a="1"/>
  <c r="D1454" i="3" s="1"/>
  <c r="F1453" i="3" a="1"/>
  <c r="F1453" i="3" s="1"/>
  <c r="E1453" i="3" a="1"/>
  <c r="E1453" i="3" s="1"/>
  <c r="D1453" i="3" a="1"/>
  <c r="D1453" i="3"/>
  <c r="F1452" i="3" a="1"/>
  <c r="F1452" i="3" s="1"/>
  <c r="E1452" i="3" a="1"/>
  <c r="E1452" i="3" s="1"/>
  <c r="D1452" i="3" a="1"/>
  <c r="D1452" i="3" s="1"/>
  <c r="F1451" i="3" a="1"/>
  <c r="F1451" i="3" s="1"/>
  <c r="E1451" i="3" a="1"/>
  <c r="E1451" i="3" s="1"/>
  <c r="D1451" i="3" a="1"/>
  <c r="D1451" i="3"/>
  <c r="F1450" i="3" a="1"/>
  <c r="F1450" i="3" s="1"/>
  <c r="E1450" i="3" a="1"/>
  <c r="E1450" i="3"/>
  <c r="D1450" i="3" a="1"/>
  <c r="D1450" i="3" s="1"/>
  <c r="F1449" i="3" a="1"/>
  <c r="F1449" i="3" s="1"/>
  <c r="E1449" i="3" a="1"/>
  <c r="E1449" i="3" s="1"/>
  <c r="D1449" i="3" a="1"/>
  <c r="D1449" i="3" s="1"/>
  <c r="F1448" i="3" a="1"/>
  <c r="F1448" i="3" s="1"/>
  <c r="E1448" i="3" a="1"/>
  <c r="E1448" i="3" s="1"/>
  <c r="D1448" i="3" a="1"/>
  <c r="D1448" i="3" s="1"/>
  <c r="F1447" i="3" a="1"/>
  <c r="F1447" i="3" s="1"/>
  <c r="E1447" i="3" a="1"/>
  <c r="E1447" i="3" s="1"/>
  <c r="D1447" i="3" a="1"/>
  <c r="D1447" i="3" s="1"/>
  <c r="F1446" i="3" a="1"/>
  <c r="F1446" i="3" s="1"/>
  <c r="E1446" i="3" a="1"/>
  <c r="E1446" i="3"/>
  <c r="D1446" i="3" a="1"/>
  <c r="D1446" i="3" s="1"/>
  <c r="F1445" i="3" a="1"/>
  <c r="F1445" i="3" s="1"/>
  <c r="E1445" i="3" a="1"/>
  <c r="E1445" i="3" s="1"/>
  <c r="D1445" i="3" a="1"/>
  <c r="D1445" i="3" s="1"/>
  <c r="F1444" i="3" a="1"/>
  <c r="F1444" i="3"/>
  <c r="E1444" i="3" a="1"/>
  <c r="E1444" i="3" s="1"/>
  <c r="D1444" i="3" a="1"/>
  <c r="D1444" i="3" s="1"/>
  <c r="F1443" i="3" a="1"/>
  <c r="F1443" i="3" s="1"/>
  <c r="E1443" i="3" a="1"/>
  <c r="E1443" i="3" s="1"/>
  <c r="D1443" i="3" a="1"/>
  <c r="D1443" i="3" s="1"/>
  <c r="F1442" i="3" a="1"/>
  <c r="F1442" i="3" s="1"/>
  <c r="E1442" i="3" a="1"/>
  <c r="E1442" i="3" s="1"/>
  <c r="D1442" i="3" a="1"/>
  <c r="D1442" i="3" s="1"/>
  <c r="F1441" i="3" a="1"/>
  <c r="F1441" i="3" s="1"/>
  <c r="E1441" i="3" a="1"/>
  <c r="E1441" i="3" s="1"/>
  <c r="D1441" i="3" a="1"/>
  <c r="D1441" i="3" s="1"/>
  <c r="F1440" i="3" a="1"/>
  <c r="F1440" i="3" s="1"/>
  <c r="E1440" i="3" a="1"/>
  <c r="E1440" i="3" s="1"/>
  <c r="D1440" i="3" a="1"/>
  <c r="D1440" i="3" s="1"/>
  <c r="F1439" i="3" a="1"/>
  <c r="F1439" i="3" s="1"/>
  <c r="E1439" i="3" a="1"/>
  <c r="E1439" i="3" s="1"/>
  <c r="D1439" i="3" a="1"/>
  <c r="D1439" i="3" s="1"/>
  <c r="F1438" i="3" a="1"/>
  <c r="F1438" i="3" s="1"/>
  <c r="E1438" i="3" a="1"/>
  <c r="E1438" i="3" s="1"/>
  <c r="D1438" i="3" a="1"/>
  <c r="D1438" i="3" s="1"/>
  <c r="F1437" i="3" a="1"/>
  <c r="F1437" i="3" s="1"/>
  <c r="E1437" i="3" a="1"/>
  <c r="E1437" i="3" s="1"/>
  <c r="D1437" i="3" a="1"/>
  <c r="D1437" i="3" s="1"/>
  <c r="F1436" i="3" a="1"/>
  <c r="F1436" i="3" s="1"/>
  <c r="E1436" i="3" a="1"/>
  <c r="E1436" i="3" s="1"/>
  <c r="D1436" i="3" a="1"/>
  <c r="D1436" i="3" s="1"/>
  <c r="F1435" i="3" a="1"/>
  <c r="F1435" i="3" s="1"/>
  <c r="E1435" i="3" a="1"/>
  <c r="E1435" i="3" s="1"/>
  <c r="D1435" i="3" a="1"/>
  <c r="D1435" i="3" s="1"/>
  <c r="F1434" i="3" a="1"/>
  <c r="F1434" i="3" s="1"/>
  <c r="E1434" i="3" a="1"/>
  <c r="E1434" i="3" s="1"/>
  <c r="D1434" i="3" a="1"/>
  <c r="D1434" i="3" s="1"/>
  <c r="F1433" i="3" a="1"/>
  <c r="F1433" i="3" s="1"/>
  <c r="E1433" i="3" a="1"/>
  <c r="E1433" i="3" s="1"/>
  <c r="D1433" i="3" a="1"/>
  <c r="D1433" i="3" s="1"/>
  <c r="F1432" i="3" a="1"/>
  <c r="F1432" i="3" s="1"/>
  <c r="E1432" i="3" a="1"/>
  <c r="E1432" i="3" s="1"/>
  <c r="D1432" i="3" a="1"/>
  <c r="D1432" i="3"/>
  <c r="F1431" i="3" a="1"/>
  <c r="F1431" i="3" s="1"/>
  <c r="E1431" i="3" a="1"/>
  <c r="E1431" i="3" s="1"/>
  <c r="D1431" i="3" a="1"/>
  <c r="D1431" i="3" s="1"/>
  <c r="F1430" i="3" a="1"/>
  <c r="F1430" i="3" s="1"/>
  <c r="E1430" i="3" a="1"/>
  <c r="E1430" i="3" s="1"/>
  <c r="D1430" i="3" a="1"/>
  <c r="D1430" i="3" s="1"/>
  <c r="F1429" i="3" a="1"/>
  <c r="F1429" i="3" s="1"/>
  <c r="E1429" i="3" a="1"/>
  <c r="E1429" i="3" s="1"/>
  <c r="D1429" i="3" a="1"/>
  <c r="D1429" i="3" s="1"/>
  <c r="F1428" i="3" a="1"/>
  <c r="F1428" i="3" s="1"/>
  <c r="E1428" i="3" a="1"/>
  <c r="E1428" i="3" s="1"/>
  <c r="D1428" i="3" a="1"/>
  <c r="D1428" i="3" s="1"/>
  <c r="F1427" i="3" a="1"/>
  <c r="F1427" i="3"/>
  <c r="E1427" i="3" a="1"/>
  <c r="E1427" i="3" s="1"/>
  <c r="D1427" i="3" a="1"/>
  <c r="D1427" i="3"/>
  <c r="F1426" i="3" a="1"/>
  <c r="F1426" i="3" s="1"/>
  <c r="E1426" i="3" a="1"/>
  <c r="E1426" i="3" s="1"/>
  <c r="D1426" i="3" a="1"/>
  <c r="D1426" i="3" s="1"/>
  <c r="F1425" i="3" a="1"/>
  <c r="F1425" i="3" s="1"/>
  <c r="E1425" i="3" a="1"/>
  <c r="E1425" i="3" s="1"/>
  <c r="D1425" i="3" a="1"/>
  <c r="D1425" i="3" s="1"/>
  <c r="F1424" i="3" a="1"/>
  <c r="F1424" i="3" s="1"/>
  <c r="E1424" i="3" a="1"/>
  <c r="E1424" i="3" s="1"/>
  <c r="D1424" i="3" a="1"/>
  <c r="D1424" i="3" s="1"/>
  <c r="F1423" i="3" a="1"/>
  <c r="F1423" i="3" s="1"/>
  <c r="E1423" i="3" a="1"/>
  <c r="E1423" i="3" s="1"/>
  <c r="D1423" i="3" a="1"/>
  <c r="D1423" i="3" s="1"/>
  <c r="F1422" i="3" a="1"/>
  <c r="F1422" i="3" s="1"/>
  <c r="E1422" i="3" a="1"/>
  <c r="E1422" i="3" s="1"/>
  <c r="D1422" i="3" a="1"/>
  <c r="D1422" i="3" s="1"/>
  <c r="F1421" i="3" a="1"/>
  <c r="F1421" i="3" s="1"/>
  <c r="E1421" i="3" a="1"/>
  <c r="E1421" i="3" s="1"/>
  <c r="D1421" i="3" a="1"/>
  <c r="D1421" i="3"/>
  <c r="F1420" i="3" a="1"/>
  <c r="F1420" i="3" s="1"/>
  <c r="E1420" i="3" a="1"/>
  <c r="E1420" i="3"/>
  <c r="D1420" i="3" a="1"/>
  <c r="D1420" i="3" s="1"/>
  <c r="F1419" i="3" a="1"/>
  <c r="F1419" i="3" s="1"/>
  <c r="E1419" i="3" a="1"/>
  <c r="E1419" i="3" s="1"/>
  <c r="D1419" i="3" a="1"/>
  <c r="D1419" i="3" s="1"/>
  <c r="F1418" i="3" a="1"/>
  <c r="F1418" i="3" s="1"/>
  <c r="E1418" i="3" a="1"/>
  <c r="E1418" i="3"/>
  <c r="D1418" i="3" a="1"/>
  <c r="D1418" i="3" s="1"/>
  <c r="F1417" i="3" a="1"/>
  <c r="F1417" i="3" s="1"/>
  <c r="E1417" i="3" a="1"/>
  <c r="E1417" i="3" s="1"/>
  <c r="D1417" i="3" a="1"/>
  <c r="D1417" i="3" s="1"/>
  <c r="F1416" i="3" a="1"/>
  <c r="F1416" i="3" s="1"/>
  <c r="E1416" i="3" a="1"/>
  <c r="E1416" i="3" s="1"/>
  <c r="D1416" i="3" a="1"/>
  <c r="D1416" i="3" s="1"/>
  <c r="F1415" i="3" a="1"/>
  <c r="F1415" i="3" s="1"/>
  <c r="E1415" i="3" a="1"/>
  <c r="E1415" i="3" s="1"/>
  <c r="D1415" i="3" a="1"/>
  <c r="D1415" i="3" s="1"/>
  <c r="F1414" i="3" a="1"/>
  <c r="F1414" i="3" s="1"/>
  <c r="E1414" i="3" a="1"/>
  <c r="E1414" i="3"/>
  <c r="D1414" i="3" a="1"/>
  <c r="D1414" i="3" s="1"/>
  <c r="F1413" i="3" a="1"/>
  <c r="F1413" i="3" s="1"/>
  <c r="E1413" i="3" a="1"/>
  <c r="E1413" i="3" s="1"/>
  <c r="D1413" i="3" a="1"/>
  <c r="D1413" i="3" s="1"/>
  <c r="F1412" i="3" a="1"/>
  <c r="F1412" i="3" s="1"/>
  <c r="E1412" i="3" a="1"/>
  <c r="E1412" i="3" s="1"/>
  <c r="D1412" i="3" a="1"/>
  <c r="D1412" i="3" s="1"/>
  <c r="F1411" i="3" a="1"/>
  <c r="F1411" i="3" s="1"/>
  <c r="E1411" i="3" a="1"/>
  <c r="E1411" i="3" s="1"/>
  <c r="D1411" i="3" a="1"/>
  <c r="D1411" i="3" s="1"/>
  <c r="F1410" i="3" a="1"/>
  <c r="F1410" i="3" s="1"/>
  <c r="E1410" i="3" a="1"/>
  <c r="E1410" i="3" s="1"/>
  <c r="D1410" i="3" a="1"/>
  <c r="D1410" i="3" s="1"/>
  <c r="F1409" i="3" a="1"/>
  <c r="F1409" i="3" s="1"/>
  <c r="E1409" i="3" a="1"/>
  <c r="E1409" i="3" s="1"/>
  <c r="D1409" i="3" a="1"/>
  <c r="D1409" i="3" s="1"/>
  <c r="F1408" i="3" a="1"/>
  <c r="F1408" i="3" s="1"/>
  <c r="E1408" i="3" a="1"/>
  <c r="E1408" i="3" s="1"/>
  <c r="D1408" i="3" a="1"/>
  <c r="D1408" i="3" s="1"/>
  <c r="F1407" i="3" a="1"/>
  <c r="F1407" i="3" s="1"/>
  <c r="E1407" i="3" a="1"/>
  <c r="E1407" i="3" s="1"/>
  <c r="D1407" i="3" a="1"/>
  <c r="D1407" i="3" s="1"/>
  <c r="F1406" i="3" a="1"/>
  <c r="F1406" i="3"/>
  <c r="E1406" i="3" a="1"/>
  <c r="E1406" i="3" s="1"/>
  <c r="D1406" i="3" a="1"/>
  <c r="D1406" i="3" s="1"/>
  <c r="F1405" i="3" a="1"/>
  <c r="F1405" i="3"/>
  <c r="E1405" i="3" a="1"/>
  <c r="E1405" i="3" s="1"/>
  <c r="D1405" i="3" a="1"/>
  <c r="D1405" i="3" s="1"/>
  <c r="F1404" i="3" a="1"/>
  <c r="F1404" i="3" s="1"/>
  <c r="E1404" i="3" a="1"/>
  <c r="E1404" i="3" s="1"/>
  <c r="D1404" i="3" a="1"/>
  <c r="D1404" i="3" s="1"/>
  <c r="F1403" i="3" a="1"/>
  <c r="F1403" i="3" s="1"/>
  <c r="E1403" i="3" a="1"/>
  <c r="E1403" i="3" s="1"/>
  <c r="D1403" i="3" a="1"/>
  <c r="D1403" i="3"/>
  <c r="F1402" i="3" a="1"/>
  <c r="F1402" i="3" s="1"/>
  <c r="E1402" i="3" a="1"/>
  <c r="E1402" i="3" s="1"/>
  <c r="D1402" i="3" a="1"/>
  <c r="D1402" i="3" s="1"/>
  <c r="F1401" i="3" a="1"/>
  <c r="F1401" i="3" s="1"/>
  <c r="E1401" i="3" a="1"/>
  <c r="E1401" i="3" s="1"/>
  <c r="D1401" i="3" a="1"/>
  <c r="D1401" i="3" s="1"/>
  <c r="F1400" i="3" a="1"/>
  <c r="F1400" i="3" s="1"/>
  <c r="E1400" i="3" a="1"/>
  <c r="E1400" i="3" s="1"/>
  <c r="D1400" i="3" a="1"/>
  <c r="D1400" i="3" s="1"/>
  <c r="F1399" i="3" a="1"/>
  <c r="F1399" i="3" s="1"/>
  <c r="E1399" i="3" a="1"/>
  <c r="E1399" i="3" s="1"/>
  <c r="D1399" i="3" a="1"/>
  <c r="D1399" i="3"/>
  <c r="F1398" i="3" a="1"/>
  <c r="F1398" i="3" s="1"/>
  <c r="E1398" i="3" a="1"/>
  <c r="E1398" i="3" s="1"/>
  <c r="D1398" i="3" a="1"/>
  <c r="D1398" i="3" s="1"/>
  <c r="F1397" i="3" a="1"/>
  <c r="F1397" i="3" s="1"/>
  <c r="E1397" i="3" a="1"/>
  <c r="E1397" i="3" s="1"/>
  <c r="D1397" i="3" a="1"/>
  <c r="D1397" i="3"/>
  <c r="F1396" i="3" a="1"/>
  <c r="F1396" i="3" s="1"/>
  <c r="E1396" i="3" a="1"/>
  <c r="E1396" i="3" s="1"/>
  <c r="D1396" i="3" a="1"/>
  <c r="D1396" i="3" s="1"/>
  <c r="F1395" i="3" a="1"/>
  <c r="F1395" i="3" s="1"/>
  <c r="E1395" i="3" a="1"/>
  <c r="E1395" i="3" s="1"/>
  <c r="D1395" i="3" a="1"/>
  <c r="D1395" i="3" s="1"/>
  <c r="F1394" i="3" a="1"/>
  <c r="F1394" i="3" s="1"/>
  <c r="E1394" i="3" a="1"/>
  <c r="E1394" i="3" s="1"/>
  <c r="D1394" i="3" a="1"/>
  <c r="D1394" i="3" s="1"/>
  <c r="F1393" i="3" a="1"/>
  <c r="F1393" i="3" s="1"/>
  <c r="E1393" i="3" a="1"/>
  <c r="E1393" i="3" s="1"/>
  <c r="D1393" i="3" a="1"/>
  <c r="D1393" i="3" s="1"/>
  <c r="F1392" i="3" a="1"/>
  <c r="F1392" i="3" s="1"/>
  <c r="E1392" i="3" a="1"/>
  <c r="E1392" i="3" s="1"/>
  <c r="D1392" i="3" a="1"/>
  <c r="D1392" i="3"/>
  <c r="F1391" i="3" a="1"/>
  <c r="F1391" i="3" s="1"/>
  <c r="E1391" i="3" a="1"/>
  <c r="E1391" i="3" s="1"/>
  <c r="D1391" i="3" a="1"/>
  <c r="D1391" i="3" s="1"/>
  <c r="F1390" i="3" a="1"/>
  <c r="F1390" i="3" s="1"/>
  <c r="E1390" i="3" a="1"/>
  <c r="E1390" i="3" s="1"/>
  <c r="D1390" i="3" a="1"/>
  <c r="D1390" i="3" s="1"/>
  <c r="F1389" i="3" a="1"/>
  <c r="F1389" i="3" s="1"/>
  <c r="E1389" i="3" a="1"/>
  <c r="E1389" i="3" s="1"/>
  <c r="D1389" i="3" a="1"/>
  <c r="D1389" i="3" s="1"/>
  <c r="F1388" i="3" a="1"/>
  <c r="F1388" i="3" s="1"/>
  <c r="E1388" i="3" a="1"/>
  <c r="E1388" i="3" s="1"/>
  <c r="D1388" i="3" a="1"/>
  <c r="D1388" i="3" s="1"/>
  <c r="F1387" i="3" a="1"/>
  <c r="F1387" i="3" s="1"/>
  <c r="E1387" i="3" a="1"/>
  <c r="E1387" i="3" s="1"/>
  <c r="D1387" i="3" a="1"/>
  <c r="D1387" i="3" s="1"/>
  <c r="F1386" i="3" a="1"/>
  <c r="F1386" i="3" s="1"/>
  <c r="E1386" i="3" a="1"/>
  <c r="E1386" i="3" s="1"/>
  <c r="D1386" i="3" a="1"/>
  <c r="D1386" i="3" s="1"/>
  <c r="F1385" i="3" a="1"/>
  <c r="F1385" i="3" s="1"/>
  <c r="E1385" i="3" a="1"/>
  <c r="E1385" i="3" s="1"/>
  <c r="D1385" i="3" a="1"/>
  <c r="D1385" i="3"/>
  <c r="F1384" i="3" a="1"/>
  <c r="F1384" i="3" s="1"/>
  <c r="E1384" i="3" a="1"/>
  <c r="E1384" i="3"/>
  <c r="D1384" i="3" a="1"/>
  <c r="D1384" i="3" s="1"/>
  <c r="F1383" i="3" a="1"/>
  <c r="F1383" i="3" s="1"/>
  <c r="E1383" i="3" a="1"/>
  <c r="E1383" i="3" s="1"/>
  <c r="D1383" i="3" a="1"/>
  <c r="D1383" i="3" s="1"/>
  <c r="F1382" i="3" a="1"/>
  <c r="F1382" i="3" s="1"/>
  <c r="E1382" i="3" a="1"/>
  <c r="E1382" i="3" s="1"/>
  <c r="D1382" i="3" a="1"/>
  <c r="D1382" i="3" s="1"/>
  <c r="F1381" i="3" a="1"/>
  <c r="F1381" i="3"/>
  <c r="E1381" i="3" a="1"/>
  <c r="E1381" i="3" s="1"/>
  <c r="D1381" i="3" a="1"/>
  <c r="D1381" i="3" s="1"/>
  <c r="F1380" i="3" a="1"/>
  <c r="F1380" i="3" s="1"/>
  <c r="E1380" i="3" a="1"/>
  <c r="E1380" i="3"/>
  <c r="D1380" i="3" a="1"/>
  <c r="D1380" i="3" s="1"/>
  <c r="F1379" i="3" a="1"/>
  <c r="F1379" i="3" s="1"/>
  <c r="E1379" i="3" a="1"/>
  <c r="E1379" i="3" s="1"/>
  <c r="D1379" i="3" a="1"/>
  <c r="D1379" i="3" s="1"/>
  <c r="F1378" i="3" a="1"/>
  <c r="F1378" i="3"/>
  <c r="E1378" i="3" a="1"/>
  <c r="E1378" i="3"/>
  <c r="D1378" i="3" a="1"/>
  <c r="D1378" i="3" s="1"/>
  <c r="F1377" i="3" a="1"/>
  <c r="F1377" i="3"/>
  <c r="E1377" i="3" a="1"/>
  <c r="E1377" i="3" s="1"/>
  <c r="D1377" i="3" a="1"/>
  <c r="D1377" i="3" s="1"/>
  <c r="F1376" i="3" a="1"/>
  <c r="F1376" i="3" s="1"/>
  <c r="E1376" i="3" a="1"/>
  <c r="E1376" i="3" s="1"/>
  <c r="D1376" i="3" a="1"/>
  <c r="D1376" i="3" s="1"/>
  <c r="F1375" i="3" a="1"/>
  <c r="F1375" i="3"/>
  <c r="E1375" i="3" a="1"/>
  <c r="E1375" i="3" s="1"/>
  <c r="D1375" i="3" a="1"/>
  <c r="D1375" i="3" s="1"/>
  <c r="F1374" i="3" a="1"/>
  <c r="F1374" i="3" s="1"/>
  <c r="E1374" i="3" a="1"/>
  <c r="E1374" i="3"/>
  <c r="D1374" i="3" a="1"/>
  <c r="D1374" i="3" s="1"/>
  <c r="F1373" i="3" a="1"/>
  <c r="F1373" i="3" s="1"/>
  <c r="E1373" i="3" a="1"/>
  <c r="E1373" i="3" s="1"/>
  <c r="D1373" i="3" a="1"/>
  <c r="D1373" i="3" s="1"/>
  <c r="F1372" i="3" a="1"/>
  <c r="F1372" i="3" s="1"/>
  <c r="E1372" i="3" a="1"/>
  <c r="E1372" i="3" s="1"/>
  <c r="D1372" i="3" a="1"/>
  <c r="D1372" i="3" s="1"/>
  <c r="F1371" i="3" a="1"/>
  <c r="F1371" i="3" s="1"/>
  <c r="E1371" i="3" a="1"/>
  <c r="E1371" i="3" s="1"/>
  <c r="D1371" i="3" a="1"/>
  <c r="D1371" i="3" s="1"/>
  <c r="F1370" i="3" a="1"/>
  <c r="F1370" i="3" s="1"/>
  <c r="E1370" i="3" a="1"/>
  <c r="E1370" i="3" s="1"/>
  <c r="D1370" i="3" a="1"/>
  <c r="D1370" i="3" s="1"/>
  <c r="F1369" i="3" a="1"/>
  <c r="F1369" i="3"/>
  <c r="E1369" i="3" a="1"/>
  <c r="E1369" i="3" s="1"/>
  <c r="D1369" i="3" a="1"/>
  <c r="D1369" i="3" s="1"/>
  <c r="F1368" i="3" a="1"/>
  <c r="F1368" i="3" s="1"/>
  <c r="E1368" i="3" a="1"/>
  <c r="E1368" i="3" s="1"/>
  <c r="D1368" i="3" a="1"/>
  <c r="D1368" i="3" s="1"/>
  <c r="F1367" i="3" a="1"/>
  <c r="F1367" i="3" s="1"/>
  <c r="E1367" i="3" a="1"/>
  <c r="E1367" i="3" s="1"/>
  <c r="D1367" i="3" a="1"/>
  <c r="D1367" i="3" s="1"/>
  <c r="F1366" i="3" a="1"/>
  <c r="F1366" i="3" s="1"/>
  <c r="E1366" i="3" a="1"/>
  <c r="E1366" i="3" s="1"/>
  <c r="D1366" i="3" a="1"/>
  <c r="D1366" i="3" s="1"/>
  <c r="F1365" i="3" a="1"/>
  <c r="F1365" i="3" s="1"/>
  <c r="E1365" i="3" a="1"/>
  <c r="E1365" i="3" s="1"/>
  <c r="D1365" i="3" a="1"/>
  <c r="D1365" i="3" s="1"/>
  <c r="F1364" i="3" a="1"/>
  <c r="F1364" i="3" s="1"/>
  <c r="E1364" i="3" a="1"/>
  <c r="E1364" i="3" s="1"/>
  <c r="D1364" i="3" a="1"/>
  <c r="D1364" i="3"/>
  <c r="F1363" i="3" a="1"/>
  <c r="F1363" i="3" s="1"/>
  <c r="E1363" i="3" a="1"/>
  <c r="E1363" i="3" s="1"/>
  <c r="D1363" i="3" a="1"/>
  <c r="D1363" i="3"/>
  <c r="F1362" i="3" a="1"/>
  <c r="F1362" i="3" s="1"/>
  <c r="E1362" i="3" a="1"/>
  <c r="E1362" i="3" s="1"/>
  <c r="D1362" i="3" a="1"/>
  <c r="D1362" i="3" s="1"/>
  <c r="F1361" i="3" a="1"/>
  <c r="F1361" i="3" s="1"/>
  <c r="E1361" i="3" a="1"/>
  <c r="E1361" i="3" s="1"/>
  <c r="D1361" i="3" a="1"/>
  <c r="D1361" i="3"/>
  <c r="F1360" i="3" a="1"/>
  <c r="F1360" i="3" s="1"/>
  <c r="E1360" i="3" a="1"/>
  <c r="E1360" i="3"/>
  <c r="D1360" i="3" a="1"/>
  <c r="D1360" i="3" s="1"/>
  <c r="F1359" i="3" a="1"/>
  <c r="F1359" i="3" s="1"/>
  <c r="E1359" i="3" a="1"/>
  <c r="E1359" i="3" s="1"/>
  <c r="D1359" i="3" a="1"/>
  <c r="D1359" i="3" s="1"/>
  <c r="F1358" i="3" a="1"/>
  <c r="F1358" i="3" s="1"/>
  <c r="E1358" i="3" a="1"/>
  <c r="E1358" i="3" s="1"/>
  <c r="D1358" i="3" a="1"/>
  <c r="D1358" i="3" s="1"/>
  <c r="F1357" i="3" a="1"/>
  <c r="F1357" i="3" s="1"/>
  <c r="E1357" i="3" a="1"/>
  <c r="E1357" i="3" s="1"/>
  <c r="D1357" i="3" a="1"/>
  <c r="D1357" i="3" s="1"/>
  <c r="F1356" i="3" a="1"/>
  <c r="F1356" i="3" s="1"/>
  <c r="E1356" i="3" a="1"/>
  <c r="E1356" i="3" s="1"/>
  <c r="D1356" i="3" a="1"/>
  <c r="D1356" i="3"/>
  <c r="F1355" i="3" a="1"/>
  <c r="F1355" i="3" s="1"/>
  <c r="E1355" i="3" a="1"/>
  <c r="E1355" i="3" s="1"/>
  <c r="D1355" i="3" a="1"/>
  <c r="D1355" i="3" s="1"/>
  <c r="F1354" i="3" a="1"/>
  <c r="F1354" i="3" s="1"/>
  <c r="E1354" i="3" a="1"/>
  <c r="E1354" i="3" s="1"/>
  <c r="D1354" i="3" a="1"/>
  <c r="D1354" i="3" s="1"/>
  <c r="F1353" i="3" a="1"/>
  <c r="F1353" i="3" s="1"/>
  <c r="E1353" i="3" a="1"/>
  <c r="E1353" i="3" s="1"/>
  <c r="D1353" i="3" a="1"/>
  <c r="D1353" i="3" s="1"/>
  <c r="F1352" i="3" a="1"/>
  <c r="F1352" i="3" s="1"/>
  <c r="E1352" i="3" a="1"/>
  <c r="E1352" i="3"/>
  <c r="D1352" i="3" a="1"/>
  <c r="D1352" i="3" s="1"/>
  <c r="F1351" i="3" a="1"/>
  <c r="F1351" i="3" s="1"/>
  <c r="E1351" i="3" a="1"/>
  <c r="E1351" i="3" s="1"/>
  <c r="D1351" i="3" a="1"/>
  <c r="D1351" i="3" s="1"/>
  <c r="F1350" i="3" a="1"/>
  <c r="F1350" i="3" s="1"/>
  <c r="E1350" i="3" a="1"/>
  <c r="E1350" i="3" s="1"/>
  <c r="D1350" i="3" a="1"/>
  <c r="D1350" i="3" s="1"/>
  <c r="F1349" i="3" a="1"/>
  <c r="F1349" i="3" s="1"/>
  <c r="E1349" i="3" a="1"/>
  <c r="E1349" i="3" s="1"/>
  <c r="D1349" i="3" a="1"/>
  <c r="D1349" i="3" s="1"/>
  <c r="F1348" i="3" a="1"/>
  <c r="F1348" i="3" s="1"/>
  <c r="E1348" i="3" a="1"/>
  <c r="E1348" i="3" s="1"/>
  <c r="D1348" i="3" a="1"/>
  <c r="D1348" i="3" s="1"/>
  <c r="F1347" i="3" a="1"/>
  <c r="F1347" i="3" s="1"/>
  <c r="E1347" i="3" a="1"/>
  <c r="E1347" i="3" s="1"/>
  <c r="D1347" i="3" a="1"/>
  <c r="D1347" i="3" s="1"/>
  <c r="F1346" i="3" a="1"/>
  <c r="F1346" i="3"/>
  <c r="E1346" i="3" a="1"/>
  <c r="E1346" i="3" s="1"/>
  <c r="D1346" i="3" a="1"/>
  <c r="D1346" i="3" s="1"/>
  <c r="F1345" i="3" a="1"/>
  <c r="F1345" i="3" s="1"/>
  <c r="E1345" i="3" a="1"/>
  <c r="E1345" i="3"/>
  <c r="D1345" i="3" a="1"/>
  <c r="D1345" i="3" s="1"/>
  <c r="F1344" i="3" a="1"/>
  <c r="F1344" i="3" s="1"/>
  <c r="E1344" i="3" a="1"/>
  <c r="E1344" i="3" s="1"/>
  <c r="D1344" i="3" a="1"/>
  <c r="D1344" i="3" s="1"/>
  <c r="F1343" i="3" a="1"/>
  <c r="F1343" i="3" s="1"/>
  <c r="E1343" i="3" a="1"/>
  <c r="E1343" i="3" s="1"/>
  <c r="D1343" i="3" a="1"/>
  <c r="D1343" i="3" s="1"/>
  <c r="F1342" i="3" a="1"/>
  <c r="F1342" i="3" s="1"/>
  <c r="E1342" i="3" a="1"/>
  <c r="E1342" i="3" s="1"/>
  <c r="D1342" i="3" a="1"/>
  <c r="D1342" i="3" s="1"/>
  <c r="F1341" i="3" a="1"/>
  <c r="F1341" i="3" s="1"/>
  <c r="E1341" i="3" a="1"/>
  <c r="E1341" i="3" s="1"/>
  <c r="D1341" i="3" a="1"/>
  <c r="D1341" i="3" s="1"/>
  <c r="F1340" i="3" a="1"/>
  <c r="F1340" i="3" s="1"/>
  <c r="E1340" i="3" a="1"/>
  <c r="E1340" i="3" s="1"/>
  <c r="D1340" i="3" a="1"/>
  <c r="D1340" i="3" s="1"/>
  <c r="F1339" i="3" a="1"/>
  <c r="F1339" i="3"/>
  <c r="E1339" i="3" a="1"/>
  <c r="E1339" i="3" s="1"/>
  <c r="D1339" i="3" a="1"/>
  <c r="D1339" i="3" s="1"/>
  <c r="F1338" i="3" a="1"/>
  <c r="F1338" i="3"/>
  <c r="E1338" i="3" a="1"/>
  <c r="E1338" i="3" s="1"/>
  <c r="D1338" i="3" a="1"/>
  <c r="D1338" i="3" s="1"/>
  <c r="F1337" i="3" a="1"/>
  <c r="F1337" i="3" s="1"/>
  <c r="E1337" i="3" a="1"/>
  <c r="E1337" i="3" s="1"/>
  <c r="D1337" i="3" a="1"/>
  <c r="D1337" i="3" s="1"/>
  <c r="F1336" i="3" a="1"/>
  <c r="F1336" i="3" s="1"/>
  <c r="E1336" i="3" a="1"/>
  <c r="E1336" i="3" s="1"/>
  <c r="D1336" i="3" a="1"/>
  <c r="D1336" i="3"/>
  <c r="F1335" i="3" a="1"/>
  <c r="F1335" i="3" s="1"/>
  <c r="E1335" i="3" a="1"/>
  <c r="E1335" i="3" s="1"/>
  <c r="D1335" i="3" a="1"/>
  <c r="D1335" i="3" s="1"/>
  <c r="F1334" i="3" a="1"/>
  <c r="F1334" i="3" s="1"/>
  <c r="E1334" i="3" a="1"/>
  <c r="E1334" i="3" s="1"/>
  <c r="D1334" i="3" a="1"/>
  <c r="D1334" i="3" s="1"/>
  <c r="F1333" i="3" a="1"/>
  <c r="F1333" i="3" s="1"/>
  <c r="E1333" i="3" a="1"/>
  <c r="E1333" i="3" s="1"/>
  <c r="D1333" i="3" a="1"/>
  <c r="D1333" i="3" s="1"/>
  <c r="F1332" i="3" a="1"/>
  <c r="F1332" i="3" s="1"/>
  <c r="E1332" i="3" a="1"/>
  <c r="E1332" i="3" s="1"/>
  <c r="D1332" i="3" a="1"/>
  <c r="D1332" i="3" s="1"/>
  <c r="F1331" i="3" a="1"/>
  <c r="F1331" i="3"/>
  <c r="E1331" i="3" a="1"/>
  <c r="E1331" i="3" s="1"/>
  <c r="D1331" i="3" a="1"/>
  <c r="D1331" i="3"/>
  <c r="F1330" i="3" a="1"/>
  <c r="F1330" i="3" s="1"/>
  <c r="E1330" i="3" a="1"/>
  <c r="E1330" i="3" s="1"/>
  <c r="D1330" i="3" a="1"/>
  <c r="D1330" i="3" s="1"/>
  <c r="F1329" i="3" a="1"/>
  <c r="F1329" i="3" s="1"/>
  <c r="E1329" i="3" a="1"/>
  <c r="E1329" i="3" s="1"/>
  <c r="D1329" i="3" a="1"/>
  <c r="D1329" i="3" s="1"/>
  <c r="F1328" i="3" a="1"/>
  <c r="F1328" i="3" s="1"/>
  <c r="E1328" i="3" a="1"/>
  <c r="E1328" i="3" s="1"/>
  <c r="D1328" i="3" a="1"/>
  <c r="D1328" i="3" s="1"/>
  <c r="F1327" i="3" a="1"/>
  <c r="F1327" i="3" s="1"/>
  <c r="E1327" i="3" a="1"/>
  <c r="E1327" i="3" s="1"/>
  <c r="D1327" i="3" a="1"/>
  <c r="D1327" i="3"/>
  <c r="F1326" i="3" a="1"/>
  <c r="F1326" i="3" s="1"/>
  <c r="E1326" i="3" a="1"/>
  <c r="E1326" i="3" s="1"/>
  <c r="D1326" i="3" a="1"/>
  <c r="D1326" i="3" s="1"/>
  <c r="F1325" i="3" a="1"/>
  <c r="F1325" i="3" s="1"/>
  <c r="E1325" i="3" a="1"/>
  <c r="E1325" i="3" s="1"/>
  <c r="D1325" i="3" a="1"/>
  <c r="D1325" i="3"/>
  <c r="F1324" i="3" a="1"/>
  <c r="F1324" i="3" s="1"/>
  <c r="E1324" i="3" a="1"/>
  <c r="E1324" i="3" s="1"/>
  <c r="D1324" i="3" a="1"/>
  <c r="D1324" i="3"/>
  <c r="F1323" i="3" a="1"/>
  <c r="F1323" i="3" s="1"/>
  <c r="E1323" i="3" a="1"/>
  <c r="E1323" i="3" s="1"/>
  <c r="D1323" i="3" a="1"/>
  <c r="D1323" i="3" s="1"/>
  <c r="F1322" i="3" a="1"/>
  <c r="F1322" i="3" s="1"/>
  <c r="E1322" i="3" a="1"/>
  <c r="E1322" i="3" s="1"/>
  <c r="D1322" i="3" a="1"/>
  <c r="D1322" i="3" s="1"/>
  <c r="F1321" i="3" a="1"/>
  <c r="F1321" i="3" s="1"/>
  <c r="E1321" i="3" a="1"/>
  <c r="E1321" i="3" s="1"/>
  <c r="D1321" i="3" a="1"/>
  <c r="D1321" i="3" s="1"/>
  <c r="F1320" i="3" a="1"/>
  <c r="F1320" i="3" s="1"/>
  <c r="E1320" i="3" a="1"/>
  <c r="E1320" i="3" s="1"/>
  <c r="D1320" i="3" a="1"/>
  <c r="D1320" i="3" s="1"/>
  <c r="F1319" i="3" a="1"/>
  <c r="F1319" i="3" s="1"/>
  <c r="E1319" i="3" a="1"/>
  <c r="E1319" i="3" s="1"/>
  <c r="D1319" i="3" a="1"/>
  <c r="D1319" i="3" s="1"/>
  <c r="F1318" i="3" a="1"/>
  <c r="F1318" i="3" s="1"/>
  <c r="E1318" i="3" a="1"/>
  <c r="E1318" i="3" s="1"/>
  <c r="D1318" i="3" a="1"/>
  <c r="D1318" i="3" s="1"/>
  <c r="F1317" i="3" a="1"/>
  <c r="F1317" i="3"/>
  <c r="E1317" i="3" a="1"/>
  <c r="E1317" i="3"/>
  <c r="D1317" i="3" a="1"/>
  <c r="D1317" i="3" s="1"/>
  <c r="F1316" i="3" a="1"/>
  <c r="F1316" i="3" s="1"/>
  <c r="E1316" i="3" a="1"/>
  <c r="E1316" i="3" s="1"/>
  <c r="D1316" i="3" a="1"/>
  <c r="D1316" i="3" s="1"/>
  <c r="F1315" i="3" a="1"/>
  <c r="F1315" i="3" s="1"/>
  <c r="E1315" i="3" a="1"/>
  <c r="E1315" i="3" s="1"/>
  <c r="D1315" i="3" a="1"/>
  <c r="D1315" i="3" s="1"/>
  <c r="F1314" i="3" a="1"/>
  <c r="F1314" i="3"/>
  <c r="E1314" i="3" a="1"/>
  <c r="E1314" i="3" s="1"/>
  <c r="D1314" i="3" a="1"/>
  <c r="D1314" i="3" s="1"/>
  <c r="F1313" i="3" a="1"/>
  <c r="F1313" i="3" s="1"/>
  <c r="E1313" i="3" a="1"/>
  <c r="E1313" i="3"/>
  <c r="D1313" i="3" a="1"/>
  <c r="D1313" i="3" s="1"/>
  <c r="F1312" i="3" a="1"/>
  <c r="F1312" i="3" s="1"/>
  <c r="E1312" i="3" a="1"/>
  <c r="E1312" i="3" s="1"/>
  <c r="D1312" i="3" a="1"/>
  <c r="D1312" i="3" s="1"/>
  <c r="F1311" i="3" a="1"/>
  <c r="F1311" i="3" s="1"/>
  <c r="E1311" i="3" a="1"/>
  <c r="E1311" i="3" s="1"/>
  <c r="D1311" i="3" a="1"/>
  <c r="D1311" i="3" s="1"/>
  <c r="F1310" i="3" a="1"/>
  <c r="F1310" i="3" s="1"/>
  <c r="E1310" i="3" a="1"/>
  <c r="E1310" i="3"/>
  <c r="D1310" i="3" a="1"/>
  <c r="D1310" i="3" s="1"/>
  <c r="F1309" i="3" a="1"/>
  <c r="F1309" i="3" s="1"/>
  <c r="E1309" i="3" a="1"/>
  <c r="E1309" i="3" s="1"/>
  <c r="D1309" i="3" a="1"/>
  <c r="D1309" i="3" s="1"/>
  <c r="F1308" i="3" a="1"/>
  <c r="F1308" i="3" s="1"/>
  <c r="E1308" i="3" a="1"/>
  <c r="E1308" i="3" s="1"/>
  <c r="D1308" i="3" a="1"/>
  <c r="D1308" i="3" s="1"/>
  <c r="F1307" i="3" a="1"/>
  <c r="F1307" i="3" s="1"/>
  <c r="E1307" i="3" a="1"/>
  <c r="E1307" i="3" s="1"/>
  <c r="D1307" i="3" a="1"/>
  <c r="D1307" i="3" s="1"/>
  <c r="F1306" i="3" a="1"/>
  <c r="F1306" i="3" s="1"/>
  <c r="E1306" i="3" a="1"/>
  <c r="E1306" i="3" s="1"/>
  <c r="D1306" i="3" a="1"/>
  <c r="D1306" i="3" s="1"/>
  <c r="F1305" i="3" a="1"/>
  <c r="F1305" i="3"/>
  <c r="E1305" i="3" a="1"/>
  <c r="E1305" i="3" s="1"/>
  <c r="D1305" i="3" a="1"/>
  <c r="D1305" i="3" s="1"/>
  <c r="F1304" i="3" a="1"/>
  <c r="F1304" i="3" s="1"/>
  <c r="E1304" i="3" a="1"/>
  <c r="E1304" i="3" s="1"/>
  <c r="D1304" i="3" a="1"/>
  <c r="D1304" i="3"/>
  <c r="F1303" i="3" a="1"/>
  <c r="F1303" i="3"/>
  <c r="E1303" i="3" a="1"/>
  <c r="E1303" i="3" s="1"/>
  <c r="D1303" i="3" a="1"/>
  <c r="D1303" i="3" s="1"/>
  <c r="F1302" i="3" a="1"/>
  <c r="F1302" i="3"/>
  <c r="E1302" i="3" a="1"/>
  <c r="E1302" i="3" s="1"/>
  <c r="D1302" i="3" a="1"/>
  <c r="D1302" i="3" s="1"/>
  <c r="F1301" i="3" a="1"/>
  <c r="F1301" i="3" s="1"/>
  <c r="E1301" i="3" a="1"/>
  <c r="E1301" i="3" s="1"/>
  <c r="D1301" i="3" a="1"/>
  <c r="D1301" i="3" s="1"/>
  <c r="F1300" i="3" a="1"/>
  <c r="F1300" i="3" s="1"/>
  <c r="E1300" i="3" a="1"/>
  <c r="E1300" i="3" s="1"/>
  <c r="D1300" i="3" a="1"/>
  <c r="D1300" i="3" s="1"/>
  <c r="F1299" i="3" a="1"/>
  <c r="F1299" i="3" s="1"/>
  <c r="E1299" i="3" a="1"/>
  <c r="E1299" i="3" s="1"/>
  <c r="D1299" i="3" a="1"/>
  <c r="D1299" i="3" s="1"/>
  <c r="F1298" i="3" a="1"/>
  <c r="F1298" i="3" s="1"/>
  <c r="E1298" i="3" a="1"/>
  <c r="E1298" i="3" s="1"/>
  <c r="D1298" i="3" a="1"/>
  <c r="D1298" i="3" s="1"/>
  <c r="F1297" i="3" a="1"/>
  <c r="F1297" i="3" s="1"/>
  <c r="E1297" i="3" a="1"/>
  <c r="E1297" i="3" s="1"/>
  <c r="D1297" i="3" a="1"/>
  <c r="D1297" i="3"/>
  <c r="F1296" i="3" a="1"/>
  <c r="F1296" i="3" s="1"/>
  <c r="E1296" i="3" a="1"/>
  <c r="E1296" i="3"/>
  <c r="D1296" i="3" a="1"/>
  <c r="D1296" i="3" s="1"/>
  <c r="F1295" i="3" a="1"/>
  <c r="F1295" i="3" s="1"/>
  <c r="E1295" i="3" a="1"/>
  <c r="E1295" i="3" s="1"/>
  <c r="D1295" i="3" a="1"/>
  <c r="D1295" i="3" s="1"/>
  <c r="F1294" i="3" a="1"/>
  <c r="F1294" i="3" s="1"/>
  <c r="E1294" i="3" a="1"/>
  <c r="E1294" i="3" s="1"/>
  <c r="D1294" i="3" a="1"/>
  <c r="D1294" i="3" s="1"/>
  <c r="F1293" i="3" a="1"/>
  <c r="F1293" i="3" s="1"/>
  <c r="E1293" i="3" a="1"/>
  <c r="E1293" i="3" s="1"/>
  <c r="D1293" i="3" a="1"/>
  <c r="D1293" i="3" s="1"/>
  <c r="F1292" i="3" a="1"/>
  <c r="F1292" i="3" s="1"/>
  <c r="E1292" i="3" a="1"/>
  <c r="E1292" i="3" s="1"/>
  <c r="D1292" i="3" a="1"/>
  <c r="D1292" i="3"/>
  <c r="F1291" i="3" a="1"/>
  <c r="F1291" i="3" s="1"/>
  <c r="E1291" i="3" a="1"/>
  <c r="E1291" i="3" s="1"/>
  <c r="D1291" i="3" a="1"/>
  <c r="D1291" i="3" s="1"/>
  <c r="F1290" i="3" a="1"/>
  <c r="F1290" i="3" s="1"/>
  <c r="E1290" i="3" a="1"/>
  <c r="E1290" i="3" s="1"/>
  <c r="D1290" i="3" a="1"/>
  <c r="D1290" i="3" s="1"/>
  <c r="F1289" i="3" a="1"/>
  <c r="F1289" i="3" s="1"/>
  <c r="E1289" i="3" a="1"/>
  <c r="E1289" i="3" s="1"/>
  <c r="D1289" i="3" a="1"/>
  <c r="D1289" i="3" s="1"/>
  <c r="F1288" i="3" a="1"/>
  <c r="F1288" i="3" s="1"/>
  <c r="E1288" i="3" a="1"/>
  <c r="E1288" i="3"/>
  <c r="D1288" i="3" a="1"/>
  <c r="D1288" i="3" s="1"/>
  <c r="F1287" i="3" a="1"/>
  <c r="F1287" i="3" s="1"/>
  <c r="E1287" i="3" a="1"/>
  <c r="E1287" i="3" s="1"/>
  <c r="D1287" i="3" a="1"/>
  <c r="D1287" i="3" s="1"/>
  <c r="F1286" i="3" a="1"/>
  <c r="F1286" i="3" s="1"/>
  <c r="E1286" i="3" a="1"/>
  <c r="E1286" i="3" s="1"/>
  <c r="D1286" i="3" a="1"/>
  <c r="D1286" i="3" s="1"/>
  <c r="F1285" i="3" a="1"/>
  <c r="F1285" i="3" s="1"/>
  <c r="E1285" i="3" a="1"/>
  <c r="E1285" i="3" s="1"/>
  <c r="D1285" i="3" a="1"/>
  <c r="D1285" i="3" s="1"/>
  <c r="F1284" i="3" a="1"/>
  <c r="F1284" i="3" s="1"/>
  <c r="E1284" i="3" a="1"/>
  <c r="E1284" i="3" s="1"/>
  <c r="D1284" i="3" a="1"/>
  <c r="D1284" i="3" s="1"/>
  <c r="F1283" i="3" a="1"/>
  <c r="F1283" i="3" s="1"/>
  <c r="E1283" i="3" a="1"/>
  <c r="E1283" i="3" s="1"/>
  <c r="D1283" i="3" a="1"/>
  <c r="D1283" i="3" s="1"/>
  <c r="F1282" i="3" a="1"/>
  <c r="F1282" i="3"/>
  <c r="E1282" i="3" a="1"/>
  <c r="E1282" i="3" s="1"/>
  <c r="D1282" i="3" a="1"/>
  <c r="D1282" i="3" s="1"/>
  <c r="F1281" i="3" a="1"/>
  <c r="F1281" i="3" s="1"/>
  <c r="E1281" i="3" a="1"/>
  <c r="E1281" i="3" s="1"/>
  <c r="D1281" i="3" a="1"/>
  <c r="D1281" i="3" s="1"/>
  <c r="F1280" i="3" a="1"/>
  <c r="F1280" i="3" s="1"/>
  <c r="E1280" i="3" a="1"/>
  <c r="E1280" i="3" s="1"/>
  <c r="D1280" i="3" a="1"/>
  <c r="D1280" i="3" s="1"/>
  <c r="F1279" i="3" a="1"/>
  <c r="F1279" i="3" s="1"/>
  <c r="E1279" i="3" a="1"/>
  <c r="E1279" i="3" s="1"/>
  <c r="D1279" i="3" a="1"/>
  <c r="D1279" i="3" s="1"/>
  <c r="F1278" i="3" a="1"/>
  <c r="F1278" i="3" s="1"/>
  <c r="E1278" i="3" a="1"/>
  <c r="E1278" i="3" s="1"/>
  <c r="D1278" i="3" a="1"/>
  <c r="D1278" i="3" s="1"/>
  <c r="F1277" i="3" a="1"/>
  <c r="F1277" i="3" s="1"/>
  <c r="E1277" i="3" a="1"/>
  <c r="E1277" i="3" s="1"/>
  <c r="D1277" i="3" a="1"/>
  <c r="D1277" i="3" s="1"/>
  <c r="F1276" i="3" a="1"/>
  <c r="F1276" i="3" s="1"/>
  <c r="E1276" i="3" a="1"/>
  <c r="E1276" i="3" s="1"/>
  <c r="D1276" i="3" a="1"/>
  <c r="D1276" i="3" s="1"/>
  <c r="F1275" i="3" a="1"/>
  <c r="F1275" i="3"/>
  <c r="E1275" i="3" a="1"/>
  <c r="E1275" i="3" s="1"/>
  <c r="D1275" i="3" a="1"/>
  <c r="D1275" i="3"/>
  <c r="F1274" i="3" a="1"/>
  <c r="F1274" i="3"/>
  <c r="E1274" i="3" a="1"/>
  <c r="E1274" i="3" s="1"/>
  <c r="D1274" i="3" a="1"/>
  <c r="D1274" i="3" s="1"/>
  <c r="F1273" i="3" a="1"/>
  <c r="F1273" i="3" s="1"/>
  <c r="E1273" i="3" a="1"/>
  <c r="E1273" i="3" s="1"/>
  <c r="D1273" i="3" a="1"/>
  <c r="D1273" i="3" s="1"/>
  <c r="F1272" i="3" a="1"/>
  <c r="F1272" i="3" s="1"/>
  <c r="E1272" i="3" a="1"/>
  <c r="E1272" i="3" s="1"/>
  <c r="D1272" i="3" a="1"/>
  <c r="D1272" i="3" s="1"/>
  <c r="F1271" i="3" a="1"/>
  <c r="F1271" i="3" s="1"/>
  <c r="E1271" i="3" a="1"/>
  <c r="E1271" i="3" s="1"/>
  <c r="D1271" i="3" a="1"/>
  <c r="D1271" i="3" s="1"/>
  <c r="F1270" i="3" a="1"/>
  <c r="F1270" i="3"/>
  <c r="E1270" i="3" a="1"/>
  <c r="E1270" i="3" s="1"/>
  <c r="D1270" i="3" a="1"/>
  <c r="D1270" i="3" s="1"/>
  <c r="F1269" i="3" a="1"/>
  <c r="F1269" i="3" s="1"/>
  <c r="E1269" i="3" a="1"/>
  <c r="E1269" i="3" s="1"/>
  <c r="D1269" i="3" a="1"/>
  <c r="D1269" i="3" s="1"/>
  <c r="F1268" i="3" a="1"/>
  <c r="F1268" i="3" s="1"/>
  <c r="E1268" i="3" a="1"/>
  <c r="E1268" i="3" s="1"/>
  <c r="D1268" i="3" a="1"/>
  <c r="D1268" i="3" s="1"/>
  <c r="F1267" i="3" a="1"/>
  <c r="F1267" i="3"/>
  <c r="E1267" i="3" a="1"/>
  <c r="E1267" i="3" s="1"/>
  <c r="D1267" i="3" a="1"/>
  <c r="D1267" i="3"/>
  <c r="F1266" i="3" a="1"/>
  <c r="F1266" i="3" s="1"/>
  <c r="E1266" i="3" a="1"/>
  <c r="E1266" i="3" s="1"/>
  <c r="D1266" i="3" a="1"/>
  <c r="D1266" i="3" s="1"/>
  <c r="F1265" i="3" a="1"/>
  <c r="F1265" i="3" s="1"/>
  <c r="E1265" i="3" a="1"/>
  <c r="E1265" i="3" s="1"/>
  <c r="D1265" i="3" a="1"/>
  <c r="D1265" i="3"/>
  <c r="F1264" i="3" a="1"/>
  <c r="F1264" i="3" s="1"/>
  <c r="E1264" i="3" a="1"/>
  <c r="E1264" i="3" s="1"/>
  <c r="D1264" i="3" a="1"/>
  <c r="D1264" i="3"/>
  <c r="F1263" i="3" a="1"/>
  <c r="F1263" i="3" s="1"/>
  <c r="E1263" i="3" a="1"/>
  <c r="E1263" i="3" s="1"/>
  <c r="D1263" i="3" a="1"/>
  <c r="D1263" i="3" s="1"/>
  <c r="F1262" i="3" a="1"/>
  <c r="F1262" i="3" s="1"/>
  <c r="E1262" i="3" a="1"/>
  <c r="E1262" i="3" s="1"/>
  <c r="D1262" i="3" a="1"/>
  <c r="D1262" i="3" s="1"/>
  <c r="F1261" i="3" a="1"/>
  <c r="F1261" i="3" s="1"/>
  <c r="E1261" i="3" a="1"/>
  <c r="E1261" i="3" s="1"/>
  <c r="D1261" i="3" a="1"/>
  <c r="D1261" i="3" s="1"/>
  <c r="F1260" i="3" a="1"/>
  <c r="F1260" i="3" s="1"/>
  <c r="E1260" i="3" a="1"/>
  <c r="E1260" i="3" s="1"/>
  <c r="D1260" i="3" a="1"/>
  <c r="D1260" i="3" s="1"/>
  <c r="F1259" i="3" a="1"/>
  <c r="F1259" i="3"/>
  <c r="E1259" i="3" a="1"/>
  <c r="E1259" i="3" s="1"/>
  <c r="D1259" i="3" a="1"/>
  <c r="D1259" i="3" s="1"/>
  <c r="F1258" i="3" a="1"/>
  <c r="F1258" i="3" s="1"/>
  <c r="E1258" i="3" a="1"/>
  <c r="E1258" i="3"/>
  <c r="D1258" i="3" a="1"/>
  <c r="D1258" i="3" s="1"/>
  <c r="F1257" i="3" a="1"/>
  <c r="F1257" i="3" s="1"/>
  <c r="E1257" i="3" a="1"/>
  <c r="E1257" i="3"/>
  <c r="D1257" i="3" a="1"/>
  <c r="D1257" i="3" s="1"/>
  <c r="F1256" i="3" a="1"/>
  <c r="F1256" i="3" s="1"/>
  <c r="E1256" i="3" a="1"/>
  <c r="E1256" i="3"/>
  <c r="D1256" i="3" a="1"/>
  <c r="D1256" i="3" s="1"/>
  <c r="F1255" i="3" a="1"/>
  <c r="F1255" i="3" s="1"/>
  <c r="E1255" i="3" a="1"/>
  <c r="E1255" i="3" s="1"/>
  <c r="D1255" i="3" a="1"/>
  <c r="D1255" i="3" s="1"/>
  <c r="F1254" i="3" a="1"/>
  <c r="F1254" i="3" s="1"/>
  <c r="E1254" i="3" a="1"/>
  <c r="E1254" i="3"/>
  <c r="D1254" i="3" a="1"/>
  <c r="D1254" i="3" s="1"/>
  <c r="F1253" i="3" a="1"/>
  <c r="F1253" i="3" s="1"/>
  <c r="E1253" i="3" a="1"/>
  <c r="E1253" i="3" s="1"/>
  <c r="D1253" i="3" a="1"/>
  <c r="D1253" i="3" s="1"/>
  <c r="F1252" i="3" a="1"/>
  <c r="F1252" i="3" s="1"/>
  <c r="E1252" i="3" a="1"/>
  <c r="E1252" i="3"/>
  <c r="D1252" i="3" a="1"/>
  <c r="D1252" i="3" s="1"/>
  <c r="F1251" i="3" a="1"/>
  <c r="F1251" i="3" s="1"/>
  <c r="E1251" i="3" a="1"/>
  <c r="E1251" i="3" s="1"/>
  <c r="D1251" i="3" a="1"/>
  <c r="D1251" i="3" s="1"/>
  <c r="F1250" i="3" a="1"/>
  <c r="F1250" i="3" s="1"/>
  <c r="E1250" i="3" a="1"/>
  <c r="E1250" i="3" s="1"/>
  <c r="D1250" i="3" a="1"/>
  <c r="D1250" i="3" s="1"/>
  <c r="F1249" i="3" a="1"/>
  <c r="F1249" i="3"/>
  <c r="E1249" i="3" a="1"/>
  <c r="E1249" i="3" s="1"/>
  <c r="D1249" i="3" a="1"/>
  <c r="D1249" i="3" s="1"/>
  <c r="F1248" i="3" a="1"/>
  <c r="F1248" i="3" s="1"/>
  <c r="E1248" i="3" a="1"/>
  <c r="E1248" i="3" s="1"/>
  <c r="D1248" i="3" a="1"/>
  <c r="D1248" i="3" s="1"/>
  <c r="F1247" i="3" a="1"/>
  <c r="F1247" i="3"/>
  <c r="E1247" i="3" a="1"/>
  <c r="E1247" i="3" s="1"/>
  <c r="D1247" i="3" a="1"/>
  <c r="D1247" i="3" s="1"/>
  <c r="F1246" i="3" a="1"/>
  <c r="F1246" i="3" s="1"/>
  <c r="E1246" i="3" a="1"/>
  <c r="E1246" i="3" s="1"/>
  <c r="D1246" i="3" a="1"/>
  <c r="D1246" i="3" s="1"/>
  <c r="F1245" i="3" a="1"/>
  <c r="F1245" i="3" s="1"/>
  <c r="E1245" i="3" a="1"/>
  <c r="E1245" i="3" s="1"/>
  <c r="D1245" i="3" a="1"/>
  <c r="D1245" i="3" s="1"/>
  <c r="F1244" i="3" a="1"/>
  <c r="F1244" i="3" s="1"/>
  <c r="E1244" i="3" a="1"/>
  <c r="E1244" i="3" s="1"/>
  <c r="D1244" i="3" a="1"/>
  <c r="D1244" i="3" s="1"/>
  <c r="F1243" i="3" a="1"/>
  <c r="F1243" i="3" s="1"/>
  <c r="E1243" i="3" a="1"/>
  <c r="E1243" i="3" s="1"/>
  <c r="D1243" i="3" a="1"/>
  <c r="D1243" i="3" s="1"/>
  <c r="F1242" i="3" a="1"/>
  <c r="F1242" i="3" s="1"/>
  <c r="E1242" i="3" a="1"/>
  <c r="E1242" i="3" s="1"/>
  <c r="D1242" i="3" a="1"/>
  <c r="D1242" i="3" s="1"/>
  <c r="F1241" i="3" a="1"/>
  <c r="F1241" i="3" s="1"/>
  <c r="E1241" i="3" a="1"/>
  <c r="E1241" i="3" s="1"/>
  <c r="D1241" i="3" a="1"/>
  <c r="D1241" i="3" s="1"/>
  <c r="F1240" i="3" a="1"/>
  <c r="F1240" i="3" s="1"/>
  <c r="E1240" i="3" a="1"/>
  <c r="E1240" i="3" s="1"/>
  <c r="D1240" i="3" a="1"/>
  <c r="D1240" i="3"/>
  <c r="F1239" i="3" a="1"/>
  <c r="F1239" i="3" s="1"/>
  <c r="E1239" i="3" a="1"/>
  <c r="E1239" i="3" s="1"/>
  <c r="D1239" i="3" a="1"/>
  <c r="D1239" i="3"/>
  <c r="F1238" i="3" a="1"/>
  <c r="F1238" i="3" s="1"/>
  <c r="E1238" i="3" a="1"/>
  <c r="E1238" i="3"/>
  <c r="D1238" i="3" a="1"/>
  <c r="D1238" i="3" s="1"/>
  <c r="F1237" i="3" a="1"/>
  <c r="F1237" i="3" s="1"/>
  <c r="E1237" i="3" a="1"/>
  <c r="E1237" i="3" s="1"/>
  <c r="D1237" i="3" a="1"/>
  <c r="D1237" i="3" s="1"/>
  <c r="F1236" i="3" a="1"/>
  <c r="F1236" i="3" s="1"/>
  <c r="E1236" i="3" a="1"/>
  <c r="E1236" i="3" s="1"/>
  <c r="D1236" i="3" a="1"/>
  <c r="D1236" i="3"/>
  <c r="F1235" i="3" a="1"/>
  <c r="F1235" i="3" s="1"/>
  <c r="E1235" i="3" a="1"/>
  <c r="E1235" i="3" s="1"/>
  <c r="D1235" i="3" a="1"/>
  <c r="D1235" i="3"/>
  <c r="F1234" i="3" a="1"/>
  <c r="F1234" i="3" s="1"/>
  <c r="E1234" i="3" a="1"/>
  <c r="E1234" i="3" s="1"/>
  <c r="D1234" i="3" a="1"/>
  <c r="D1234" i="3" s="1"/>
  <c r="F1233" i="3" a="1"/>
  <c r="F1233" i="3" s="1"/>
  <c r="E1233" i="3" a="1"/>
  <c r="E1233" i="3" s="1"/>
  <c r="D1233" i="3" a="1"/>
  <c r="D1233" i="3"/>
  <c r="F1232" i="3" a="1"/>
  <c r="F1232" i="3" s="1"/>
  <c r="E1232" i="3" a="1"/>
  <c r="E1232" i="3"/>
  <c r="D1232" i="3" a="1"/>
  <c r="D1232" i="3" s="1"/>
  <c r="F1231" i="3" a="1"/>
  <c r="F1231" i="3" s="1"/>
  <c r="E1231" i="3" a="1"/>
  <c r="E1231" i="3" s="1"/>
  <c r="D1231" i="3" a="1"/>
  <c r="D1231" i="3" s="1"/>
  <c r="F1230" i="3" a="1"/>
  <c r="F1230" i="3" s="1"/>
  <c r="E1230" i="3" a="1"/>
  <c r="E1230" i="3" s="1"/>
  <c r="D1230" i="3" a="1"/>
  <c r="D1230" i="3" s="1"/>
  <c r="F1229" i="3" a="1"/>
  <c r="F1229" i="3" s="1"/>
  <c r="E1229" i="3" a="1"/>
  <c r="E1229" i="3"/>
  <c r="D1229" i="3" a="1"/>
  <c r="D1229" i="3" s="1"/>
  <c r="F1228" i="3" a="1"/>
  <c r="F1228" i="3" s="1"/>
  <c r="E1228" i="3" a="1"/>
  <c r="E1228" i="3" s="1"/>
  <c r="D1228" i="3" a="1"/>
  <c r="D1228" i="3"/>
  <c r="F1227" i="3" a="1"/>
  <c r="F1227" i="3" s="1"/>
  <c r="E1227" i="3" a="1"/>
  <c r="E1227" i="3" s="1"/>
  <c r="D1227" i="3" a="1"/>
  <c r="D1227" i="3"/>
  <c r="F1226" i="3" a="1"/>
  <c r="F1226" i="3" s="1"/>
  <c r="E1226" i="3" a="1"/>
  <c r="E1226" i="3"/>
  <c r="D1226" i="3" a="1"/>
  <c r="D1226" i="3" s="1"/>
  <c r="F1225" i="3" a="1"/>
  <c r="F1225" i="3" s="1"/>
  <c r="E1225" i="3" a="1"/>
  <c r="E1225" i="3"/>
  <c r="D1225" i="3" a="1"/>
  <c r="D1225" i="3" s="1"/>
  <c r="F1224" i="3" a="1"/>
  <c r="F1224" i="3" s="1"/>
  <c r="E1224" i="3" a="1"/>
  <c r="E1224" i="3" s="1"/>
  <c r="D1224" i="3" a="1"/>
  <c r="D1224" i="3" s="1"/>
  <c r="F1223" i="3" a="1"/>
  <c r="F1223" i="3" s="1"/>
  <c r="E1223" i="3" a="1"/>
  <c r="E1223" i="3" s="1"/>
  <c r="D1223" i="3" a="1"/>
  <c r="D1223" i="3"/>
  <c r="F1222" i="3" a="1"/>
  <c r="F1222" i="3" s="1"/>
  <c r="E1222" i="3" a="1"/>
  <c r="E1222" i="3"/>
  <c r="D1222" i="3" a="1"/>
  <c r="D1222" i="3" s="1"/>
  <c r="F1221" i="3" a="1"/>
  <c r="F1221" i="3" s="1"/>
  <c r="E1221" i="3" a="1"/>
  <c r="E1221" i="3" s="1"/>
  <c r="D1221" i="3" a="1"/>
  <c r="D1221" i="3" s="1"/>
  <c r="F1220" i="3" a="1"/>
  <c r="F1220" i="3" s="1"/>
  <c r="E1220" i="3" a="1"/>
  <c r="E1220" i="3"/>
  <c r="D1220" i="3" a="1"/>
  <c r="D1220" i="3" s="1"/>
  <c r="F1219" i="3" a="1"/>
  <c r="F1219" i="3" s="1"/>
  <c r="E1219" i="3" a="1"/>
  <c r="E1219" i="3"/>
  <c r="D1219" i="3" a="1"/>
  <c r="D1219" i="3" s="1"/>
  <c r="F1218" i="3" a="1"/>
  <c r="F1218" i="3" s="1"/>
  <c r="E1218" i="3" a="1"/>
  <c r="E1218" i="3"/>
  <c r="D1218" i="3" a="1"/>
  <c r="D1218" i="3" s="1"/>
  <c r="F1217" i="3" a="1"/>
  <c r="F1217" i="3" s="1"/>
  <c r="E1217" i="3" a="1"/>
  <c r="E1217" i="3" s="1"/>
  <c r="D1217" i="3" a="1"/>
  <c r="D1217" i="3"/>
  <c r="F1216" i="3" a="1"/>
  <c r="F1216" i="3"/>
  <c r="E1216" i="3" a="1"/>
  <c r="E1216" i="3" s="1"/>
  <c r="D1216" i="3" a="1"/>
  <c r="D1216" i="3" s="1"/>
  <c r="F1215" i="3" a="1"/>
  <c r="F1215" i="3"/>
  <c r="E1215" i="3" a="1"/>
  <c r="E1215" i="3" s="1"/>
  <c r="D1215" i="3" a="1"/>
  <c r="D1215" i="3" s="1"/>
  <c r="F1214" i="3" a="1"/>
  <c r="F1214" i="3" s="1"/>
  <c r="E1214" i="3" a="1"/>
  <c r="E1214" i="3" s="1"/>
  <c r="D1214" i="3" a="1"/>
  <c r="D1214" i="3" s="1"/>
  <c r="F1213" i="3" a="1"/>
  <c r="F1213" i="3"/>
  <c r="E1213" i="3" a="1"/>
  <c r="E1213" i="3" s="1"/>
  <c r="D1213" i="3" a="1"/>
  <c r="D1213" i="3" s="1"/>
  <c r="F1212" i="3" a="1"/>
  <c r="F1212" i="3"/>
  <c r="E1212" i="3" a="1"/>
  <c r="E1212" i="3" s="1"/>
  <c r="D1212" i="3" a="1"/>
  <c r="D1212" i="3" s="1"/>
  <c r="F1211" i="3" a="1"/>
  <c r="F1211" i="3"/>
  <c r="E1211" i="3" a="1"/>
  <c r="E1211" i="3" s="1"/>
  <c r="D1211" i="3" a="1"/>
  <c r="D1211" i="3"/>
  <c r="F1210" i="3" a="1"/>
  <c r="F1210" i="3" s="1"/>
  <c r="E1210" i="3" a="1"/>
  <c r="E1210" i="3" s="1"/>
  <c r="D1210" i="3" a="1"/>
  <c r="D1210" i="3" s="1"/>
  <c r="F1209" i="3" a="1"/>
  <c r="F1209" i="3"/>
  <c r="E1209" i="3" a="1"/>
  <c r="E1209" i="3" s="1"/>
  <c r="D1209" i="3" a="1"/>
  <c r="D1209" i="3"/>
  <c r="F1208" i="3" a="1"/>
  <c r="F1208" i="3" s="1"/>
  <c r="E1208" i="3" a="1"/>
  <c r="E1208" i="3" s="1"/>
  <c r="D1208" i="3" a="1"/>
  <c r="D1208" i="3" s="1"/>
  <c r="F1207" i="3" a="1"/>
  <c r="F1207" i="3" s="1"/>
  <c r="E1207" i="3" a="1"/>
  <c r="E1207" i="3" s="1"/>
  <c r="D1207" i="3" a="1"/>
  <c r="D1207" i="3" s="1"/>
  <c r="F1206" i="3" a="1"/>
  <c r="F1206" i="3" s="1"/>
  <c r="E1206" i="3" a="1"/>
  <c r="E1206" i="3" s="1"/>
  <c r="D1206" i="3" a="1"/>
  <c r="D1206" i="3" s="1"/>
  <c r="F1205" i="3" a="1"/>
  <c r="F1205" i="3" s="1"/>
  <c r="E1205" i="3" a="1"/>
  <c r="E1205" i="3" s="1"/>
  <c r="D1205" i="3" a="1"/>
  <c r="D1205" i="3" s="1"/>
  <c r="F1204" i="3" a="1"/>
  <c r="F1204" i="3" s="1"/>
  <c r="E1204" i="3" a="1"/>
  <c r="E1204" i="3"/>
  <c r="D1204" i="3" a="1"/>
  <c r="D1204" i="3" s="1"/>
  <c r="F1203" i="3" a="1"/>
  <c r="F1203" i="3" s="1"/>
  <c r="E1203" i="3" a="1"/>
  <c r="E1203" i="3"/>
  <c r="D1203" i="3" a="1"/>
  <c r="D1203" i="3" s="1"/>
  <c r="F1202" i="3" a="1"/>
  <c r="F1202" i="3" s="1"/>
  <c r="E1202" i="3" a="1"/>
  <c r="E1202" i="3" s="1"/>
  <c r="D1202" i="3" a="1"/>
  <c r="D1202" i="3" s="1"/>
  <c r="F1201" i="3" a="1"/>
  <c r="F1201" i="3" s="1"/>
  <c r="E1201" i="3" a="1"/>
  <c r="E1201" i="3" s="1"/>
  <c r="D1201" i="3" a="1"/>
  <c r="D1201" i="3" s="1"/>
  <c r="F1200" i="3" a="1"/>
  <c r="F1200" i="3" s="1"/>
  <c r="E1200" i="3" a="1"/>
  <c r="E1200" i="3" s="1"/>
  <c r="D1200" i="3" a="1"/>
  <c r="D1200" i="3" s="1"/>
  <c r="F1199" i="3" a="1"/>
  <c r="F1199" i="3" s="1"/>
  <c r="E1199" i="3" a="1"/>
  <c r="E1199" i="3" s="1"/>
  <c r="D1199" i="3" a="1"/>
  <c r="D1199" i="3" s="1"/>
  <c r="F1198" i="3" a="1"/>
  <c r="F1198" i="3" s="1"/>
  <c r="E1198" i="3" a="1"/>
  <c r="E1198" i="3" s="1"/>
  <c r="D1198" i="3" a="1"/>
  <c r="D1198" i="3" s="1"/>
  <c r="F1197" i="3" a="1"/>
  <c r="F1197" i="3" s="1"/>
  <c r="E1197" i="3" a="1"/>
  <c r="E1197" i="3"/>
  <c r="D1197" i="3" a="1"/>
  <c r="D1197" i="3" s="1"/>
  <c r="F1196" i="3" a="1"/>
  <c r="F1196" i="3"/>
  <c r="E1196" i="3" a="1"/>
  <c r="E1196" i="3"/>
  <c r="D1196" i="3" a="1"/>
  <c r="D1196" i="3" s="1"/>
  <c r="F1195" i="3" a="1"/>
  <c r="F1195" i="3" s="1"/>
  <c r="E1195" i="3" a="1"/>
  <c r="E1195" i="3" s="1"/>
  <c r="D1195" i="3" a="1"/>
  <c r="D1195" i="3" s="1"/>
  <c r="F1194" i="3" a="1"/>
  <c r="F1194" i="3" s="1"/>
  <c r="E1194" i="3" a="1"/>
  <c r="E1194" i="3" s="1"/>
  <c r="D1194" i="3" a="1"/>
  <c r="D1194" i="3" s="1"/>
  <c r="F1193" i="3" a="1"/>
  <c r="F1193" i="3" s="1"/>
  <c r="E1193" i="3" a="1"/>
  <c r="E1193" i="3"/>
  <c r="D1193" i="3" a="1"/>
  <c r="D1193" i="3" s="1"/>
  <c r="F1192" i="3" a="1"/>
  <c r="F1192" i="3"/>
  <c r="E1192" i="3" a="1"/>
  <c r="E1192" i="3" s="1"/>
  <c r="D1192" i="3" a="1"/>
  <c r="D1192" i="3" s="1"/>
  <c r="F1191" i="3" a="1"/>
  <c r="F1191" i="3" s="1"/>
  <c r="E1191" i="3" a="1"/>
  <c r="E1191" i="3" s="1"/>
  <c r="D1191" i="3" a="1"/>
  <c r="D1191" i="3" s="1"/>
  <c r="F1190" i="3" a="1"/>
  <c r="F1190" i="3" s="1"/>
  <c r="E1190" i="3" a="1"/>
  <c r="E1190" i="3" s="1"/>
  <c r="D1190" i="3" a="1"/>
  <c r="D1190" i="3" s="1"/>
  <c r="F1189" i="3" a="1"/>
  <c r="F1189" i="3" s="1"/>
  <c r="E1189" i="3" a="1"/>
  <c r="E1189" i="3" s="1"/>
  <c r="D1189" i="3" a="1"/>
  <c r="D1189" i="3" s="1"/>
  <c r="F1188" i="3" a="1"/>
  <c r="F1188" i="3" s="1"/>
  <c r="E1188" i="3" a="1"/>
  <c r="E1188" i="3" s="1"/>
  <c r="D1188" i="3" a="1"/>
  <c r="D1188" i="3" s="1"/>
  <c r="F1187" i="3" a="1"/>
  <c r="F1187" i="3" s="1"/>
  <c r="E1187" i="3" a="1"/>
  <c r="E1187" i="3" s="1"/>
  <c r="D1187" i="3" a="1"/>
  <c r="D1187" i="3" s="1"/>
  <c r="F1186" i="3" a="1"/>
  <c r="F1186" i="3" s="1"/>
  <c r="E1186" i="3" a="1"/>
  <c r="E1186" i="3" s="1"/>
  <c r="D1186" i="3" a="1"/>
  <c r="D1186" i="3" s="1"/>
  <c r="F1185" i="3" a="1"/>
  <c r="F1185" i="3"/>
  <c r="E1185" i="3" a="1"/>
  <c r="E1185" i="3" s="1"/>
  <c r="D1185" i="3" a="1"/>
  <c r="D1185" i="3" s="1"/>
  <c r="F1184" i="3" a="1"/>
  <c r="F1184" i="3" s="1"/>
  <c r="E1184" i="3" a="1"/>
  <c r="E1184" i="3" s="1"/>
  <c r="D1184" i="3" a="1"/>
  <c r="D1184" i="3" s="1"/>
  <c r="F1183" i="3" a="1"/>
  <c r="F1183" i="3" s="1"/>
  <c r="E1183" i="3" a="1"/>
  <c r="E1183" i="3" s="1"/>
  <c r="D1183" i="3" a="1"/>
  <c r="D1183" i="3" s="1"/>
  <c r="F1182" i="3" a="1"/>
  <c r="F1182" i="3" s="1"/>
  <c r="E1182" i="3" a="1"/>
  <c r="E1182" i="3" s="1"/>
  <c r="D1182" i="3" a="1"/>
  <c r="D1182" i="3" s="1"/>
  <c r="F1181" i="3" a="1"/>
  <c r="F1181" i="3" s="1"/>
  <c r="E1181" i="3" a="1"/>
  <c r="E1181" i="3" s="1"/>
  <c r="D1181" i="3" a="1"/>
  <c r="D1181" i="3" s="1"/>
  <c r="F1180" i="3" a="1"/>
  <c r="F1180" i="3" s="1"/>
  <c r="E1180" i="3" a="1"/>
  <c r="E1180" i="3" s="1"/>
  <c r="D1180" i="3" a="1"/>
  <c r="D1180" i="3" s="1"/>
  <c r="F1179" i="3" a="1"/>
  <c r="F1179" i="3" s="1"/>
  <c r="E1179" i="3" a="1"/>
  <c r="E1179" i="3" s="1"/>
  <c r="D1179" i="3" a="1"/>
  <c r="D1179" i="3" s="1"/>
  <c r="F1178" i="3" a="1"/>
  <c r="F1178" i="3" s="1"/>
  <c r="E1178" i="3" a="1"/>
  <c r="E1178" i="3" s="1"/>
  <c r="D1178" i="3" a="1"/>
  <c r="D1178" i="3" s="1"/>
  <c r="F1177" i="3" a="1"/>
  <c r="F1177" i="3" s="1"/>
  <c r="E1177" i="3" a="1"/>
  <c r="E1177" i="3" s="1"/>
  <c r="D1177" i="3" a="1"/>
  <c r="D1177" i="3" s="1"/>
  <c r="F1176" i="3" a="1"/>
  <c r="F1176" i="3" s="1"/>
  <c r="E1176" i="3" a="1"/>
  <c r="E1176" i="3" s="1"/>
  <c r="D1176" i="3" a="1"/>
  <c r="D1176" i="3" s="1"/>
  <c r="F1175" i="3" a="1"/>
  <c r="F1175" i="3" s="1"/>
  <c r="E1175" i="3" a="1"/>
  <c r="E1175" i="3" s="1"/>
  <c r="D1175" i="3" a="1"/>
  <c r="D1175" i="3"/>
  <c r="F1174" i="3" a="1"/>
  <c r="F1174" i="3" s="1"/>
  <c r="E1174" i="3" a="1"/>
  <c r="E1174" i="3" s="1"/>
  <c r="D1174" i="3" a="1"/>
  <c r="D1174" i="3" s="1"/>
  <c r="F1173" i="3" a="1"/>
  <c r="F1173" i="3" s="1"/>
  <c r="E1173" i="3" a="1"/>
  <c r="E1173" i="3" s="1"/>
  <c r="D1173" i="3" a="1"/>
  <c r="D1173" i="3" s="1"/>
  <c r="F1172" i="3" a="1"/>
  <c r="F1172" i="3" s="1"/>
  <c r="E1172" i="3" a="1"/>
  <c r="E1172" i="3" s="1"/>
  <c r="D1172" i="3" a="1"/>
  <c r="D1172" i="3" s="1"/>
  <c r="F1171" i="3" a="1"/>
  <c r="F1171" i="3" s="1"/>
  <c r="E1171" i="3" a="1"/>
  <c r="E1171" i="3"/>
  <c r="D1171" i="3" a="1"/>
  <c r="D1171" i="3" s="1"/>
  <c r="F1170" i="3" a="1"/>
  <c r="F1170" i="3" s="1"/>
  <c r="E1170" i="3" a="1"/>
  <c r="E1170" i="3" s="1"/>
  <c r="D1170" i="3" a="1"/>
  <c r="D1170" i="3" s="1"/>
  <c r="F1169" i="3" a="1"/>
  <c r="F1169" i="3" s="1"/>
  <c r="E1169" i="3" a="1"/>
  <c r="E1169" i="3"/>
  <c r="D1169" i="3" a="1"/>
  <c r="D1169" i="3" s="1"/>
  <c r="F1168" i="3" a="1"/>
  <c r="F1168" i="3" s="1"/>
  <c r="E1168" i="3" a="1"/>
  <c r="E1168" i="3" s="1"/>
  <c r="D1168" i="3" a="1"/>
  <c r="D1168" i="3" s="1"/>
  <c r="F1167" i="3" a="1"/>
  <c r="F1167" i="3" s="1"/>
  <c r="E1167" i="3" a="1"/>
  <c r="E1167" i="3"/>
  <c r="D1167" i="3" a="1"/>
  <c r="D1167" i="3" s="1"/>
  <c r="F1166" i="3" a="1"/>
  <c r="F1166" i="3" s="1"/>
  <c r="E1166" i="3" a="1"/>
  <c r="E1166" i="3" s="1"/>
  <c r="D1166" i="3" a="1"/>
  <c r="D1166" i="3" s="1"/>
  <c r="F1165" i="3" a="1"/>
  <c r="F1165" i="3" s="1"/>
  <c r="E1165" i="3" a="1"/>
  <c r="E1165" i="3" s="1"/>
  <c r="D1165" i="3" a="1"/>
  <c r="D1165" i="3" s="1"/>
  <c r="F1164" i="3" a="1"/>
  <c r="F1164" i="3"/>
  <c r="E1164" i="3" a="1"/>
  <c r="E1164" i="3" s="1"/>
  <c r="D1164" i="3" a="1"/>
  <c r="D1164" i="3" s="1"/>
  <c r="F1163" i="3" a="1"/>
  <c r="F1163" i="3" s="1"/>
  <c r="E1163" i="3" a="1"/>
  <c r="E1163" i="3" s="1"/>
  <c r="D1163" i="3" a="1"/>
  <c r="D1163" i="3" s="1"/>
  <c r="F1162" i="3" a="1"/>
  <c r="F1162" i="3" s="1"/>
  <c r="E1162" i="3" a="1"/>
  <c r="E1162" i="3" s="1"/>
  <c r="D1162" i="3" a="1"/>
  <c r="D1162" i="3" s="1"/>
  <c r="F1161" i="3" a="1"/>
  <c r="F1161" i="3" s="1"/>
  <c r="E1161" i="3" a="1"/>
  <c r="E1161" i="3" s="1"/>
  <c r="D1161" i="3" a="1"/>
  <c r="D1161" i="3" s="1"/>
  <c r="F1160" i="3" a="1"/>
  <c r="F1160" i="3" s="1"/>
  <c r="E1160" i="3" a="1"/>
  <c r="E1160" i="3" s="1"/>
  <c r="D1160" i="3" a="1"/>
  <c r="D1160" i="3" s="1"/>
  <c r="F1159" i="3" a="1"/>
  <c r="F1159" i="3" s="1"/>
  <c r="E1159" i="3" a="1"/>
  <c r="E1159" i="3" s="1"/>
  <c r="D1159" i="3" a="1"/>
  <c r="D1159" i="3" s="1"/>
  <c r="F1158" i="3" a="1"/>
  <c r="F1158" i="3"/>
  <c r="E1158" i="3" a="1"/>
  <c r="E1158" i="3" s="1"/>
  <c r="D1158" i="3" a="1"/>
  <c r="D1158" i="3" s="1"/>
  <c r="F1157" i="3" a="1"/>
  <c r="F1157" i="3" s="1"/>
  <c r="E1157" i="3" a="1"/>
  <c r="E1157" i="3" s="1"/>
  <c r="D1157" i="3" a="1"/>
  <c r="D1157" i="3" s="1"/>
  <c r="F1156" i="3" a="1"/>
  <c r="F1156" i="3" s="1"/>
  <c r="E1156" i="3" a="1"/>
  <c r="E1156" i="3" s="1"/>
  <c r="D1156" i="3" a="1"/>
  <c r="D1156" i="3" s="1"/>
  <c r="F1155" i="3" a="1"/>
  <c r="F1155" i="3" s="1"/>
  <c r="E1155" i="3" a="1"/>
  <c r="E1155" i="3"/>
  <c r="D1155" i="3" a="1"/>
  <c r="D1155" i="3" s="1"/>
  <c r="F1154" i="3" a="1"/>
  <c r="F1154" i="3" s="1"/>
  <c r="E1154" i="3" a="1"/>
  <c r="E1154" i="3" s="1"/>
  <c r="D1154" i="3" a="1"/>
  <c r="D1154" i="3" s="1"/>
  <c r="F1153" i="3" a="1"/>
  <c r="F1153" i="3" s="1"/>
  <c r="E1153" i="3" a="1"/>
  <c r="E1153" i="3" s="1"/>
  <c r="D1153" i="3" a="1"/>
  <c r="D1153" i="3" s="1"/>
  <c r="F1152" i="3" a="1"/>
  <c r="F1152" i="3" s="1"/>
  <c r="E1152" i="3" a="1"/>
  <c r="E1152" i="3" s="1"/>
  <c r="D1152" i="3" a="1"/>
  <c r="D1152" i="3" s="1"/>
  <c r="F1151" i="3" a="1"/>
  <c r="F1151" i="3" s="1"/>
  <c r="E1151" i="3" a="1"/>
  <c r="E1151" i="3" s="1"/>
  <c r="D1151" i="3" a="1"/>
  <c r="D1151" i="3" s="1"/>
  <c r="F1150" i="3" a="1"/>
  <c r="F1150" i="3" s="1"/>
  <c r="E1150" i="3" a="1"/>
  <c r="E1150" i="3" s="1"/>
  <c r="D1150" i="3" a="1"/>
  <c r="D1150" i="3" s="1"/>
  <c r="F1149" i="3" a="1"/>
  <c r="F1149" i="3" s="1"/>
  <c r="E1149" i="3" a="1"/>
  <c r="E1149" i="3" s="1"/>
  <c r="D1149" i="3" a="1"/>
  <c r="D1149" i="3" s="1"/>
  <c r="F1148" i="3" a="1"/>
  <c r="F1148" i="3" s="1"/>
  <c r="E1148" i="3" a="1"/>
  <c r="E1148" i="3" s="1"/>
  <c r="D1148" i="3" a="1"/>
  <c r="D1148" i="3"/>
  <c r="F1147" i="3" a="1"/>
  <c r="F1147" i="3" s="1"/>
  <c r="E1147" i="3" a="1"/>
  <c r="E1147" i="3" s="1"/>
  <c r="D1147" i="3" a="1"/>
  <c r="D1147" i="3" s="1"/>
  <c r="F1146" i="3" a="1"/>
  <c r="F1146" i="3" s="1"/>
  <c r="E1146" i="3" a="1"/>
  <c r="E1146" i="3" s="1"/>
  <c r="D1146" i="3" a="1"/>
  <c r="D1146" i="3" s="1"/>
  <c r="F1145" i="3" a="1"/>
  <c r="F1145" i="3" s="1"/>
  <c r="E1145" i="3" a="1"/>
  <c r="E1145" i="3" s="1"/>
  <c r="D1145" i="3" a="1"/>
  <c r="D1145" i="3" s="1"/>
  <c r="F1144" i="3" a="1"/>
  <c r="F1144" i="3"/>
  <c r="E1144" i="3" a="1"/>
  <c r="E1144" i="3" s="1"/>
  <c r="D1144" i="3" a="1"/>
  <c r="D1144" i="3" s="1"/>
  <c r="F1143" i="3" a="1"/>
  <c r="F1143" i="3" s="1"/>
  <c r="E1143" i="3" a="1"/>
  <c r="E1143" i="3"/>
  <c r="D1143" i="3" a="1"/>
  <c r="D1143" i="3"/>
  <c r="F1142" i="3" a="1"/>
  <c r="F1142" i="3" s="1"/>
  <c r="E1142" i="3" a="1"/>
  <c r="E1142" i="3" s="1"/>
  <c r="D1142" i="3" a="1"/>
  <c r="D1142" i="3" s="1"/>
  <c r="F1141" i="3" a="1"/>
  <c r="F1141" i="3" s="1"/>
  <c r="E1141" i="3" a="1"/>
  <c r="E1141" i="3" s="1"/>
  <c r="D1141" i="3" a="1"/>
  <c r="D1141" i="3" s="1"/>
  <c r="F1140" i="3" a="1"/>
  <c r="F1140" i="3" s="1"/>
  <c r="E1140" i="3" a="1"/>
  <c r="E1140" i="3"/>
  <c r="D1140" i="3" a="1"/>
  <c r="D1140" i="3" s="1"/>
  <c r="F1139" i="3" a="1"/>
  <c r="F1139" i="3" s="1"/>
  <c r="E1139" i="3" a="1"/>
  <c r="E1139" i="3"/>
  <c r="D1139" i="3" a="1"/>
  <c r="D1139" i="3" s="1"/>
  <c r="F1138" i="3" a="1"/>
  <c r="F1138" i="3" s="1"/>
  <c r="E1138" i="3" a="1"/>
  <c r="E1138" i="3" s="1"/>
  <c r="D1138" i="3" a="1"/>
  <c r="D1138" i="3" s="1"/>
  <c r="F1137" i="3" a="1"/>
  <c r="F1137" i="3" s="1"/>
  <c r="E1137" i="3" a="1"/>
  <c r="E1137" i="3" s="1"/>
  <c r="D1137" i="3" a="1"/>
  <c r="D1137" i="3" s="1"/>
  <c r="F1136" i="3" a="1"/>
  <c r="F1136" i="3" s="1"/>
  <c r="E1136" i="3" a="1"/>
  <c r="E1136" i="3"/>
  <c r="D1136" i="3" a="1"/>
  <c r="D1136" i="3" s="1"/>
  <c r="F1135" i="3" a="1"/>
  <c r="F1135" i="3" s="1"/>
  <c r="E1135" i="3" a="1"/>
  <c r="E1135" i="3" s="1"/>
  <c r="D1135" i="3" a="1"/>
  <c r="D1135" i="3" s="1"/>
  <c r="F1134" i="3" a="1"/>
  <c r="F1134" i="3" s="1"/>
  <c r="E1134" i="3" a="1"/>
  <c r="E1134" i="3" s="1"/>
  <c r="D1134" i="3" a="1"/>
  <c r="D1134" i="3" s="1"/>
  <c r="F1133" i="3" a="1"/>
  <c r="F1133" i="3" s="1"/>
  <c r="E1133" i="3" a="1"/>
  <c r="E1133" i="3" s="1"/>
  <c r="D1133" i="3" a="1"/>
  <c r="D1133" i="3" s="1"/>
  <c r="F1132" i="3" a="1"/>
  <c r="F1132" i="3"/>
  <c r="E1132" i="3" a="1"/>
  <c r="E1132" i="3" s="1"/>
  <c r="D1132" i="3" a="1"/>
  <c r="D1132" i="3" s="1"/>
  <c r="F1131" i="3" a="1"/>
  <c r="F1131" i="3" s="1"/>
  <c r="E1131" i="3" a="1"/>
  <c r="E1131" i="3" s="1"/>
  <c r="D1131" i="3" a="1"/>
  <c r="D1131" i="3" s="1"/>
  <c r="F1130" i="3" a="1"/>
  <c r="F1130" i="3" s="1"/>
  <c r="E1130" i="3" a="1"/>
  <c r="E1130" i="3" s="1"/>
  <c r="D1130" i="3" a="1"/>
  <c r="D1130" i="3" s="1"/>
  <c r="F1129" i="3" a="1"/>
  <c r="F1129" i="3" s="1"/>
  <c r="E1129" i="3" a="1"/>
  <c r="E1129" i="3"/>
  <c r="D1129" i="3" a="1"/>
  <c r="D1129" i="3" s="1"/>
  <c r="F1128" i="3" a="1"/>
  <c r="F1128" i="3" s="1"/>
  <c r="E1128" i="3" a="1"/>
  <c r="E1128" i="3" s="1"/>
  <c r="D1128" i="3" a="1"/>
  <c r="D1128" i="3" s="1"/>
  <c r="F1127" i="3" a="1"/>
  <c r="F1127" i="3" s="1"/>
  <c r="E1127" i="3" a="1"/>
  <c r="E1127" i="3" s="1"/>
  <c r="D1127" i="3" a="1"/>
  <c r="D1127" i="3" s="1"/>
  <c r="F1126" i="3" a="1"/>
  <c r="F1126" i="3" s="1"/>
  <c r="E1126" i="3" a="1"/>
  <c r="E1126" i="3" s="1"/>
  <c r="D1126" i="3" a="1"/>
  <c r="D1126" i="3" s="1"/>
  <c r="F1125" i="3" a="1"/>
  <c r="F1125" i="3" s="1"/>
  <c r="E1125" i="3" a="1"/>
  <c r="E1125" i="3" s="1"/>
  <c r="D1125" i="3" a="1"/>
  <c r="D1125" i="3" s="1"/>
  <c r="F1124" i="3" a="1"/>
  <c r="F1124" i="3" s="1"/>
  <c r="E1124" i="3" a="1"/>
  <c r="E1124" i="3" s="1"/>
  <c r="D1124" i="3" a="1"/>
  <c r="D1124" i="3" s="1"/>
  <c r="F1123" i="3" a="1"/>
  <c r="F1123" i="3" s="1"/>
  <c r="E1123" i="3" a="1"/>
  <c r="E1123" i="3" s="1"/>
  <c r="D1123" i="3" a="1"/>
  <c r="D1123" i="3" s="1"/>
  <c r="F1122" i="3" a="1"/>
  <c r="F1122" i="3" s="1"/>
  <c r="E1122" i="3" a="1"/>
  <c r="E1122" i="3" s="1"/>
  <c r="D1122" i="3" a="1"/>
  <c r="D1122" i="3" s="1"/>
  <c r="F1121" i="3" a="1"/>
  <c r="F1121" i="3" s="1"/>
  <c r="E1121" i="3" a="1"/>
  <c r="E1121" i="3" s="1"/>
  <c r="D1121" i="3" a="1"/>
  <c r="D1121" i="3" s="1"/>
  <c r="F1120" i="3" a="1"/>
  <c r="F1120" i="3" s="1"/>
  <c r="E1120" i="3" a="1"/>
  <c r="E1120" i="3" s="1"/>
  <c r="D1120" i="3" a="1"/>
  <c r="D1120" i="3" s="1"/>
  <c r="F1119" i="3" a="1"/>
  <c r="F1119" i="3" s="1"/>
  <c r="E1119" i="3" a="1"/>
  <c r="E1119" i="3" s="1"/>
  <c r="D1119" i="3" a="1"/>
  <c r="D1119" i="3" s="1"/>
  <c r="F1118" i="3" a="1"/>
  <c r="F1118" i="3"/>
  <c r="E1118" i="3" a="1"/>
  <c r="E1118" i="3" s="1"/>
  <c r="D1118" i="3" a="1"/>
  <c r="D1118" i="3"/>
  <c r="F1117" i="3" a="1"/>
  <c r="F1117" i="3" s="1"/>
  <c r="E1117" i="3" a="1"/>
  <c r="E1117" i="3"/>
  <c r="D1117" i="3" a="1"/>
  <c r="D1117" i="3" s="1"/>
  <c r="F1116" i="3" a="1"/>
  <c r="F1116" i="3" s="1"/>
  <c r="E1116" i="3" a="1"/>
  <c r="E1116" i="3" s="1"/>
  <c r="D1116" i="3" a="1"/>
  <c r="D1116" i="3" s="1"/>
  <c r="F1115" i="3" a="1"/>
  <c r="F1115" i="3" s="1"/>
  <c r="E1115" i="3" a="1"/>
  <c r="E1115" i="3" s="1"/>
  <c r="D1115" i="3" a="1"/>
  <c r="D1115" i="3"/>
  <c r="F1114" i="3" a="1"/>
  <c r="F1114" i="3" s="1"/>
  <c r="E1114" i="3" a="1"/>
  <c r="E1114" i="3" s="1"/>
  <c r="D1114" i="3" a="1"/>
  <c r="D1114" i="3" s="1"/>
  <c r="F1113" i="3" a="1"/>
  <c r="F1113" i="3" s="1"/>
  <c r="E1113" i="3" a="1"/>
  <c r="E1113" i="3" s="1"/>
  <c r="D1113" i="3" a="1"/>
  <c r="D1113" i="3" s="1"/>
  <c r="F1112" i="3" a="1"/>
  <c r="F1112" i="3" s="1"/>
  <c r="E1112" i="3" a="1"/>
  <c r="E1112" i="3" s="1"/>
  <c r="D1112" i="3" a="1"/>
  <c r="D1112" i="3"/>
  <c r="F1111" i="3" a="1"/>
  <c r="F1111" i="3" s="1"/>
  <c r="E1111" i="3" a="1"/>
  <c r="E1111" i="3" s="1"/>
  <c r="D1111" i="3" a="1"/>
  <c r="D1111" i="3" s="1"/>
  <c r="F1110" i="3" a="1"/>
  <c r="F1110" i="3" s="1"/>
  <c r="E1110" i="3" a="1"/>
  <c r="E1110" i="3" s="1"/>
  <c r="D1110" i="3" a="1"/>
  <c r="D1110" i="3"/>
  <c r="F1109" i="3" a="1"/>
  <c r="F1109" i="3" s="1"/>
  <c r="E1109" i="3" a="1"/>
  <c r="E1109" i="3" s="1"/>
  <c r="D1109" i="3" a="1"/>
  <c r="D1109" i="3" s="1"/>
  <c r="F1108" i="3" a="1"/>
  <c r="F1108" i="3" s="1"/>
  <c r="E1108" i="3" a="1"/>
  <c r="E1108" i="3"/>
  <c r="D1108" i="3" a="1"/>
  <c r="D1108" i="3" s="1"/>
  <c r="F1107" i="3" a="1"/>
  <c r="F1107" i="3" s="1"/>
  <c r="E1107" i="3" a="1"/>
  <c r="E1107" i="3" s="1"/>
  <c r="D1107" i="3" a="1"/>
  <c r="D1107" i="3" s="1"/>
  <c r="F1106" i="3" a="1"/>
  <c r="F1106" i="3" s="1"/>
  <c r="E1106" i="3" a="1"/>
  <c r="E1106" i="3" s="1"/>
  <c r="D1106" i="3" a="1"/>
  <c r="D1106" i="3" s="1"/>
  <c r="F1105" i="3" a="1"/>
  <c r="F1105" i="3" s="1"/>
  <c r="E1105" i="3" a="1"/>
  <c r="E1105" i="3"/>
  <c r="D1105" i="3" a="1"/>
  <c r="D1105" i="3" s="1"/>
  <c r="F1104" i="3" a="1"/>
  <c r="F1104" i="3" s="1"/>
  <c r="E1104" i="3" a="1"/>
  <c r="E1104" i="3" s="1"/>
  <c r="D1104" i="3" a="1"/>
  <c r="D1104" i="3"/>
  <c r="F1103" i="3" a="1"/>
  <c r="F1103" i="3" s="1"/>
  <c r="E1103" i="3" a="1"/>
  <c r="E1103" i="3"/>
  <c r="D1103" i="3" a="1"/>
  <c r="D1103" i="3" s="1"/>
  <c r="F1102" i="3" a="1"/>
  <c r="F1102" i="3" s="1"/>
  <c r="E1102" i="3" a="1"/>
  <c r="E1102" i="3" s="1"/>
  <c r="D1102" i="3" a="1"/>
  <c r="D1102" i="3"/>
  <c r="F1101" i="3" a="1"/>
  <c r="F1101" i="3" s="1"/>
  <c r="E1101" i="3" a="1"/>
  <c r="E1101" i="3"/>
  <c r="D1101" i="3" a="1"/>
  <c r="D1101" i="3" s="1"/>
  <c r="F1100" i="3" a="1"/>
  <c r="F1100" i="3" s="1"/>
  <c r="E1100" i="3" a="1"/>
  <c r="E1100" i="3"/>
  <c r="D1100" i="3" a="1"/>
  <c r="D1100" i="3" s="1"/>
  <c r="F1099" i="3" a="1"/>
  <c r="F1099" i="3" s="1"/>
  <c r="E1099" i="3" a="1"/>
  <c r="E1099" i="3" s="1"/>
  <c r="D1099" i="3" a="1"/>
  <c r="D1099" i="3" s="1"/>
  <c r="F1098" i="3" a="1"/>
  <c r="F1098" i="3" s="1"/>
  <c r="E1098" i="3" a="1"/>
  <c r="E1098" i="3" s="1"/>
  <c r="D1098" i="3" a="1"/>
  <c r="D1098" i="3" s="1"/>
  <c r="F1097" i="3" a="1"/>
  <c r="F1097" i="3" s="1"/>
  <c r="E1097" i="3" a="1"/>
  <c r="E1097" i="3" s="1"/>
  <c r="D1097" i="3" a="1"/>
  <c r="D1097" i="3" s="1"/>
  <c r="F1096" i="3" a="1"/>
  <c r="F1096" i="3"/>
  <c r="E1096" i="3" a="1"/>
  <c r="E1096" i="3" s="1"/>
  <c r="D1096" i="3" a="1"/>
  <c r="D1096" i="3" s="1"/>
  <c r="F1095" i="3" a="1"/>
  <c r="F1095" i="3" s="1"/>
  <c r="E1095" i="3" a="1"/>
  <c r="E1095" i="3" s="1"/>
  <c r="D1095" i="3" a="1"/>
  <c r="D1095" i="3" s="1"/>
  <c r="F1094" i="3" a="1"/>
  <c r="F1094" i="3" s="1"/>
  <c r="E1094" i="3" a="1"/>
  <c r="E1094" i="3" s="1"/>
  <c r="D1094" i="3" a="1"/>
  <c r="D1094" i="3" s="1"/>
  <c r="F1093" i="3" a="1"/>
  <c r="F1093" i="3" s="1"/>
  <c r="E1093" i="3" a="1"/>
  <c r="E1093" i="3" s="1"/>
  <c r="D1093" i="3" a="1"/>
  <c r="D1093" i="3" s="1"/>
  <c r="F1092" i="3" a="1"/>
  <c r="F1092" i="3" s="1"/>
  <c r="E1092" i="3" a="1"/>
  <c r="E1092" i="3" s="1"/>
  <c r="D1092" i="3" a="1"/>
  <c r="D1092" i="3" s="1"/>
  <c r="F1091" i="3" a="1"/>
  <c r="F1091" i="3" s="1"/>
  <c r="E1091" i="3" a="1"/>
  <c r="E1091" i="3" s="1"/>
  <c r="D1091" i="3" a="1"/>
  <c r="D1091" i="3" s="1"/>
  <c r="F1090" i="3" a="1"/>
  <c r="F1090" i="3" s="1"/>
  <c r="E1090" i="3" a="1"/>
  <c r="E1090" i="3" s="1"/>
  <c r="D1090" i="3" a="1"/>
  <c r="D1090" i="3" s="1"/>
  <c r="F1089" i="3" a="1"/>
  <c r="F1089" i="3"/>
  <c r="E1089" i="3" a="1"/>
  <c r="E1089" i="3" s="1"/>
  <c r="D1089" i="3" a="1"/>
  <c r="D1089" i="3" s="1"/>
  <c r="F1088" i="3" a="1"/>
  <c r="F1088" i="3" s="1"/>
  <c r="E1088" i="3" a="1"/>
  <c r="E1088" i="3" s="1"/>
  <c r="D1088" i="3" a="1"/>
  <c r="D1088" i="3" s="1"/>
  <c r="F1087" i="3" a="1"/>
  <c r="F1087" i="3" s="1"/>
  <c r="E1087" i="3" a="1"/>
  <c r="E1087" i="3" s="1"/>
  <c r="D1087" i="3" a="1"/>
  <c r="D1087" i="3" s="1"/>
  <c r="F1086" i="3" a="1"/>
  <c r="F1086" i="3" s="1"/>
  <c r="E1086" i="3" a="1"/>
  <c r="E1086" i="3" s="1"/>
  <c r="D1086" i="3" a="1"/>
  <c r="D1086" i="3" s="1"/>
  <c r="F1085" i="3" a="1"/>
  <c r="F1085" i="3" s="1"/>
  <c r="E1085" i="3" a="1"/>
  <c r="E1085" i="3" s="1"/>
  <c r="D1085" i="3" a="1"/>
  <c r="D1085" i="3" s="1"/>
  <c r="F1084" i="3" a="1"/>
  <c r="F1084" i="3" s="1"/>
  <c r="E1084" i="3" a="1"/>
  <c r="E1084" i="3"/>
  <c r="D1084" i="3" a="1"/>
  <c r="D1084" i="3" s="1"/>
  <c r="F1083" i="3" a="1"/>
  <c r="F1083" i="3" s="1"/>
  <c r="E1083" i="3" a="1"/>
  <c r="E1083" i="3" s="1"/>
  <c r="D1083" i="3" a="1"/>
  <c r="D1083" i="3" s="1"/>
  <c r="F1082" i="3" a="1"/>
  <c r="F1082" i="3" s="1"/>
  <c r="E1082" i="3" a="1"/>
  <c r="E1082" i="3" s="1"/>
  <c r="D1082" i="3" a="1"/>
  <c r="D1082" i="3" s="1"/>
  <c r="F1081" i="3" a="1"/>
  <c r="F1081" i="3" s="1"/>
  <c r="E1081" i="3" a="1"/>
  <c r="E1081" i="3" s="1"/>
  <c r="D1081" i="3" a="1"/>
  <c r="D1081" i="3" s="1"/>
  <c r="F1080" i="3" a="1"/>
  <c r="F1080" i="3" s="1"/>
  <c r="E1080" i="3" a="1"/>
  <c r="E1080" i="3" s="1"/>
  <c r="D1080" i="3" a="1"/>
  <c r="D1080" i="3" s="1"/>
  <c r="F1079" i="3" a="1"/>
  <c r="F1079" i="3" s="1"/>
  <c r="E1079" i="3" a="1"/>
  <c r="E1079" i="3" s="1"/>
  <c r="D1079" i="3" a="1"/>
  <c r="D1079" i="3" s="1"/>
  <c r="F1078" i="3" a="1"/>
  <c r="F1078" i="3" s="1"/>
  <c r="E1078" i="3" a="1"/>
  <c r="E1078" i="3" s="1"/>
  <c r="D1078" i="3" a="1"/>
  <c r="D1078" i="3" s="1"/>
  <c r="F1077" i="3" a="1"/>
  <c r="F1077" i="3" s="1"/>
  <c r="E1077" i="3" a="1"/>
  <c r="E1077" i="3" s="1"/>
  <c r="D1077" i="3" a="1"/>
  <c r="D1077" i="3" s="1"/>
  <c r="F1076" i="3" a="1"/>
  <c r="F1076" i="3" s="1"/>
  <c r="E1076" i="3" a="1"/>
  <c r="E1076" i="3" s="1"/>
  <c r="D1076" i="3" a="1"/>
  <c r="D1076" i="3" s="1"/>
  <c r="F1075" i="3" a="1"/>
  <c r="F1075" i="3" s="1"/>
  <c r="E1075" i="3" a="1"/>
  <c r="E1075" i="3"/>
  <c r="D1075" i="3" a="1"/>
  <c r="D1075" i="3" s="1"/>
  <c r="F1074" i="3" a="1"/>
  <c r="F1074" i="3" s="1"/>
  <c r="E1074" i="3" a="1"/>
  <c r="E1074" i="3" s="1"/>
  <c r="D1074" i="3" a="1"/>
  <c r="D1074" i="3" s="1"/>
  <c r="F1073" i="3" a="1"/>
  <c r="F1073" i="3" s="1"/>
  <c r="E1073" i="3" a="1"/>
  <c r="E1073" i="3" s="1"/>
  <c r="D1073" i="3" a="1"/>
  <c r="D1073" i="3" s="1"/>
  <c r="F1072" i="3" a="1"/>
  <c r="F1072" i="3" s="1"/>
  <c r="E1072" i="3" a="1"/>
  <c r="E1072" i="3" s="1"/>
  <c r="D1072" i="3" a="1"/>
  <c r="D1072" i="3" s="1"/>
  <c r="F1071" i="3" a="1"/>
  <c r="F1071" i="3" s="1"/>
  <c r="E1071" i="3" a="1"/>
  <c r="E1071" i="3" s="1"/>
  <c r="D1071" i="3" a="1"/>
  <c r="D1071" i="3" s="1"/>
  <c r="F1070" i="3" a="1"/>
  <c r="F1070" i="3" s="1"/>
  <c r="E1070" i="3" a="1"/>
  <c r="E1070" i="3" s="1"/>
  <c r="D1070" i="3" a="1"/>
  <c r="D1070" i="3"/>
  <c r="F1069" i="3" a="1"/>
  <c r="F1069" i="3" s="1"/>
  <c r="E1069" i="3" a="1"/>
  <c r="E1069" i="3" s="1"/>
  <c r="D1069" i="3" a="1"/>
  <c r="D1069" i="3" s="1"/>
  <c r="F1068" i="3" a="1"/>
  <c r="F1068" i="3" s="1"/>
  <c r="E1068" i="3" a="1"/>
  <c r="E1068" i="3" s="1"/>
  <c r="D1068" i="3" a="1"/>
  <c r="D1068" i="3" s="1"/>
  <c r="F1067" i="3" a="1"/>
  <c r="F1067" i="3" s="1"/>
  <c r="E1067" i="3" a="1"/>
  <c r="E1067" i="3" s="1"/>
  <c r="D1067" i="3" a="1"/>
  <c r="D1067" i="3" s="1"/>
  <c r="F1066" i="3" a="1"/>
  <c r="F1066" i="3" s="1"/>
  <c r="E1066" i="3" a="1"/>
  <c r="E1066" i="3" s="1"/>
  <c r="D1066" i="3" a="1"/>
  <c r="D1066" i="3" s="1"/>
  <c r="F1065" i="3" a="1"/>
  <c r="F1065" i="3" s="1"/>
  <c r="E1065" i="3" a="1"/>
  <c r="E1065" i="3" s="1"/>
  <c r="D1065" i="3" a="1"/>
  <c r="D1065" i="3" s="1"/>
  <c r="F1064" i="3" a="1"/>
  <c r="F1064" i="3" s="1"/>
  <c r="E1064" i="3" a="1"/>
  <c r="E1064" i="3" s="1"/>
  <c r="D1064" i="3" a="1"/>
  <c r="D1064" i="3" s="1"/>
  <c r="F1063" i="3" a="1"/>
  <c r="F1063" i="3" s="1"/>
  <c r="E1063" i="3" a="1"/>
  <c r="E1063" i="3" s="1"/>
  <c r="D1063" i="3" a="1"/>
  <c r="D1063" i="3"/>
  <c r="F1062" i="3" a="1"/>
  <c r="F1062" i="3" s="1"/>
  <c r="E1062" i="3" a="1"/>
  <c r="E1062" i="3" s="1"/>
  <c r="D1062" i="3" a="1"/>
  <c r="D1062" i="3" s="1"/>
  <c r="F1061" i="3" a="1"/>
  <c r="F1061" i="3" s="1"/>
  <c r="E1061" i="3" a="1"/>
  <c r="E1061" i="3" s="1"/>
  <c r="D1061" i="3" a="1"/>
  <c r="D1061" i="3" s="1"/>
  <c r="F1060" i="3" a="1"/>
  <c r="F1060" i="3" s="1"/>
  <c r="E1060" i="3" a="1"/>
  <c r="E1060" i="3" s="1"/>
  <c r="D1060" i="3" a="1"/>
  <c r="D1060" i="3" s="1"/>
  <c r="F1059" i="3" a="1"/>
  <c r="F1059" i="3" s="1"/>
  <c r="E1059" i="3" a="1"/>
  <c r="E1059" i="3" s="1"/>
  <c r="D1059" i="3" a="1"/>
  <c r="D1059" i="3" s="1"/>
  <c r="F1058" i="3" a="1"/>
  <c r="F1058" i="3" s="1"/>
  <c r="E1058" i="3" a="1"/>
  <c r="E1058" i="3" s="1"/>
  <c r="D1058" i="3" a="1"/>
  <c r="D1058" i="3" s="1"/>
  <c r="F1057" i="3" a="1"/>
  <c r="F1057" i="3" s="1"/>
  <c r="E1057" i="3" a="1"/>
  <c r="E1057" i="3" s="1"/>
  <c r="D1057" i="3" a="1"/>
  <c r="D1057" i="3" s="1"/>
  <c r="F1056" i="3" a="1"/>
  <c r="F1056" i="3" s="1"/>
  <c r="E1056" i="3" a="1"/>
  <c r="E1056" i="3" s="1"/>
  <c r="D1056" i="3" a="1"/>
  <c r="D1056" i="3" s="1"/>
  <c r="F1055" i="3" a="1"/>
  <c r="F1055" i="3" s="1"/>
  <c r="E1055" i="3" a="1"/>
  <c r="E1055" i="3" s="1"/>
  <c r="D1055" i="3" a="1"/>
  <c r="D1055" i="3" s="1"/>
  <c r="F1054" i="3" a="1"/>
  <c r="F1054" i="3" s="1"/>
  <c r="E1054" i="3" a="1"/>
  <c r="E1054" i="3" s="1"/>
  <c r="D1054" i="3" a="1"/>
  <c r="D1054" i="3"/>
  <c r="F1053" i="3" a="1"/>
  <c r="F1053" i="3" s="1"/>
  <c r="E1053" i="3" a="1"/>
  <c r="E1053" i="3" s="1"/>
  <c r="D1053" i="3" a="1"/>
  <c r="D1053" i="3" s="1"/>
  <c r="F1052" i="3" a="1"/>
  <c r="F1052" i="3" s="1"/>
  <c r="E1052" i="3" a="1"/>
  <c r="E1052" i="3" s="1"/>
  <c r="D1052" i="3" a="1"/>
  <c r="D1052" i="3" s="1"/>
  <c r="F1051" i="3" a="1"/>
  <c r="F1051" i="3" s="1"/>
  <c r="E1051" i="3" a="1"/>
  <c r="E1051" i="3" s="1"/>
  <c r="D1051" i="3" a="1"/>
  <c r="D1051" i="3" s="1"/>
  <c r="F1050" i="3" a="1"/>
  <c r="F1050" i="3" s="1"/>
  <c r="E1050" i="3" a="1"/>
  <c r="E1050" i="3" s="1"/>
  <c r="D1050" i="3" a="1"/>
  <c r="D1050" i="3" s="1"/>
  <c r="F1049" i="3" a="1"/>
  <c r="F1049" i="3" s="1"/>
  <c r="E1049" i="3" a="1"/>
  <c r="E1049" i="3" s="1"/>
  <c r="D1049" i="3" a="1"/>
  <c r="D1049" i="3" s="1"/>
  <c r="F1048" i="3" a="1"/>
  <c r="F1048" i="3" s="1"/>
  <c r="E1048" i="3" a="1"/>
  <c r="E1048" i="3" s="1"/>
  <c r="D1048" i="3" a="1"/>
  <c r="D1048" i="3" s="1"/>
  <c r="F1047" i="3" a="1"/>
  <c r="F1047" i="3" s="1"/>
  <c r="E1047" i="3" a="1"/>
  <c r="E1047" i="3" s="1"/>
  <c r="D1047" i="3" a="1"/>
  <c r="D1047" i="3"/>
  <c r="F1046" i="3" a="1"/>
  <c r="F1046" i="3" s="1"/>
  <c r="E1046" i="3" a="1"/>
  <c r="E1046" i="3" s="1"/>
  <c r="D1046" i="3" a="1"/>
  <c r="D1046" i="3" s="1"/>
  <c r="F1045" i="3" a="1"/>
  <c r="F1045" i="3" s="1"/>
  <c r="E1045" i="3" a="1"/>
  <c r="E1045" i="3" s="1"/>
  <c r="D1045" i="3" a="1"/>
  <c r="D1045" i="3" s="1"/>
  <c r="F1044" i="3" a="1"/>
  <c r="F1044" i="3" s="1"/>
  <c r="E1044" i="3" a="1"/>
  <c r="E1044" i="3" s="1"/>
  <c r="D1044" i="3" a="1"/>
  <c r="D1044" i="3" s="1"/>
  <c r="F1043" i="3" a="1"/>
  <c r="F1043" i="3" s="1"/>
  <c r="E1043" i="3" a="1"/>
  <c r="E1043" i="3" s="1"/>
  <c r="D1043" i="3" a="1"/>
  <c r="D1043" i="3" s="1"/>
  <c r="F1042" i="3" a="1"/>
  <c r="F1042" i="3" s="1"/>
  <c r="E1042" i="3" a="1"/>
  <c r="E1042" i="3" s="1"/>
  <c r="D1042" i="3" a="1"/>
  <c r="D1042" i="3" s="1"/>
  <c r="F1041" i="3" a="1"/>
  <c r="F1041" i="3" s="1"/>
  <c r="E1041" i="3" a="1"/>
  <c r="E1041" i="3" s="1"/>
  <c r="D1041" i="3" a="1"/>
  <c r="D1041" i="3" s="1"/>
  <c r="F1040" i="3" a="1"/>
  <c r="F1040" i="3" s="1"/>
  <c r="E1040" i="3" a="1"/>
  <c r="E1040" i="3" s="1"/>
  <c r="D1040" i="3" a="1"/>
  <c r="D1040" i="3" s="1"/>
  <c r="F1039" i="3" a="1"/>
  <c r="F1039" i="3" s="1"/>
  <c r="E1039" i="3" a="1"/>
  <c r="E1039" i="3" s="1"/>
  <c r="D1039" i="3" a="1"/>
  <c r="D1039" i="3" s="1"/>
  <c r="F1038" i="3" a="1"/>
  <c r="F1038" i="3" s="1"/>
  <c r="E1038" i="3" a="1"/>
  <c r="E1038" i="3" s="1"/>
  <c r="D1038" i="3" a="1"/>
  <c r="D1038" i="3" s="1"/>
  <c r="F1037" i="3" a="1"/>
  <c r="F1037" i="3" s="1"/>
  <c r="E1037" i="3" a="1"/>
  <c r="E1037" i="3" s="1"/>
  <c r="D1037" i="3" a="1"/>
  <c r="D1037" i="3" s="1"/>
  <c r="F1036" i="3" a="1"/>
  <c r="F1036" i="3" s="1"/>
  <c r="E1036" i="3" a="1"/>
  <c r="E1036" i="3" s="1"/>
  <c r="D1036" i="3" a="1"/>
  <c r="D1036" i="3" s="1"/>
  <c r="F1035" i="3" a="1"/>
  <c r="F1035" i="3" s="1"/>
  <c r="E1035" i="3" a="1"/>
  <c r="E1035" i="3" s="1"/>
  <c r="D1035" i="3" a="1"/>
  <c r="D1035" i="3" s="1"/>
  <c r="F1034" i="3" a="1"/>
  <c r="F1034" i="3" s="1"/>
  <c r="E1034" i="3" a="1"/>
  <c r="E1034" i="3" s="1"/>
  <c r="D1034" i="3" a="1"/>
  <c r="D1034" i="3" s="1"/>
  <c r="F1033" i="3" a="1"/>
  <c r="F1033" i="3" s="1"/>
  <c r="E1033" i="3" a="1"/>
  <c r="E1033" i="3" s="1"/>
  <c r="D1033" i="3" a="1"/>
  <c r="D1033" i="3" s="1"/>
  <c r="F1032" i="3" a="1"/>
  <c r="F1032" i="3" s="1"/>
  <c r="E1032" i="3" a="1"/>
  <c r="E1032" i="3" s="1"/>
  <c r="D1032" i="3" a="1"/>
  <c r="D1032" i="3" s="1"/>
  <c r="F1031" i="3" a="1"/>
  <c r="F1031" i="3" s="1"/>
  <c r="E1031" i="3" a="1"/>
  <c r="E1031" i="3" s="1"/>
  <c r="D1031" i="3" a="1"/>
  <c r="D1031" i="3" s="1"/>
  <c r="F1030" i="3" a="1"/>
  <c r="F1030" i="3" s="1"/>
  <c r="E1030" i="3" a="1"/>
  <c r="E1030" i="3" s="1"/>
  <c r="D1030" i="3" a="1"/>
  <c r="D1030" i="3" s="1"/>
  <c r="F1029" i="3" a="1"/>
  <c r="F1029" i="3" s="1"/>
  <c r="E1029" i="3" a="1"/>
  <c r="E1029" i="3" s="1"/>
  <c r="D1029" i="3" a="1"/>
  <c r="D1029" i="3" s="1"/>
  <c r="F1028" i="3" a="1"/>
  <c r="F1028" i="3"/>
  <c r="E1028" i="3" a="1"/>
  <c r="E1028" i="3" s="1"/>
  <c r="D1028" i="3" a="1"/>
  <c r="D1028" i="3" s="1"/>
  <c r="F1027" i="3" a="1"/>
  <c r="F1027" i="3" s="1"/>
  <c r="E1027" i="3" a="1"/>
  <c r="E1027" i="3" s="1"/>
  <c r="D1027" i="3" a="1"/>
  <c r="D1027" i="3" s="1"/>
  <c r="F1026" i="3" a="1"/>
  <c r="F1026" i="3" s="1"/>
  <c r="E1026" i="3" a="1"/>
  <c r="E1026" i="3" s="1"/>
  <c r="D1026" i="3" a="1"/>
  <c r="D1026" i="3" s="1"/>
  <c r="F1025" i="3" a="1"/>
  <c r="F1025" i="3" s="1"/>
  <c r="E1025" i="3" a="1"/>
  <c r="E1025" i="3" s="1"/>
  <c r="D1025" i="3" a="1"/>
  <c r="D1025" i="3" s="1"/>
  <c r="F1024" i="3" a="1"/>
  <c r="F1024" i="3" s="1"/>
  <c r="E1024" i="3" a="1"/>
  <c r="E1024" i="3" s="1"/>
  <c r="D1024" i="3" a="1"/>
  <c r="D1024" i="3" s="1"/>
  <c r="F1023" i="3" a="1"/>
  <c r="F1023" i="3" s="1"/>
  <c r="E1023" i="3" a="1"/>
  <c r="E1023" i="3" s="1"/>
  <c r="D1023" i="3" a="1"/>
  <c r="D1023" i="3" s="1"/>
  <c r="F1022" i="3" a="1"/>
  <c r="F1022" i="3" s="1"/>
  <c r="E1022" i="3" a="1"/>
  <c r="E1022" i="3" s="1"/>
  <c r="D1022" i="3" a="1"/>
  <c r="D1022" i="3" s="1"/>
  <c r="F1021" i="3" a="1"/>
  <c r="F1021" i="3" s="1"/>
  <c r="E1021" i="3" a="1"/>
  <c r="E1021" i="3" s="1"/>
  <c r="D1021" i="3" a="1"/>
  <c r="D1021" i="3" s="1"/>
  <c r="F1020" i="3" a="1"/>
  <c r="F1020" i="3" s="1"/>
  <c r="E1020" i="3" a="1"/>
  <c r="E1020" i="3" s="1"/>
  <c r="D1020" i="3" a="1"/>
  <c r="D1020" i="3" s="1"/>
  <c r="F1019" i="3" a="1"/>
  <c r="F1019" i="3" s="1"/>
  <c r="E1019" i="3" a="1"/>
  <c r="E1019" i="3" s="1"/>
  <c r="D1019" i="3" a="1"/>
  <c r="D1019" i="3" s="1"/>
  <c r="F1018" i="3" a="1"/>
  <c r="F1018" i="3" s="1"/>
  <c r="E1018" i="3" a="1"/>
  <c r="E1018" i="3" s="1"/>
  <c r="D1018" i="3" a="1"/>
  <c r="D1018" i="3" s="1"/>
  <c r="F1017" i="3" a="1"/>
  <c r="F1017" i="3" s="1"/>
  <c r="E1017" i="3" a="1"/>
  <c r="E1017" i="3" s="1"/>
  <c r="D1017" i="3" a="1"/>
  <c r="D1017" i="3" s="1"/>
  <c r="F1016" i="3" a="1"/>
  <c r="F1016" i="3" s="1"/>
  <c r="E1016" i="3" a="1"/>
  <c r="E1016" i="3" s="1"/>
  <c r="D1016" i="3" a="1"/>
  <c r="D1016" i="3" s="1"/>
  <c r="F1015" i="3" a="1"/>
  <c r="F1015" i="3"/>
  <c r="E1015" i="3" a="1"/>
  <c r="E1015" i="3" s="1"/>
  <c r="D1015" i="3" a="1"/>
  <c r="D1015" i="3"/>
  <c r="F1014" i="3" a="1"/>
  <c r="F1014" i="3" s="1"/>
  <c r="E1014" i="3" a="1"/>
  <c r="E1014" i="3" s="1"/>
  <c r="D1014" i="3" a="1"/>
  <c r="D1014" i="3" s="1"/>
  <c r="F1013" i="3" a="1"/>
  <c r="F1013" i="3" s="1"/>
  <c r="E1013" i="3" a="1"/>
  <c r="E1013" i="3" s="1"/>
  <c r="D1013" i="3" a="1"/>
  <c r="D1013" i="3" s="1"/>
  <c r="F1012" i="3" a="1"/>
  <c r="F1012" i="3"/>
  <c r="E1012" i="3" a="1"/>
  <c r="E1012" i="3" s="1"/>
  <c r="D1012" i="3" a="1"/>
  <c r="D1012" i="3" s="1"/>
  <c r="F1011" i="3" a="1"/>
  <c r="F1011" i="3" s="1"/>
  <c r="E1011" i="3" a="1"/>
  <c r="E1011" i="3" s="1"/>
  <c r="D1011" i="3" a="1"/>
  <c r="D1011" i="3" s="1"/>
  <c r="F1010" i="3" a="1"/>
  <c r="F1010" i="3" s="1"/>
  <c r="E1010" i="3" a="1"/>
  <c r="E1010" i="3" s="1"/>
  <c r="D1010" i="3" a="1"/>
  <c r="D1010" i="3"/>
  <c r="F1009" i="3" a="1"/>
  <c r="F1009" i="3" s="1"/>
  <c r="E1009" i="3" a="1"/>
  <c r="E1009" i="3" s="1"/>
  <c r="D1009" i="3" a="1"/>
  <c r="D1009" i="3" s="1"/>
  <c r="F1008" i="3" a="1"/>
  <c r="F1008" i="3" s="1"/>
  <c r="E1008" i="3" a="1"/>
  <c r="E1008" i="3" s="1"/>
  <c r="D1008" i="3" a="1"/>
  <c r="D1008" i="3" s="1"/>
  <c r="F1007" i="3" a="1"/>
  <c r="F1007" i="3" s="1"/>
  <c r="E1007" i="3" a="1"/>
  <c r="E1007" i="3" s="1"/>
  <c r="D1007" i="3" a="1"/>
  <c r="D1007" i="3" s="1"/>
  <c r="F1006" i="3" a="1"/>
  <c r="F1006" i="3" s="1"/>
  <c r="E1006" i="3" a="1"/>
  <c r="E1006" i="3" s="1"/>
  <c r="D1006" i="3" a="1"/>
  <c r="D1006" i="3" s="1"/>
  <c r="F1005" i="3" a="1"/>
  <c r="F1005" i="3" s="1"/>
  <c r="E1005" i="3" a="1"/>
  <c r="E1005" i="3" s="1"/>
  <c r="D1005" i="3" a="1"/>
  <c r="D1005" i="3" s="1"/>
  <c r="F1004" i="3" a="1"/>
  <c r="F1004" i="3" s="1"/>
  <c r="E1004" i="3" a="1"/>
  <c r="E1004" i="3" s="1"/>
  <c r="D1004" i="3" a="1"/>
  <c r="D1004" i="3" s="1"/>
  <c r="F1003" i="3" a="1"/>
  <c r="F1003" i="3" s="1"/>
  <c r="E1003" i="3" a="1"/>
  <c r="E1003" i="3" s="1"/>
  <c r="D1003" i="3" a="1"/>
  <c r="D1003" i="3" s="1"/>
  <c r="F1002" i="3" a="1"/>
  <c r="F1002" i="3" s="1"/>
  <c r="E1002" i="3" a="1"/>
  <c r="E1002" i="3" s="1"/>
  <c r="D1002" i="3" a="1"/>
  <c r="D1002" i="3"/>
  <c r="F1001" i="3" a="1"/>
  <c r="F1001" i="3" s="1"/>
  <c r="E1001" i="3" a="1"/>
  <c r="E1001" i="3" s="1"/>
  <c r="D1001" i="3" a="1"/>
  <c r="D1001" i="3" s="1"/>
  <c r="F1000" i="3" a="1"/>
  <c r="F1000" i="3" s="1"/>
  <c r="E1000" i="3" a="1"/>
  <c r="E1000" i="3" s="1"/>
  <c r="D1000" i="3" a="1"/>
  <c r="D1000" i="3" s="1"/>
  <c r="F999" i="3" a="1"/>
  <c r="F999" i="3"/>
  <c r="E999" i="3" a="1"/>
  <c r="E999" i="3" s="1"/>
  <c r="D999" i="3" a="1"/>
  <c r="D999" i="3"/>
  <c r="F998" i="3" a="1"/>
  <c r="F998" i="3" s="1"/>
  <c r="E998" i="3" a="1"/>
  <c r="E998" i="3" s="1"/>
  <c r="D998" i="3" a="1"/>
  <c r="D998" i="3" s="1"/>
  <c r="F997" i="3" a="1"/>
  <c r="F997" i="3" s="1"/>
  <c r="E997" i="3" a="1"/>
  <c r="E997" i="3" s="1"/>
  <c r="D997" i="3" a="1"/>
  <c r="D997" i="3" s="1"/>
  <c r="F996" i="3" a="1"/>
  <c r="F996" i="3"/>
  <c r="E996" i="3" a="1"/>
  <c r="E996" i="3" s="1"/>
  <c r="D996" i="3" a="1"/>
  <c r="D996" i="3" s="1"/>
  <c r="F995" i="3" a="1"/>
  <c r="F995" i="3" s="1"/>
  <c r="E995" i="3" a="1"/>
  <c r="E995" i="3" s="1"/>
  <c r="D995" i="3" a="1"/>
  <c r="D995" i="3" s="1"/>
  <c r="F994" i="3" a="1"/>
  <c r="F994" i="3" s="1"/>
  <c r="E994" i="3" a="1"/>
  <c r="E994" i="3" s="1"/>
  <c r="D994" i="3" a="1"/>
  <c r="D994" i="3" s="1"/>
  <c r="F993" i="3" a="1"/>
  <c r="F993" i="3" s="1"/>
  <c r="E993" i="3" a="1"/>
  <c r="E993" i="3" s="1"/>
  <c r="D993" i="3" a="1"/>
  <c r="D993" i="3" s="1"/>
  <c r="F992" i="3" a="1"/>
  <c r="F992" i="3" s="1"/>
  <c r="E992" i="3" a="1"/>
  <c r="E992" i="3" s="1"/>
  <c r="D992" i="3" a="1"/>
  <c r="D992" i="3" s="1"/>
  <c r="F991" i="3" a="1"/>
  <c r="F991" i="3" s="1"/>
  <c r="E991" i="3" a="1"/>
  <c r="E991" i="3" s="1"/>
  <c r="D991" i="3" a="1"/>
  <c r="D991" i="3" s="1"/>
  <c r="F990" i="3" a="1"/>
  <c r="F990" i="3" s="1"/>
  <c r="E990" i="3" a="1"/>
  <c r="E990" i="3" s="1"/>
  <c r="D990" i="3" a="1"/>
  <c r="D990" i="3" s="1"/>
  <c r="F989" i="3" a="1"/>
  <c r="F989" i="3" s="1"/>
  <c r="E989" i="3" a="1"/>
  <c r="E989" i="3" s="1"/>
  <c r="D989" i="3" a="1"/>
  <c r="D989" i="3" s="1"/>
  <c r="F988" i="3" a="1"/>
  <c r="F988" i="3"/>
  <c r="E988" i="3" a="1"/>
  <c r="E988" i="3" s="1"/>
  <c r="D988" i="3" a="1"/>
  <c r="D988" i="3" s="1"/>
  <c r="F987" i="3" a="1"/>
  <c r="F987" i="3" s="1"/>
  <c r="E987" i="3" a="1"/>
  <c r="E987" i="3" s="1"/>
  <c r="D987" i="3" a="1"/>
  <c r="D987" i="3" s="1"/>
  <c r="F986" i="3" a="1"/>
  <c r="F986" i="3" s="1"/>
  <c r="E986" i="3" a="1"/>
  <c r="E986" i="3" s="1"/>
  <c r="D986" i="3" a="1"/>
  <c r="D986" i="3" s="1"/>
  <c r="F985" i="3" a="1"/>
  <c r="F985" i="3" s="1"/>
  <c r="E985" i="3" a="1"/>
  <c r="E985" i="3" s="1"/>
  <c r="D985" i="3" a="1"/>
  <c r="D985" i="3" s="1"/>
  <c r="F984" i="3" a="1"/>
  <c r="F984" i="3" s="1"/>
  <c r="E984" i="3" a="1"/>
  <c r="E984" i="3" s="1"/>
  <c r="D984" i="3" a="1"/>
  <c r="D984" i="3" s="1"/>
  <c r="F983" i="3" a="1"/>
  <c r="F983" i="3"/>
  <c r="E983" i="3" a="1"/>
  <c r="E983" i="3" s="1"/>
  <c r="D983" i="3" a="1"/>
  <c r="D983" i="3"/>
  <c r="F982" i="3" a="1"/>
  <c r="F982" i="3" s="1"/>
  <c r="E982" i="3" a="1"/>
  <c r="E982" i="3" s="1"/>
  <c r="D982" i="3" a="1"/>
  <c r="D982" i="3" s="1"/>
  <c r="F981" i="3" a="1"/>
  <c r="F981" i="3" s="1"/>
  <c r="E981" i="3" a="1"/>
  <c r="E981" i="3" s="1"/>
  <c r="D981" i="3" a="1"/>
  <c r="D981" i="3" s="1"/>
  <c r="F980" i="3" a="1"/>
  <c r="F980" i="3" s="1"/>
  <c r="E980" i="3" a="1"/>
  <c r="E980" i="3" s="1"/>
  <c r="D980" i="3" a="1"/>
  <c r="D980" i="3" s="1"/>
  <c r="F979" i="3" a="1"/>
  <c r="F979" i="3" s="1"/>
  <c r="E979" i="3" a="1"/>
  <c r="E979" i="3" s="1"/>
  <c r="D979" i="3" a="1"/>
  <c r="D979" i="3" s="1"/>
  <c r="F978" i="3" a="1"/>
  <c r="F978" i="3" s="1"/>
  <c r="E978" i="3" a="1"/>
  <c r="E978" i="3" s="1"/>
  <c r="D978" i="3" a="1"/>
  <c r="D978" i="3" s="1"/>
  <c r="F977" i="3" a="1"/>
  <c r="F977" i="3" s="1"/>
  <c r="E977" i="3" a="1"/>
  <c r="E977" i="3" s="1"/>
  <c r="D977" i="3" a="1"/>
  <c r="D977" i="3" s="1"/>
  <c r="F976" i="3" a="1"/>
  <c r="F976" i="3"/>
  <c r="E976" i="3" a="1"/>
  <c r="E976" i="3" s="1"/>
  <c r="D976" i="3" a="1"/>
  <c r="D976" i="3" s="1"/>
  <c r="F975" i="3" a="1"/>
  <c r="F975" i="3" s="1"/>
  <c r="E975" i="3" a="1"/>
  <c r="E975" i="3" s="1"/>
  <c r="D975" i="3" a="1"/>
  <c r="D975" i="3" s="1"/>
  <c r="F974" i="3" a="1"/>
  <c r="F974" i="3" s="1"/>
  <c r="E974" i="3" a="1"/>
  <c r="E974" i="3" s="1"/>
  <c r="D974" i="3" a="1"/>
  <c r="D974" i="3" s="1"/>
  <c r="F973" i="3" a="1"/>
  <c r="F973" i="3" s="1"/>
  <c r="E973" i="3" a="1"/>
  <c r="E973" i="3" s="1"/>
  <c r="D973" i="3" a="1"/>
  <c r="D973" i="3" s="1"/>
  <c r="F972" i="3" a="1"/>
  <c r="F972" i="3" s="1"/>
  <c r="E972" i="3" a="1"/>
  <c r="E972" i="3"/>
  <c r="D972" i="3" a="1"/>
  <c r="D972" i="3" s="1"/>
  <c r="F971" i="3" a="1"/>
  <c r="F971" i="3" s="1"/>
  <c r="E971" i="3" a="1"/>
  <c r="E971" i="3" s="1"/>
  <c r="D971" i="3" a="1"/>
  <c r="D971" i="3" s="1"/>
  <c r="F970" i="3" a="1"/>
  <c r="F970" i="3" s="1"/>
  <c r="E970" i="3" a="1"/>
  <c r="E970" i="3"/>
  <c r="D970" i="3" a="1"/>
  <c r="D970" i="3" s="1"/>
  <c r="F969" i="3" a="1"/>
  <c r="F969" i="3" s="1"/>
  <c r="E969" i="3" a="1"/>
  <c r="E969" i="3" s="1"/>
  <c r="D969" i="3" a="1"/>
  <c r="D969" i="3" s="1"/>
  <c r="F968" i="3" a="1"/>
  <c r="F968" i="3" s="1"/>
  <c r="E968" i="3" a="1"/>
  <c r="E968" i="3" s="1"/>
  <c r="D968" i="3" a="1"/>
  <c r="D968" i="3" s="1"/>
  <c r="F967" i="3" a="1"/>
  <c r="F967" i="3" s="1"/>
  <c r="E967" i="3" a="1"/>
  <c r="E967" i="3" s="1"/>
  <c r="D967" i="3" a="1"/>
  <c r="D967" i="3" s="1"/>
  <c r="F966" i="3" a="1"/>
  <c r="F966" i="3" s="1"/>
  <c r="E966" i="3" a="1"/>
  <c r="E966" i="3" s="1"/>
  <c r="D966" i="3" a="1"/>
  <c r="D966" i="3" s="1"/>
  <c r="F965" i="3" a="1"/>
  <c r="F965" i="3" s="1"/>
  <c r="E965" i="3" a="1"/>
  <c r="E965" i="3" s="1"/>
  <c r="D965" i="3" a="1"/>
  <c r="D965" i="3" s="1"/>
  <c r="F964" i="3" a="1"/>
  <c r="F964" i="3" s="1"/>
  <c r="E964" i="3" a="1"/>
  <c r="E964" i="3" s="1"/>
  <c r="D964" i="3" a="1"/>
  <c r="D964" i="3" s="1"/>
  <c r="F963" i="3" a="1"/>
  <c r="F963" i="3" s="1"/>
  <c r="E963" i="3" a="1"/>
  <c r="E963" i="3" s="1"/>
  <c r="D963" i="3" a="1"/>
  <c r="D963" i="3" s="1"/>
  <c r="F962" i="3" a="1"/>
  <c r="F962" i="3" s="1"/>
  <c r="E962" i="3" a="1"/>
  <c r="E962" i="3" s="1"/>
  <c r="D962" i="3" a="1"/>
  <c r="D962" i="3" s="1"/>
  <c r="F961" i="3" a="1"/>
  <c r="F961" i="3" s="1"/>
  <c r="E961" i="3" a="1"/>
  <c r="E961" i="3" s="1"/>
  <c r="D961" i="3" a="1"/>
  <c r="D961" i="3" s="1"/>
  <c r="F960" i="3" a="1"/>
  <c r="F960" i="3" s="1"/>
  <c r="E960" i="3" a="1"/>
  <c r="E960" i="3" s="1"/>
  <c r="D960" i="3" a="1"/>
  <c r="D960" i="3" s="1"/>
  <c r="F959" i="3" a="1"/>
  <c r="F959" i="3" s="1"/>
  <c r="E959" i="3" a="1"/>
  <c r="E959" i="3"/>
  <c r="D959" i="3" a="1"/>
  <c r="D959" i="3" s="1"/>
  <c r="F958" i="3" a="1"/>
  <c r="F958" i="3" s="1"/>
  <c r="E958" i="3" a="1"/>
  <c r="E958" i="3" s="1"/>
  <c r="D958" i="3" a="1"/>
  <c r="D958" i="3" s="1"/>
  <c r="F957" i="3" a="1"/>
  <c r="F957" i="3" s="1"/>
  <c r="E957" i="3" a="1"/>
  <c r="E957" i="3" s="1"/>
  <c r="D957" i="3" a="1"/>
  <c r="D957" i="3"/>
  <c r="F956" i="3" a="1"/>
  <c r="F956" i="3" s="1"/>
  <c r="E956" i="3" a="1"/>
  <c r="E956" i="3" s="1"/>
  <c r="D956" i="3" a="1"/>
  <c r="D956" i="3" s="1"/>
  <c r="F955" i="3" a="1"/>
  <c r="F955" i="3" s="1"/>
  <c r="E955" i="3" a="1"/>
  <c r="E955" i="3" s="1"/>
  <c r="D955" i="3" a="1"/>
  <c r="D955" i="3" s="1"/>
  <c r="F954" i="3" a="1"/>
  <c r="F954" i="3" s="1"/>
  <c r="E954" i="3" a="1"/>
  <c r="E954" i="3" s="1"/>
  <c r="D954" i="3" a="1"/>
  <c r="D954" i="3"/>
  <c r="F953" i="3" a="1"/>
  <c r="F953" i="3" s="1"/>
  <c r="E953" i="3" a="1"/>
  <c r="E953" i="3" s="1"/>
  <c r="D953" i="3" a="1"/>
  <c r="D953" i="3" s="1"/>
  <c r="F952" i="3" a="1"/>
  <c r="F952" i="3" s="1"/>
  <c r="E952" i="3" a="1"/>
  <c r="E952" i="3" s="1"/>
  <c r="D952" i="3" a="1"/>
  <c r="D952" i="3" s="1"/>
  <c r="F951" i="3" a="1"/>
  <c r="F951" i="3" s="1"/>
  <c r="E951" i="3" a="1"/>
  <c r="E951" i="3" s="1"/>
  <c r="D951" i="3" a="1"/>
  <c r="D951" i="3" s="1"/>
  <c r="F950" i="3" a="1"/>
  <c r="F950" i="3" s="1"/>
  <c r="E950" i="3" a="1"/>
  <c r="E950" i="3" s="1"/>
  <c r="D950" i="3" a="1"/>
  <c r="D950" i="3" s="1"/>
  <c r="F949" i="3" a="1"/>
  <c r="F949" i="3" s="1"/>
  <c r="E949" i="3" a="1"/>
  <c r="E949" i="3" s="1"/>
  <c r="D949" i="3" a="1"/>
  <c r="D949" i="3"/>
  <c r="F948" i="3" a="1"/>
  <c r="F948" i="3" s="1"/>
  <c r="E948" i="3" a="1"/>
  <c r="E948" i="3" s="1"/>
  <c r="D948" i="3" a="1"/>
  <c r="D948" i="3" s="1"/>
  <c r="F947" i="3" a="1"/>
  <c r="F947" i="3" s="1"/>
  <c r="E947" i="3" a="1"/>
  <c r="E947" i="3" s="1"/>
  <c r="D947" i="3" a="1"/>
  <c r="D947" i="3" s="1"/>
  <c r="F946" i="3" a="1"/>
  <c r="F946" i="3" s="1"/>
  <c r="E946" i="3" a="1"/>
  <c r="E946" i="3" s="1"/>
  <c r="D946" i="3" a="1"/>
  <c r="D946" i="3"/>
  <c r="F945" i="3" a="1"/>
  <c r="F945" i="3" s="1"/>
  <c r="E945" i="3" a="1"/>
  <c r="E945" i="3" s="1"/>
  <c r="D945" i="3" a="1"/>
  <c r="D945" i="3" s="1"/>
  <c r="F944" i="3" a="1"/>
  <c r="F944" i="3" s="1"/>
  <c r="E944" i="3" a="1"/>
  <c r="E944" i="3" s="1"/>
  <c r="D944" i="3" a="1"/>
  <c r="D944" i="3" s="1"/>
  <c r="F943" i="3" a="1"/>
  <c r="F943" i="3" s="1"/>
  <c r="E943" i="3" a="1"/>
  <c r="E943" i="3" s="1"/>
  <c r="D943" i="3" a="1"/>
  <c r="D943" i="3" s="1"/>
  <c r="F942" i="3" a="1"/>
  <c r="F942" i="3" s="1"/>
  <c r="E942" i="3" a="1"/>
  <c r="E942" i="3" s="1"/>
  <c r="D942" i="3" a="1"/>
  <c r="D942" i="3" s="1"/>
  <c r="F941" i="3" a="1"/>
  <c r="F941" i="3" s="1"/>
  <c r="E941" i="3" a="1"/>
  <c r="E941" i="3" s="1"/>
  <c r="D941" i="3" a="1"/>
  <c r="D941" i="3" s="1"/>
  <c r="F940" i="3" a="1"/>
  <c r="F940" i="3" s="1"/>
  <c r="E940" i="3" a="1"/>
  <c r="E940" i="3"/>
  <c r="D940" i="3" a="1"/>
  <c r="D940" i="3" s="1"/>
  <c r="F939" i="3" a="1"/>
  <c r="F939" i="3" s="1"/>
  <c r="E939" i="3" a="1"/>
  <c r="E939" i="3" s="1"/>
  <c r="D939" i="3" a="1"/>
  <c r="D939" i="3" s="1"/>
  <c r="F938" i="3" a="1"/>
  <c r="F938" i="3" s="1"/>
  <c r="E938" i="3" a="1"/>
  <c r="E938" i="3" s="1"/>
  <c r="D938" i="3" a="1"/>
  <c r="D938" i="3" s="1"/>
  <c r="F937" i="3" a="1"/>
  <c r="F937" i="3" s="1"/>
  <c r="E937" i="3" a="1"/>
  <c r="E937" i="3" s="1"/>
  <c r="D937" i="3" a="1"/>
  <c r="D937" i="3" s="1"/>
  <c r="F936" i="3" a="1"/>
  <c r="F936" i="3" s="1"/>
  <c r="E936" i="3" a="1"/>
  <c r="E936" i="3" s="1"/>
  <c r="D936" i="3" a="1"/>
  <c r="D936" i="3" s="1"/>
  <c r="F935" i="3" a="1"/>
  <c r="F935" i="3" s="1"/>
  <c r="E935" i="3" a="1"/>
  <c r="E935" i="3"/>
  <c r="D935" i="3" a="1"/>
  <c r="D935" i="3" s="1"/>
  <c r="F934" i="3" a="1"/>
  <c r="F934" i="3" s="1"/>
  <c r="E934" i="3" a="1"/>
  <c r="E934" i="3" s="1"/>
  <c r="D934" i="3" a="1"/>
  <c r="D934" i="3" s="1"/>
  <c r="F933" i="3" a="1"/>
  <c r="F933" i="3" s="1"/>
  <c r="E933" i="3" a="1"/>
  <c r="E933" i="3" s="1"/>
  <c r="D933" i="3" a="1"/>
  <c r="D933" i="3" s="1"/>
  <c r="F932" i="3" a="1"/>
  <c r="F932" i="3" s="1"/>
  <c r="E932" i="3" a="1"/>
  <c r="E932" i="3"/>
  <c r="D932" i="3" a="1"/>
  <c r="D932" i="3" s="1"/>
  <c r="F931" i="3" a="1"/>
  <c r="F931" i="3" s="1"/>
  <c r="E931" i="3" a="1"/>
  <c r="E931" i="3" s="1"/>
  <c r="D931" i="3" a="1"/>
  <c r="D931" i="3" s="1"/>
  <c r="F930" i="3" a="1"/>
  <c r="F930" i="3" s="1"/>
  <c r="E930" i="3" a="1"/>
  <c r="E930" i="3" s="1"/>
  <c r="D930" i="3" a="1"/>
  <c r="D930" i="3" s="1"/>
  <c r="F929" i="3" a="1"/>
  <c r="F929" i="3"/>
  <c r="E929" i="3" a="1"/>
  <c r="E929" i="3" s="1"/>
  <c r="D929" i="3" a="1"/>
  <c r="D929" i="3" s="1"/>
  <c r="F928" i="3" a="1"/>
  <c r="F928" i="3" s="1"/>
  <c r="E928" i="3" a="1"/>
  <c r="E928" i="3" s="1"/>
  <c r="D928" i="3" a="1"/>
  <c r="D928" i="3" s="1"/>
  <c r="F927" i="3" a="1"/>
  <c r="F927" i="3" s="1"/>
  <c r="E927" i="3" a="1"/>
  <c r="E927" i="3"/>
  <c r="D927" i="3" a="1"/>
  <c r="D927" i="3" s="1"/>
  <c r="F926" i="3" a="1"/>
  <c r="F926" i="3" s="1"/>
  <c r="E926" i="3" a="1"/>
  <c r="E926" i="3" s="1"/>
  <c r="D926" i="3" a="1"/>
  <c r="D926" i="3" s="1"/>
  <c r="F925" i="3" a="1"/>
  <c r="F925" i="3" s="1"/>
  <c r="E925" i="3" a="1"/>
  <c r="E925" i="3" s="1"/>
  <c r="D925" i="3" a="1"/>
  <c r="D925" i="3"/>
  <c r="F924" i="3" a="1"/>
  <c r="F924" i="3" s="1"/>
  <c r="E924" i="3" a="1"/>
  <c r="E924" i="3" s="1"/>
  <c r="D924" i="3" a="1"/>
  <c r="D924" i="3" s="1"/>
  <c r="F923" i="3" a="1"/>
  <c r="F923" i="3" s="1"/>
  <c r="E923" i="3" a="1"/>
  <c r="E923" i="3" s="1"/>
  <c r="D923" i="3" a="1"/>
  <c r="D923" i="3" s="1"/>
  <c r="F922" i="3" a="1"/>
  <c r="F922" i="3" s="1"/>
  <c r="E922" i="3" a="1"/>
  <c r="E922" i="3" s="1"/>
  <c r="D922" i="3" a="1"/>
  <c r="D922" i="3" s="1"/>
  <c r="F921" i="3" a="1"/>
  <c r="F921" i="3" s="1"/>
  <c r="E921" i="3" a="1"/>
  <c r="E921" i="3" s="1"/>
  <c r="D921" i="3" a="1"/>
  <c r="D921" i="3" s="1"/>
  <c r="F920" i="3" a="1"/>
  <c r="F920" i="3" s="1"/>
  <c r="E920" i="3" a="1"/>
  <c r="E920" i="3" s="1"/>
  <c r="D920" i="3" a="1"/>
  <c r="D920" i="3" s="1"/>
  <c r="F919" i="3" a="1"/>
  <c r="F919" i="3" s="1"/>
  <c r="E919" i="3" a="1"/>
  <c r="E919" i="3" s="1"/>
  <c r="D919" i="3" a="1"/>
  <c r="D919" i="3" s="1"/>
  <c r="F918" i="3" a="1"/>
  <c r="F918" i="3" s="1"/>
  <c r="E918" i="3" a="1"/>
  <c r="E918" i="3" s="1"/>
  <c r="D918" i="3" a="1"/>
  <c r="D918" i="3" s="1"/>
  <c r="F917" i="3" a="1"/>
  <c r="F917" i="3" s="1"/>
  <c r="E917" i="3" a="1"/>
  <c r="E917" i="3" s="1"/>
  <c r="D917" i="3" a="1"/>
  <c r="D917" i="3" s="1"/>
  <c r="F916" i="3" a="1"/>
  <c r="F916" i="3"/>
  <c r="E916" i="3" a="1"/>
  <c r="E916" i="3" s="1"/>
  <c r="D916" i="3" a="1"/>
  <c r="D916" i="3" s="1"/>
  <c r="F915" i="3" a="1"/>
  <c r="F915" i="3" s="1"/>
  <c r="E915" i="3" a="1"/>
  <c r="E915" i="3" s="1"/>
  <c r="D915" i="3" a="1"/>
  <c r="D915" i="3" s="1"/>
  <c r="F914" i="3" a="1"/>
  <c r="F914" i="3" s="1"/>
  <c r="E914" i="3" a="1"/>
  <c r="E914" i="3"/>
  <c r="D914" i="3" a="1"/>
  <c r="D914" i="3" s="1"/>
  <c r="F913" i="3" a="1"/>
  <c r="F913" i="3" s="1"/>
  <c r="E913" i="3" a="1"/>
  <c r="E913" i="3" s="1"/>
  <c r="D913" i="3" a="1"/>
  <c r="D913" i="3" s="1"/>
  <c r="F912" i="3" a="1"/>
  <c r="F912" i="3" s="1"/>
  <c r="E912" i="3" a="1"/>
  <c r="E912" i="3" s="1"/>
  <c r="D912" i="3" a="1"/>
  <c r="D912" i="3" s="1"/>
  <c r="F911" i="3" a="1"/>
  <c r="F911" i="3" s="1"/>
  <c r="E911" i="3" a="1"/>
  <c r="E911" i="3"/>
  <c r="D911" i="3" a="1"/>
  <c r="D911" i="3" s="1"/>
  <c r="F910" i="3" a="1"/>
  <c r="F910" i="3" s="1"/>
  <c r="E910" i="3" a="1"/>
  <c r="E910" i="3" s="1"/>
  <c r="D910" i="3" a="1"/>
  <c r="D910" i="3" s="1"/>
  <c r="F909" i="3" a="1"/>
  <c r="F909" i="3" s="1"/>
  <c r="E909" i="3" a="1"/>
  <c r="E909" i="3" s="1"/>
  <c r="D909" i="3" a="1"/>
  <c r="D909" i="3"/>
  <c r="F908" i="3" a="1"/>
  <c r="F908" i="3" s="1"/>
  <c r="E908" i="3" a="1"/>
  <c r="E908" i="3" s="1"/>
  <c r="D908" i="3" a="1"/>
  <c r="D908" i="3" s="1"/>
  <c r="F907" i="3" a="1"/>
  <c r="F907" i="3" s="1"/>
  <c r="E907" i="3" a="1"/>
  <c r="E907" i="3" s="1"/>
  <c r="D907" i="3" a="1"/>
  <c r="D907" i="3" s="1"/>
  <c r="F906" i="3" a="1"/>
  <c r="F906" i="3" s="1"/>
  <c r="E906" i="3" a="1"/>
  <c r="E906" i="3" s="1"/>
  <c r="D906" i="3" a="1"/>
  <c r="D906" i="3" s="1"/>
  <c r="F905" i="3" a="1"/>
  <c r="F905" i="3" s="1"/>
  <c r="E905" i="3" a="1"/>
  <c r="E905" i="3" s="1"/>
  <c r="D905" i="3" a="1"/>
  <c r="D905" i="3" s="1"/>
  <c r="F904" i="3" a="1"/>
  <c r="F904" i="3" s="1"/>
  <c r="E904" i="3" a="1"/>
  <c r="E904" i="3" s="1"/>
  <c r="D904" i="3" a="1"/>
  <c r="D904" i="3" s="1"/>
  <c r="F903" i="3" a="1"/>
  <c r="F903" i="3" s="1"/>
  <c r="E903" i="3" a="1"/>
  <c r="E903" i="3" s="1"/>
  <c r="D903" i="3" a="1"/>
  <c r="D903" i="3"/>
  <c r="F902" i="3" a="1"/>
  <c r="F902" i="3" s="1"/>
  <c r="E902" i="3" a="1"/>
  <c r="E902" i="3" s="1"/>
  <c r="D902" i="3" a="1"/>
  <c r="D902" i="3" s="1"/>
  <c r="F901" i="3" a="1"/>
  <c r="F901" i="3" s="1"/>
  <c r="E901" i="3" a="1"/>
  <c r="E901" i="3" s="1"/>
  <c r="D901" i="3" a="1"/>
  <c r="D901" i="3" s="1"/>
  <c r="F900" i="3" a="1"/>
  <c r="F900" i="3"/>
  <c r="E900" i="3" a="1"/>
  <c r="E900" i="3" s="1"/>
  <c r="D900" i="3" a="1"/>
  <c r="D900" i="3" s="1"/>
  <c r="F899" i="3" a="1"/>
  <c r="F899" i="3" s="1"/>
  <c r="E899" i="3" a="1"/>
  <c r="E899" i="3" s="1"/>
  <c r="D899" i="3" a="1"/>
  <c r="D899" i="3" s="1"/>
  <c r="F898" i="3" a="1"/>
  <c r="F898" i="3" s="1"/>
  <c r="E898" i="3" a="1"/>
  <c r="E898" i="3" s="1"/>
  <c r="D898" i="3" a="1"/>
  <c r="D898" i="3" s="1"/>
  <c r="F897" i="3" a="1"/>
  <c r="F897" i="3" s="1"/>
  <c r="E897" i="3" a="1"/>
  <c r="E897" i="3" s="1"/>
  <c r="D897" i="3" a="1"/>
  <c r="D897" i="3" s="1"/>
  <c r="F896" i="3" a="1"/>
  <c r="F896" i="3" s="1"/>
  <c r="E896" i="3" a="1"/>
  <c r="E896" i="3" s="1"/>
  <c r="D896" i="3" a="1"/>
  <c r="D896" i="3" s="1"/>
  <c r="F895" i="3" a="1"/>
  <c r="F895" i="3" s="1"/>
  <c r="E895" i="3" a="1"/>
  <c r="E895" i="3" s="1"/>
  <c r="D895" i="3" a="1"/>
  <c r="D895" i="3" s="1"/>
  <c r="F894" i="3" a="1"/>
  <c r="F894" i="3" s="1"/>
  <c r="E894" i="3" a="1"/>
  <c r="E894" i="3" s="1"/>
  <c r="D894" i="3" a="1"/>
  <c r="D894" i="3" s="1"/>
  <c r="F893" i="3" a="1"/>
  <c r="F893" i="3" s="1"/>
  <c r="E893" i="3" a="1"/>
  <c r="E893" i="3" s="1"/>
  <c r="D893" i="3" a="1"/>
  <c r="D893" i="3" s="1"/>
  <c r="F892" i="3" a="1"/>
  <c r="F892" i="3" s="1"/>
  <c r="E892" i="3" a="1"/>
  <c r="E892" i="3" s="1"/>
  <c r="D892" i="3" a="1"/>
  <c r="D892" i="3" s="1"/>
  <c r="F891" i="3" a="1"/>
  <c r="F891" i="3" s="1"/>
  <c r="E891" i="3" a="1"/>
  <c r="E891" i="3" s="1"/>
  <c r="D891" i="3" a="1"/>
  <c r="D891" i="3" s="1"/>
  <c r="F890" i="3" a="1"/>
  <c r="F890" i="3" s="1"/>
  <c r="E890" i="3" a="1"/>
  <c r="E890" i="3" s="1"/>
  <c r="D890" i="3" a="1"/>
  <c r="D890" i="3" s="1"/>
  <c r="F889" i="3" a="1"/>
  <c r="F889" i="3"/>
  <c r="E889" i="3" a="1"/>
  <c r="E889" i="3" s="1"/>
  <c r="D889" i="3" a="1"/>
  <c r="D889" i="3" s="1"/>
  <c r="F888" i="3" a="1"/>
  <c r="F888" i="3" s="1"/>
  <c r="E888" i="3" a="1"/>
  <c r="E888" i="3" s="1"/>
  <c r="D888" i="3" a="1"/>
  <c r="D888" i="3" s="1"/>
  <c r="F887" i="3" a="1"/>
  <c r="F887" i="3" s="1"/>
  <c r="E887" i="3" a="1"/>
  <c r="E887" i="3" s="1"/>
  <c r="D887" i="3" a="1"/>
  <c r="D887" i="3"/>
  <c r="F886" i="3" a="1"/>
  <c r="F886" i="3" s="1"/>
  <c r="E886" i="3" a="1"/>
  <c r="E886" i="3" s="1"/>
  <c r="D886" i="3" a="1"/>
  <c r="D886" i="3" s="1"/>
  <c r="F885" i="3" a="1"/>
  <c r="F885" i="3" s="1"/>
  <c r="E885" i="3" a="1"/>
  <c r="E885" i="3" s="1"/>
  <c r="D885" i="3" a="1"/>
  <c r="D885" i="3" s="1"/>
  <c r="F884" i="3" a="1"/>
  <c r="F884" i="3" s="1"/>
  <c r="E884" i="3" a="1"/>
  <c r="E884" i="3" s="1"/>
  <c r="D884" i="3" a="1"/>
  <c r="D884" i="3" s="1"/>
  <c r="F883" i="3" a="1"/>
  <c r="F883" i="3" s="1"/>
  <c r="E883" i="3" a="1"/>
  <c r="E883" i="3" s="1"/>
  <c r="D883" i="3" a="1"/>
  <c r="D883" i="3" s="1"/>
  <c r="F882" i="3" a="1"/>
  <c r="F882" i="3" s="1"/>
  <c r="E882" i="3" a="1"/>
  <c r="E882" i="3" s="1"/>
  <c r="D882" i="3" a="1"/>
  <c r="D882" i="3" s="1"/>
  <c r="F881" i="3" a="1"/>
  <c r="F881" i="3" s="1"/>
  <c r="E881" i="3" a="1"/>
  <c r="E881" i="3" s="1"/>
  <c r="D881" i="3" a="1"/>
  <c r="D881" i="3" s="1"/>
  <c r="F880" i="3" a="1"/>
  <c r="F880" i="3" s="1"/>
  <c r="E880" i="3" a="1"/>
  <c r="E880" i="3" s="1"/>
  <c r="D880" i="3" a="1"/>
  <c r="D880" i="3" s="1"/>
  <c r="F879" i="3" a="1"/>
  <c r="F879" i="3" s="1"/>
  <c r="E879" i="3" a="1"/>
  <c r="E879" i="3" s="1"/>
  <c r="D879" i="3" a="1"/>
  <c r="D879" i="3" s="1"/>
  <c r="F878" i="3" a="1"/>
  <c r="F878" i="3" s="1"/>
  <c r="E878" i="3" a="1"/>
  <c r="E878" i="3" s="1"/>
  <c r="D878" i="3" a="1"/>
  <c r="D878" i="3" s="1"/>
  <c r="F877" i="3" a="1"/>
  <c r="F877" i="3" s="1"/>
  <c r="E877" i="3" a="1"/>
  <c r="E877" i="3" s="1"/>
  <c r="D877" i="3" a="1"/>
  <c r="D877" i="3" s="1"/>
  <c r="F876" i="3" a="1"/>
  <c r="F876" i="3" s="1"/>
  <c r="E876" i="3" a="1"/>
  <c r="E876" i="3" s="1"/>
  <c r="D876" i="3" a="1"/>
  <c r="D876" i="3" s="1"/>
  <c r="F875" i="3" a="1"/>
  <c r="F875" i="3" s="1"/>
  <c r="E875" i="3" a="1"/>
  <c r="E875" i="3" s="1"/>
  <c r="D875" i="3" a="1"/>
  <c r="D875" i="3" s="1"/>
  <c r="F874" i="3" a="1"/>
  <c r="F874" i="3" s="1"/>
  <c r="E874" i="3" a="1"/>
  <c r="E874" i="3"/>
  <c r="D874" i="3" a="1"/>
  <c r="D874" i="3" s="1"/>
  <c r="F873" i="3" a="1"/>
  <c r="F873" i="3" s="1"/>
  <c r="E873" i="3" a="1"/>
  <c r="E873" i="3" s="1"/>
  <c r="D873" i="3" a="1"/>
  <c r="D873" i="3" s="1"/>
  <c r="F872" i="3" a="1"/>
  <c r="F872" i="3" s="1"/>
  <c r="E872" i="3" a="1"/>
  <c r="E872" i="3" s="1"/>
  <c r="D872" i="3" a="1"/>
  <c r="D872" i="3" s="1"/>
  <c r="F871" i="3" a="1"/>
  <c r="F871" i="3" s="1"/>
  <c r="E871" i="3" a="1"/>
  <c r="E871" i="3" s="1"/>
  <c r="D871" i="3" a="1"/>
  <c r="D871" i="3" s="1"/>
  <c r="F870" i="3" a="1"/>
  <c r="F870" i="3" s="1"/>
  <c r="E870" i="3" a="1"/>
  <c r="E870" i="3" s="1"/>
  <c r="D870" i="3" a="1"/>
  <c r="D870" i="3" s="1"/>
  <c r="F869" i="3" a="1"/>
  <c r="F869" i="3" s="1"/>
  <c r="E869" i="3" a="1"/>
  <c r="E869" i="3" s="1"/>
  <c r="D869" i="3" a="1"/>
  <c r="D869" i="3" s="1"/>
  <c r="F868" i="3" a="1"/>
  <c r="F868" i="3" s="1"/>
  <c r="E868" i="3" a="1"/>
  <c r="E868" i="3" s="1"/>
  <c r="D868" i="3" a="1"/>
  <c r="D868" i="3" s="1"/>
  <c r="F867" i="3" a="1"/>
  <c r="F867" i="3" s="1"/>
  <c r="E867" i="3" a="1"/>
  <c r="E867" i="3" s="1"/>
  <c r="D867" i="3" a="1"/>
  <c r="D867" i="3" s="1"/>
  <c r="F866" i="3" a="1"/>
  <c r="F866" i="3" s="1"/>
  <c r="E866" i="3" a="1"/>
  <c r="E866" i="3" s="1"/>
  <c r="D866" i="3" a="1"/>
  <c r="D866" i="3" s="1"/>
  <c r="F865" i="3" a="1"/>
  <c r="F865" i="3" s="1"/>
  <c r="E865" i="3" a="1"/>
  <c r="E865" i="3" s="1"/>
  <c r="D865" i="3" a="1"/>
  <c r="D865" i="3" s="1"/>
  <c r="F864" i="3" a="1"/>
  <c r="F864" i="3" s="1"/>
  <c r="E864" i="3" a="1"/>
  <c r="E864" i="3" s="1"/>
  <c r="D864" i="3" a="1"/>
  <c r="D864" i="3" s="1"/>
  <c r="F863" i="3" a="1"/>
  <c r="F863" i="3" s="1"/>
  <c r="E863" i="3" a="1"/>
  <c r="E863" i="3" s="1"/>
  <c r="D863" i="3" a="1"/>
  <c r="D863" i="3" s="1"/>
  <c r="F862" i="3" a="1"/>
  <c r="F862" i="3" s="1"/>
  <c r="E862" i="3" a="1"/>
  <c r="E862" i="3" s="1"/>
  <c r="D862" i="3" a="1"/>
  <c r="D862" i="3" s="1"/>
  <c r="F861" i="3" a="1"/>
  <c r="F861" i="3" s="1"/>
  <c r="E861" i="3" a="1"/>
  <c r="E861" i="3" s="1"/>
  <c r="D861" i="3" a="1"/>
  <c r="D861" i="3" s="1"/>
  <c r="F860" i="3" a="1"/>
  <c r="F860" i="3" s="1"/>
  <c r="E860" i="3" a="1"/>
  <c r="E860" i="3" s="1"/>
  <c r="D860" i="3" a="1"/>
  <c r="D860" i="3" s="1"/>
  <c r="F859" i="3" a="1"/>
  <c r="F859" i="3" s="1"/>
  <c r="E859" i="3" a="1"/>
  <c r="E859" i="3" s="1"/>
  <c r="D859" i="3" a="1"/>
  <c r="D859" i="3" s="1"/>
  <c r="F858" i="3" a="1"/>
  <c r="F858" i="3" s="1"/>
  <c r="E858" i="3" a="1"/>
  <c r="E858" i="3" s="1"/>
  <c r="D858" i="3" a="1"/>
  <c r="D858" i="3" s="1"/>
  <c r="F857" i="3" a="1"/>
  <c r="F857" i="3" s="1"/>
  <c r="E857" i="3" a="1"/>
  <c r="E857" i="3" s="1"/>
  <c r="D857" i="3" a="1"/>
  <c r="D857" i="3"/>
  <c r="F856" i="3" a="1"/>
  <c r="F856" i="3" s="1"/>
  <c r="E856" i="3" a="1"/>
  <c r="E856" i="3" s="1"/>
  <c r="D856" i="3" a="1"/>
  <c r="D856" i="3" s="1"/>
  <c r="F855" i="3" a="1"/>
  <c r="F855" i="3" s="1"/>
  <c r="E855" i="3" a="1"/>
  <c r="E855" i="3" s="1"/>
  <c r="D855" i="3" a="1"/>
  <c r="D855" i="3"/>
  <c r="F854" i="3" a="1"/>
  <c r="F854" i="3" s="1"/>
  <c r="E854" i="3" a="1"/>
  <c r="E854" i="3" s="1"/>
  <c r="D854" i="3" a="1"/>
  <c r="D854" i="3" s="1"/>
  <c r="F853" i="3" a="1"/>
  <c r="F853" i="3" s="1"/>
  <c r="E853" i="3" a="1"/>
  <c r="E853" i="3" s="1"/>
  <c r="D853" i="3" a="1"/>
  <c r="D853" i="3" s="1"/>
  <c r="F852" i="3" a="1"/>
  <c r="F852" i="3" s="1"/>
  <c r="E852" i="3" a="1"/>
  <c r="E852" i="3" s="1"/>
  <c r="D852" i="3" a="1"/>
  <c r="D852" i="3" s="1"/>
  <c r="F851" i="3" a="1"/>
  <c r="F851" i="3" s="1"/>
  <c r="E851" i="3" a="1"/>
  <c r="E851" i="3" s="1"/>
  <c r="D851" i="3" a="1"/>
  <c r="D851" i="3" s="1"/>
  <c r="F850" i="3" a="1"/>
  <c r="F850" i="3" s="1"/>
  <c r="E850" i="3" a="1"/>
  <c r="E850" i="3"/>
  <c r="D850" i="3" a="1"/>
  <c r="D850" i="3" s="1"/>
  <c r="F849" i="3" a="1"/>
  <c r="F849" i="3" s="1"/>
  <c r="E849" i="3" a="1"/>
  <c r="E849" i="3" s="1"/>
  <c r="D849" i="3" a="1"/>
  <c r="D849" i="3" s="1"/>
  <c r="F848" i="3" a="1"/>
  <c r="F848" i="3" s="1"/>
  <c r="E848" i="3" a="1"/>
  <c r="E848" i="3" s="1"/>
  <c r="D848" i="3" a="1"/>
  <c r="D848" i="3" s="1"/>
  <c r="F847" i="3" a="1"/>
  <c r="F847" i="3" s="1"/>
  <c r="E847" i="3" a="1"/>
  <c r="E847" i="3" s="1"/>
  <c r="D847" i="3" a="1"/>
  <c r="D847" i="3" s="1"/>
  <c r="F846" i="3" a="1"/>
  <c r="F846" i="3" s="1"/>
  <c r="E846" i="3" a="1"/>
  <c r="E846" i="3" s="1"/>
  <c r="D846" i="3" a="1"/>
  <c r="D846" i="3" s="1"/>
  <c r="F845" i="3" a="1"/>
  <c r="F845" i="3" s="1"/>
  <c r="E845" i="3" a="1"/>
  <c r="E845" i="3" s="1"/>
  <c r="D845" i="3" a="1"/>
  <c r="D845" i="3" s="1"/>
  <c r="F844" i="3" a="1"/>
  <c r="F844" i="3" s="1"/>
  <c r="E844" i="3" a="1"/>
  <c r="E844" i="3" s="1"/>
  <c r="D844" i="3" a="1"/>
  <c r="D844" i="3" s="1"/>
  <c r="F843" i="3" a="1"/>
  <c r="F843" i="3" s="1"/>
  <c r="E843" i="3" a="1"/>
  <c r="E843" i="3" s="1"/>
  <c r="D843" i="3" a="1"/>
  <c r="D843" i="3"/>
  <c r="F842" i="3" a="1"/>
  <c r="F842" i="3" s="1"/>
  <c r="E842" i="3" a="1"/>
  <c r="E842" i="3" s="1"/>
  <c r="D842" i="3" a="1"/>
  <c r="D842" i="3" s="1"/>
  <c r="F841" i="3" a="1"/>
  <c r="F841" i="3"/>
  <c r="E841" i="3" a="1"/>
  <c r="E841" i="3"/>
  <c r="D841" i="3" a="1"/>
  <c r="D841" i="3" s="1"/>
  <c r="F840" i="3" a="1"/>
  <c r="F840" i="3" s="1"/>
  <c r="E840" i="3" a="1"/>
  <c r="E840" i="3" s="1"/>
  <c r="D840" i="3" a="1"/>
  <c r="D840" i="3" s="1"/>
  <c r="F839" i="3" a="1"/>
  <c r="F839" i="3" s="1"/>
  <c r="E839" i="3" a="1"/>
  <c r="E839" i="3" s="1"/>
  <c r="D839" i="3" a="1"/>
  <c r="D839" i="3" s="1"/>
  <c r="F838" i="3" a="1"/>
  <c r="F838" i="3" s="1"/>
  <c r="E838" i="3" a="1"/>
  <c r="E838" i="3" s="1"/>
  <c r="D838" i="3" a="1"/>
  <c r="D838" i="3" s="1"/>
  <c r="F837" i="3" a="1"/>
  <c r="F837" i="3" s="1"/>
  <c r="E837" i="3" a="1"/>
  <c r="E837" i="3" s="1"/>
  <c r="D837" i="3" a="1"/>
  <c r="D837" i="3" s="1"/>
  <c r="F836" i="3" a="1"/>
  <c r="F836" i="3" s="1"/>
  <c r="E836" i="3" a="1"/>
  <c r="E836" i="3" s="1"/>
  <c r="D836" i="3" a="1"/>
  <c r="D836" i="3" s="1"/>
  <c r="F835" i="3" a="1"/>
  <c r="F835" i="3" s="1"/>
  <c r="E835" i="3" a="1"/>
  <c r="E835" i="3" s="1"/>
  <c r="D835" i="3" a="1"/>
  <c r="D835" i="3"/>
  <c r="F834" i="3" a="1"/>
  <c r="F834" i="3" s="1"/>
  <c r="E834" i="3" a="1"/>
  <c r="E834" i="3" s="1"/>
  <c r="D834" i="3" a="1"/>
  <c r="D834" i="3" s="1"/>
  <c r="F833" i="3" a="1"/>
  <c r="F833" i="3" s="1"/>
  <c r="E833" i="3" a="1"/>
  <c r="E833" i="3" s="1"/>
  <c r="D833" i="3" a="1"/>
  <c r="D833" i="3" s="1"/>
  <c r="F832" i="3" a="1"/>
  <c r="F832" i="3" s="1"/>
  <c r="E832" i="3" a="1"/>
  <c r="E832" i="3" s="1"/>
  <c r="D832" i="3" a="1"/>
  <c r="D832" i="3"/>
  <c r="F831" i="3" a="1"/>
  <c r="F831" i="3" s="1"/>
  <c r="E831" i="3" a="1"/>
  <c r="E831" i="3" s="1"/>
  <c r="D831" i="3" a="1"/>
  <c r="D831" i="3" s="1"/>
  <c r="F830" i="3" a="1"/>
  <c r="F830" i="3" s="1"/>
  <c r="E830" i="3" a="1"/>
  <c r="E830" i="3"/>
  <c r="D830" i="3" a="1"/>
  <c r="D830" i="3" s="1"/>
  <c r="F829" i="3" a="1"/>
  <c r="F829" i="3"/>
  <c r="E829" i="3" a="1"/>
  <c r="E829" i="3" s="1"/>
  <c r="D829" i="3" a="1"/>
  <c r="D829" i="3" s="1"/>
  <c r="F828" i="3" a="1"/>
  <c r="F828" i="3" s="1"/>
  <c r="E828" i="3" a="1"/>
  <c r="E828" i="3"/>
  <c r="D828" i="3" a="1"/>
  <c r="D828" i="3" s="1"/>
  <c r="F827" i="3" a="1"/>
  <c r="F827" i="3" s="1"/>
  <c r="E827" i="3" a="1"/>
  <c r="E827" i="3" s="1"/>
  <c r="D827" i="3" a="1"/>
  <c r="D827" i="3" s="1"/>
  <c r="F826" i="3" a="1"/>
  <c r="F826" i="3" s="1"/>
  <c r="E826" i="3" a="1"/>
  <c r="E826" i="3"/>
  <c r="D826" i="3" a="1"/>
  <c r="D826" i="3" s="1"/>
  <c r="F825" i="3" a="1"/>
  <c r="F825" i="3"/>
  <c r="E825" i="3" a="1"/>
  <c r="E825" i="3" s="1"/>
  <c r="D825" i="3" a="1"/>
  <c r="D825" i="3" s="1"/>
  <c r="F824" i="3" a="1"/>
  <c r="F824" i="3" s="1"/>
  <c r="E824" i="3" a="1"/>
  <c r="E824" i="3" s="1"/>
  <c r="D824" i="3" a="1"/>
  <c r="D824" i="3" s="1"/>
  <c r="F823" i="3" a="1"/>
  <c r="F823" i="3" s="1"/>
  <c r="E823" i="3" a="1"/>
  <c r="E823" i="3" s="1"/>
  <c r="D823" i="3" a="1"/>
  <c r="D823" i="3" s="1"/>
  <c r="F822" i="3" a="1"/>
  <c r="F822" i="3" s="1"/>
  <c r="E822" i="3" a="1"/>
  <c r="E822" i="3"/>
  <c r="D822" i="3" a="1"/>
  <c r="D822" i="3" s="1"/>
  <c r="F821" i="3" a="1"/>
  <c r="F821" i="3" s="1"/>
  <c r="E821" i="3" a="1"/>
  <c r="E821" i="3" s="1"/>
  <c r="D821" i="3" a="1"/>
  <c r="D821" i="3" s="1"/>
  <c r="F820" i="3" a="1"/>
  <c r="F820" i="3" s="1"/>
  <c r="E820" i="3" a="1"/>
  <c r="E820" i="3" s="1"/>
  <c r="D820" i="3" a="1"/>
  <c r="D820" i="3" s="1"/>
  <c r="F819" i="3" a="1"/>
  <c r="F819" i="3" s="1"/>
  <c r="E819" i="3" a="1"/>
  <c r="E819" i="3" s="1"/>
  <c r="D819" i="3" a="1"/>
  <c r="D819" i="3" s="1"/>
  <c r="F818" i="3" a="1"/>
  <c r="F818" i="3" s="1"/>
  <c r="E818" i="3" a="1"/>
  <c r="E818" i="3"/>
  <c r="D818" i="3" a="1"/>
  <c r="D818" i="3" s="1"/>
  <c r="F817" i="3" a="1"/>
  <c r="F817" i="3"/>
  <c r="E817" i="3" a="1"/>
  <c r="E817" i="3" s="1"/>
  <c r="D817" i="3" a="1"/>
  <c r="D817" i="3" s="1"/>
  <c r="F816" i="3" a="1"/>
  <c r="F816" i="3" s="1"/>
  <c r="E816" i="3" a="1"/>
  <c r="E816" i="3" s="1"/>
  <c r="D816" i="3" a="1"/>
  <c r="D816" i="3" s="1"/>
  <c r="F815" i="3" a="1"/>
  <c r="F815" i="3"/>
  <c r="E815" i="3" a="1"/>
  <c r="E815" i="3" s="1"/>
  <c r="D815" i="3" a="1"/>
  <c r="D815" i="3" s="1"/>
  <c r="F814" i="3" a="1"/>
  <c r="F814" i="3" s="1"/>
  <c r="E814" i="3" a="1"/>
  <c r="E814" i="3"/>
  <c r="D814" i="3" a="1"/>
  <c r="D814" i="3" s="1"/>
  <c r="F813" i="3" a="1"/>
  <c r="F813" i="3" s="1"/>
  <c r="E813" i="3" a="1"/>
  <c r="E813" i="3" s="1"/>
  <c r="D813" i="3" a="1"/>
  <c r="D813" i="3" s="1"/>
  <c r="F812" i="3" a="1"/>
  <c r="F812" i="3" s="1"/>
  <c r="E812" i="3" a="1"/>
  <c r="E812" i="3"/>
  <c r="D812" i="3" a="1"/>
  <c r="D812" i="3" s="1"/>
  <c r="F811" i="3" a="1"/>
  <c r="F811" i="3"/>
  <c r="E811" i="3" a="1"/>
  <c r="E811" i="3" s="1"/>
  <c r="D811" i="3" a="1"/>
  <c r="D811" i="3" s="1"/>
  <c r="F810" i="3" a="1"/>
  <c r="F810" i="3" s="1"/>
  <c r="E810" i="3" a="1"/>
  <c r="E810" i="3"/>
  <c r="D810" i="3" a="1"/>
  <c r="D810" i="3" s="1"/>
  <c r="F809" i="3" a="1"/>
  <c r="F809" i="3"/>
  <c r="E809" i="3" a="1"/>
  <c r="E809" i="3" s="1"/>
  <c r="D809" i="3" a="1"/>
  <c r="D809" i="3" s="1"/>
  <c r="F808" i="3" a="1"/>
  <c r="F808" i="3" s="1"/>
  <c r="E808" i="3" a="1"/>
  <c r="E808" i="3" s="1"/>
  <c r="D808" i="3" a="1"/>
  <c r="D808" i="3" s="1"/>
  <c r="F807" i="3" a="1"/>
  <c r="F807" i="3" s="1"/>
  <c r="E807" i="3" a="1"/>
  <c r="E807" i="3" s="1"/>
  <c r="D807" i="3" a="1"/>
  <c r="D807" i="3"/>
  <c r="F806" i="3" a="1"/>
  <c r="F806" i="3" s="1"/>
  <c r="E806" i="3" a="1"/>
  <c r="E806" i="3" s="1"/>
  <c r="D806" i="3" a="1"/>
  <c r="D806" i="3" s="1"/>
  <c r="F805" i="3" a="1"/>
  <c r="F805" i="3" s="1"/>
  <c r="E805" i="3" a="1"/>
  <c r="E805" i="3" s="1"/>
  <c r="D805" i="3" a="1"/>
  <c r="D805" i="3"/>
  <c r="F804" i="3" a="1"/>
  <c r="F804" i="3" s="1"/>
  <c r="E804" i="3" a="1"/>
  <c r="E804" i="3"/>
  <c r="D804" i="3" a="1"/>
  <c r="D804" i="3" s="1"/>
  <c r="F803" i="3" a="1"/>
  <c r="F803" i="3" s="1"/>
  <c r="E803" i="3" a="1"/>
  <c r="E803" i="3" s="1"/>
  <c r="D803" i="3" a="1"/>
  <c r="D803" i="3" s="1"/>
  <c r="F802" i="3" a="1"/>
  <c r="F802" i="3" s="1"/>
  <c r="E802" i="3" a="1"/>
  <c r="E802" i="3"/>
  <c r="D802" i="3" a="1"/>
  <c r="D802" i="3" s="1"/>
  <c r="F801" i="3" a="1"/>
  <c r="F801" i="3" s="1"/>
  <c r="E801" i="3" a="1"/>
  <c r="E801" i="3" s="1"/>
  <c r="D801" i="3" a="1"/>
  <c r="D801" i="3" s="1"/>
  <c r="F800" i="3" a="1"/>
  <c r="F800" i="3" s="1"/>
  <c r="E800" i="3" a="1"/>
  <c r="E800" i="3" s="1"/>
  <c r="D800" i="3" a="1"/>
  <c r="D800" i="3" s="1"/>
  <c r="F799" i="3" a="1"/>
  <c r="F799" i="3" s="1"/>
  <c r="E799" i="3" a="1"/>
  <c r="E799" i="3" s="1"/>
  <c r="D799" i="3" a="1"/>
  <c r="D799" i="3" s="1"/>
  <c r="F798" i="3" a="1"/>
  <c r="F798" i="3"/>
  <c r="E798" i="3" a="1"/>
  <c r="E798" i="3" s="1"/>
  <c r="D798" i="3" a="1"/>
  <c r="D798" i="3" s="1"/>
  <c r="F797" i="3" a="1"/>
  <c r="F797" i="3" s="1"/>
  <c r="E797" i="3" a="1"/>
  <c r="E797" i="3" s="1"/>
  <c r="D797" i="3" a="1"/>
  <c r="D797" i="3" s="1"/>
  <c r="F796" i="3" a="1"/>
  <c r="F796" i="3" s="1"/>
  <c r="E796" i="3" a="1"/>
  <c r="E796" i="3" s="1"/>
  <c r="D796" i="3" a="1"/>
  <c r="D796" i="3" s="1"/>
  <c r="F795" i="3" a="1"/>
  <c r="F795" i="3"/>
  <c r="E795" i="3" a="1"/>
  <c r="E795" i="3" s="1"/>
  <c r="D795" i="3" a="1"/>
  <c r="D795" i="3"/>
  <c r="F794" i="3" a="1"/>
  <c r="F794" i="3" s="1"/>
  <c r="E794" i="3" a="1"/>
  <c r="E794" i="3" s="1"/>
  <c r="D794" i="3" a="1"/>
  <c r="D794" i="3" s="1"/>
  <c r="F793" i="3" a="1"/>
  <c r="F793" i="3" s="1"/>
  <c r="E793" i="3" a="1"/>
  <c r="E793" i="3" s="1"/>
  <c r="D793" i="3" a="1"/>
  <c r="D793" i="3"/>
  <c r="F792" i="3" a="1"/>
  <c r="F792" i="3" s="1"/>
  <c r="E792" i="3" a="1"/>
  <c r="E792" i="3" s="1"/>
  <c r="D792" i="3" a="1"/>
  <c r="D792" i="3" s="1"/>
  <c r="F791" i="3" a="1"/>
  <c r="F791" i="3" s="1"/>
  <c r="E791" i="3" a="1"/>
  <c r="E791" i="3" s="1"/>
  <c r="D791" i="3" a="1"/>
  <c r="D791" i="3"/>
  <c r="F790" i="3" a="1"/>
  <c r="F790" i="3" s="1"/>
  <c r="E790" i="3" a="1"/>
  <c r="E790" i="3" s="1"/>
  <c r="D790" i="3" a="1"/>
  <c r="D790" i="3" s="1"/>
  <c r="F789" i="3" a="1"/>
  <c r="F789" i="3" s="1"/>
  <c r="E789" i="3" a="1"/>
  <c r="E789" i="3"/>
  <c r="D789" i="3" a="1"/>
  <c r="D789" i="3" s="1"/>
  <c r="F788" i="3" a="1"/>
  <c r="F788" i="3" s="1"/>
  <c r="E788" i="3" a="1"/>
  <c r="E788" i="3" s="1"/>
  <c r="D788" i="3" a="1"/>
  <c r="D788" i="3"/>
  <c r="F787" i="3" a="1"/>
  <c r="F787" i="3" s="1"/>
  <c r="E787" i="3" a="1"/>
  <c r="E787" i="3" s="1"/>
  <c r="D787" i="3" a="1"/>
  <c r="D787" i="3" s="1"/>
  <c r="F786" i="3" a="1"/>
  <c r="F786" i="3" s="1"/>
  <c r="E786" i="3" a="1"/>
  <c r="E786" i="3" s="1"/>
  <c r="D786" i="3" a="1"/>
  <c r="D786" i="3" s="1"/>
  <c r="F785" i="3" a="1"/>
  <c r="F785" i="3" s="1"/>
  <c r="E785" i="3" a="1"/>
  <c r="E785" i="3"/>
  <c r="D785" i="3" a="1"/>
  <c r="D785" i="3" s="1"/>
  <c r="F784" i="3" a="1"/>
  <c r="F784" i="3" s="1"/>
  <c r="E784" i="3" a="1"/>
  <c r="E784" i="3" s="1"/>
  <c r="D784" i="3" a="1"/>
  <c r="D784" i="3" s="1"/>
  <c r="F783" i="3" a="1"/>
  <c r="F783" i="3" s="1"/>
  <c r="E783" i="3" a="1"/>
  <c r="E783" i="3" s="1"/>
  <c r="D783" i="3" a="1"/>
  <c r="D783" i="3" s="1"/>
  <c r="F782" i="3" a="1"/>
  <c r="F782" i="3" s="1"/>
  <c r="E782" i="3" a="1"/>
  <c r="E782" i="3" s="1"/>
  <c r="D782" i="3" a="1"/>
  <c r="D782" i="3" s="1"/>
  <c r="F781" i="3" a="1"/>
  <c r="F781" i="3" s="1"/>
  <c r="E781" i="3" a="1"/>
  <c r="E781" i="3" s="1"/>
  <c r="D781" i="3" a="1"/>
  <c r="D781" i="3" s="1"/>
  <c r="F780" i="3" a="1"/>
  <c r="F780" i="3" s="1"/>
  <c r="E780" i="3" a="1"/>
  <c r="E780" i="3" s="1"/>
  <c r="D780" i="3" a="1"/>
  <c r="D780" i="3" s="1"/>
  <c r="F779" i="3" a="1"/>
  <c r="F779" i="3" s="1"/>
  <c r="E779" i="3" a="1"/>
  <c r="E779" i="3" s="1"/>
  <c r="D779" i="3" a="1"/>
  <c r="D779" i="3" s="1"/>
  <c r="F778" i="3" a="1"/>
  <c r="F778" i="3" s="1"/>
  <c r="E778" i="3" a="1"/>
  <c r="E778" i="3" s="1"/>
  <c r="D778" i="3" a="1"/>
  <c r="D778" i="3" s="1"/>
  <c r="F777" i="3" a="1"/>
  <c r="F777" i="3" s="1"/>
  <c r="E777" i="3" a="1"/>
  <c r="E777" i="3" s="1"/>
  <c r="D777" i="3" a="1"/>
  <c r="D777" i="3" s="1"/>
  <c r="F776" i="3" a="1"/>
  <c r="F776" i="3" s="1"/>
  <c r="E776" i="3" a="1"/>
  <c r="E776" i="3"/>
  <c r="D776" i="3" a="1"/>
  <c r="D776" i="3" s="1"/>
  <c r="F775" i="3" a="1"/>
  <c r="F775" i="3" s="1"/>
  <c r="E775" i="3" a="1"/>
  <c r="E775" i="3" s="1"/>
  <c r="D775" i="3" a="1"/>
  <c r="D775" i="3" s="1"/>
  <c r="F774" i="3" a="1"/>
  <c r="F774" i="3" s="1"/>
  <c r="E774" i="3" a="1"/>
  <c r="E774" i="3" s="1"/>
  <c r="D774" i="3" a="1"/>
  <c r="D774" i="3" s="1"/>
  <c r="F773" i="3" a="1"/>
  <c r="F773" i="3" s="1"/>
  <c r="E773" i="3" a="1"/>
  <c r="E773" i="3" s="1"/>
  <c r="D773" i="3" a="1"/>
  <c r="D773" i="3" s="1"/>
  <c r="F772" i="3" a="1"/>
  <c r="F772" i="3" s="1"/>
  <c r="E772" i="3" a="1"/>
  <c r="E772" i="3" s="1"/>
  <c r="D772" i="3" a="1"/>
  <c r="D772" i="3" s="1"/>
  <c r="F771" i="3" a="1"/>
  <c r="F771" i="3" s="1"/>
  <c r="E771" i="3" a="1"/>
  <c r="E771" i="3" s="1"/>
  <c r="D771" i="3" a="1"/>
  <c r="D771" i="3" s="1"/>
  <c r="F770" i="3" a="1"/>
  <c r="F770" i="3" s="1"/>
  <c r="E770" i="3" a="1"/>
  <c r="E770" i="3" s="1"/>
  <c r="D770" i="3" a="1"/>
  <c r="D770" i="3" s="1"/>
  <c r="F769" i="3" a="1"/>
  <c r="F769" i="3" s="1"/>
  <c r="E769" i="3" a="1"/>
  <c r="E769" i="3" s="1"/>
  <c r="D769" i="3" a="1"/>
  <c r="D769" i="3" s="1"/>
  <c r="F768" i="3" a="1"/>
  <c r="F768" i="3" s="1"/>
  <c r="E768" i="3" a="1"/>
  <c r="E768" i="3" s="1"/>
  <c r="D768" i="3" a="1"/>
  <c r="D768" i="3" s="1"/>
  <c r="F767" i="3" a="1"/>
  <c r="F767" i="3" s="1"/>
  <c r="E767" i="3" a="1"/>
  <c r="E767" i="3" s="1"/>
  <c r="D767" i="3" a="1"/>
  <c r="D767" i="3" s="1"/>
  <c r="F766" i="3" a="1"/>
  <c r="F766" i="3" s="1"/>
  <c r="E766" i="3" a="1"/>
  <c r="E766" i="3" s="1"/>
  <c r="D766" i="3" a="1"/>
  <c r="D766" i="3" s="1"/>
  <c r="F765" i="3" a="1"/>
  <c r="F765" i="3" s="1"/>
  <c r="E765" i="3" a="1"/>
  <c r="E765" i="3" s="1"/>
  <c r="D765" i="3" a="1"/>
  <c r="D765" i="3" s="1"/>
  <c r="F764" i="3" a="1"/>
  <c r="F764" i="3" s="1"/>
  <c r="E764" i="3" a="1"/>
  <c r="E764" i="3"/>
  <c r="D764" i="3" a="1"/>
  <c r="D764" i="3" s="1"/>
  <c r="F763" i="3" a="1"/>
  <c r="F763" i="3" s="1"/>
  <c r="E763" i="3" a="1"/>
  <c r="E763" i="3" s="1"/>
  <c r="D763" i="3" a="1"/>
  <c r="D763" i="3" s="1"/>
  <c r="F762" i="3" a="1"/>
  <c r="F762" i="3" s="1"/>
  <c r="E762" i="3" a="1"/>
  <c r="E762" i="3" s="1"/>
  <c r="D762" i="3" a="1"/>
  <c r="D762" i="3" s="1"/>
  <c r="F761" i="3" a="1"/>
  <c r="F761" i="3" s="1"/>
  <c r="E761" i="3" a="1"/>
  <c r="E761" i="3" s="1"/>
  <c r="D761" i="3" a="1"/>
  <c r="D761" i="3"/>
  <c r="F760" i="3" a="1"/>
  <c r="F760" i="3" s="1"/>
  <c r="E760" i="3" a="1"/>
  <c r="E760" i="3" s="1"/>
  <c r="D760" i="3" a="1"/>
  <c r="D760" i="3" s="1"/>
  <c r="F759" i="3" a="1"/>
  <c r="F759" i="3" s="1"/>
  <c r="E759" i="3" a="1"/>
  <c r="E759" i="3" s="1"/>
  <c r="D759" i="3" a="1"/>
  <c r="D759" i="3" s="1"/>
  <c r="F758" i="3" a="1"/>
  <c r="F758" i="3" s="1"/>
  <c r="E758" i="3" a="1"/>
  <c r="E758" i="3" s="1"/>
  <c r="D758" i="3" a="1"/>
  <c r="D758" i="3" s="1"/>
  <c r="F757" i="3" a="1"/>
  <c r="F757" i="3" s="1"/>
  <c r="E757" i="3" a="1"/>
  <c r="E757" i="3" s="1"/>
  <c r="D757" i="3" a="1"/>
  <c r="D757" i="3" s="1"/>
  <c r="F756" i="3" a="1"/>
  <c r="F756" i="3" s="1"/>
  <c r="E756" i="3" a="1"/>
  <c r="E756" i="3"/>
  <c r="D756" i="3" a="1"/>
  <c r="D756" i="3" s="1"/>
  <c r="F755" i="3" a="1"/>
  <c r="F755" i="3" s="1"/>
  <c r="E755" i="3" a="1"/>
  <c r="E755" i="3" s="1"/>
  <c r="D755" i="3" a="1"/>
  <c r="D755" i="3" s="1"/>
  <c r="F754" i="3" a="1"/>
  <c r="F754" i="3" s="1"/>
  <c r="E754" i="3" a="1"/>
  <c r="E754" i="3" s="1"/>
  <c r="D754" i="3" a="1"/>
  <c r="D754" i="3" s="1"/>
  <c r="F753" i="3" a="1"/>
  <c r="F753" i="3"/>
  <c r="E753" i="3" a="1"/>
  <c r="E753" i="3" s="1"/>
  <c r="D753" i="3" a="1"/>
  <c r="D753" i="3" s="1"/>
  <c r="F752" i="3" a="1"/>
  <c r="F752" i="3" s="1"/>
  <c r="E752" i="3" a="1"/>
  <c r="E752" i="3" s="1"/>
  <c r="D752" i="3" a="1"/>
  <c r="D752" i="3" s="1"/>
  <c r="F751" i="3" a="1"/>
  <c r="F751" i="3" s="1"/>
  <c r="E751" i="3" a="1"/>
  <c r="E751" i="3" s="1"/>
  <c r="D751" i="3" a="1"/>
  <c r="D751" i="3" s="1"/>
  <c r="F750" i="3" a="1"/>
  <c r="F750" i="3" s="1"/>
  <c r="E750" i="3" a="1"/>
  <c r="E750" i="3" s="1"/>
  <c r="D750" i="3" a="1"/>
  <c r="D750" i="3" s="1"/>
  <c r="F749" i="3" a="1"/>
  <c r="F749" i="3" s="1"/>
  <c r="E749" i="3" a="1"/>
  <c r="E749" i="3" s="1"/>
  <c r="D749" i="3" a="1"/>
  <c r="D749" i="3" s="1"/>
  <c r="F748" i="3" a="1"/>
  <c r="F748" i="3" s="1"/>
  <c r="E748" i="3" a="1"/>
  <c r="E748" i="3" s="1"/>
  <c r="D748" i="3" a="1"/>
  <c r="D748" i="3" s="1"/>
  <c r="F747" i="3" a="1"/>
  <c r="F747" i="3" s="1"/>
  <c r="E747" i="3" a="1"/>
  <c r="E747" i="3" s="1"/>
  <c r="D747" i="3" a="1"/>
  <c r="D747" i="3" s="1"/>
  <c r="F746" i="3" a="1"/>
  <c r="F746" i="3" s="1"/>
  <c r="E746" i="3" a="1"/>
  <c r="E746" i="3" s="1"/>
  <c r="D746" i="3" a="1"/>
  <c r="D746" i="3" s="1"/>
  <c r="F745" i="3" a="1"/>
  <c r="F745" i="3" s="1"/>
  <c r="E745" i="3" a="1"/>
  <c r="E745" i="3" s="1"/>
  <c r="D745" i="3" a="1"/>
  <c r="D745" i="3" s="1"/>
  <c r="F744" i="3" a="1"/>
  <c r="F744" i="3" s="1"/>
  <c r="E744" i="3" a="1"/>
  <c r="E744" i="3" s="1"/>
  <c r="D744" i="3" a="1"/>
  <c r="D744" i="3"/>
  <c r="F743" i="3" a="1"/>
  <c r="F743" i="3" s="1"/>
  <c r="E743" i="3" a="1"/>
  <c r="E743" i="3" s="1"/>
  <c r="D743" i="3" a="1"/>
  <c r="D743" i="3" s="1"/>
  <c r="F742" i="3" a="1"/>
  <c r="F742" i="3" s="1"/>
  <c r="E742" i="3" a="1"/>
  <c r="E742" i="3" s="1"/>
  <c r="D742" i="3" a="1"/>
  <c r="D742" i="3" s="1"/>
  <c r="F741" i="3" a="1"/>
  <c r="F741" i="3" s="1"/>
  <c r="E741" i="3" a="1"/>
  <c r="E741" i="3" s="1"/>
  <c r="D741" i="3" a="1"/>
  <c r="D741" i="3" s="1"/>
  <c r="F740" i="3" a="1"/>
  <c r="F740" i="3" s="1"/>
  <c r="E740" i="3" a="1"/>
  <c r="E740" i="3" s="1"/>
  <c r="D740" i="3" a="1"/>
  <c r="D740" i="3"/>
  <c r="F739" i="3" a="1"/>
  <c r="F739" i="3" s="1"/>
  <c r="E739" i="3" a="1"/>
  <c r="E739" i="3" s="1"/>
  <c r="D739" i="3" a="1"/>
  <c r="D739" i="3" s="1"/>
  <c r="F738" i="3" a="1"/>
  <c r="F738" i="3" s="1"/>
  <c r="E738" i="3" a="1"/>
  <c r="E738" i="3" s="1"/>
  <c r="D738" i="3" a="1"/>
  <c r="D738" i="3" s="1"/>
  <c r="F737" i="3" a="1"/>
  <c r="F737" i="3"/>
  <c r="E737" i="3" a="1"/>
  <c r="E737" i="3" s="1"/>
  <c r="D737" i="3" a="1"/>
  <c r="D737" i="3" s="1"/>
  <c r="F736" i="3" a="1"/>
  <c r="F736" i="3" s="1"/>
  <c r="E736" i="3" a="1"/>
  <c r="E736" i="3" s="1"/>
  <c r="D736" i="3" a="1"/>
  <c r="D736" i="3" s="1"/>
  <c r="F735" i="3" a="1"/>
  <c r="F735" i="3" s="1"/>
  <c r="E735" i="3" a="1"/>
  <c r="E735" i="3" s="1"/>
  <c r="D735" i="3" a="1"/>
  <c r="D735" i="3" s="1"/>
  <c r="F734" i="3" a="1"/>
  <c r="F734" i="3"/>
  <c r="E734" i="3" a="1"/>
  <c r="E734" i="3" s="1"/>
  <c r="D734" i="3" a="1"/>
  <c r="D734" i="3" s="1"/>
  <c r="F733" i="3" a="1"/>
  <c r="F733" i="3" s="1"/>
  <c r="E733" i="3" a="1"/>
  <c r="E733" i="3" s="1"/>
  <c r="D733" i="3" a="1"/>
  <c r="D733" i="3" s="1"/>
  <c r="F732" i="3" a="1"/>
  <c r="F732" i="3" s="1"/>
  <c r="E732" i="3" a="1"/>
  <c r="E732" i="3" s="1"/>
  <c r="D732" i="3" a="1"/>
  <c r="D732" i="3"/>
  <c r="F731" i="3" a="1"/>
  <c r="F731" i="3" s="1"/>
  <c r="E731" i="3" a="1"/>
  <c r="E731" i="3" s="1"/>
  <c r="D731" i="3" a="1"/>
  <c r="D731" i="3" s="1"/>
  <c r="F730" i="3" a="1"/>
  <c r="F730" i="3" s="1"/>
  <c r="E730" i="3" a="1"/>
  <c r="E730" i="3" s="1"/>
  <c r="D730" i="3" a="1"/>
  <c r="D730" i="3" s="1"/>
  <c r="F729" i="3" a="1"/>
  <c r="F729" i="3" s="1"/>
  <c r="E729" i="3" a="1"/>
  <c r="E729" i="3" s="1"/>
  <c r="D729" i="3" a="1"/>
  <c r="D729" i="3" s="1"/>
  <c r="F728" i="3" a="1"/>
  <c r="F728" i="3" s="1"/>
  <c r="E728" i="3" a="1"/>
  <c r="E728" i="3" s="1"/>
  <c r="D728" i="3" a="1"/>
  <c r="D728" i="3" s="1"/>
  <c r="F727" i="3" a="1"/>
  <c r="F727" i="3" s="1"/>
  <c r="E727" i="3" a="1"/>
  <c r="E727" i="3" s="1"/>
  <c r="D727" i="3" a="1"/>
  <c r="D727" i="3" s="1"/>
  <c r="F726" i="3" a="1"/>
  <c r="F726" i="3" s="1"/>
  <c r="E726" i="3" a="1"/>
  <c r="E726" i="3" s="1"/>
  <c r="D726" i="3" a="1"/>
  <c r="D726" i="3" s="1"/>
  <c r="F725" i="3" a="1"/>
  <c r="F725" i="3"/>
  <c r="E725" i="3" a="1"/>
  <c r="E725" i="3" s="1"/>
  <c r="D725" i="3" a="1"/>
  <c r="D725" i="3" s="1"/>
  <c r="F724" i="3" a="1"/>
  <c r="F724" i="3" s="1"/>
  <c r="E724" i="3" a="1"/>
  <c r="E724" i="3" s="1"/>
  <c r="D724" i="3" a="1"/>
  <c r="D724" i="3" s="1"/>
  <c r="F723" i="3" a="1"/>
  <c r="F723" i="3" s="1"/>
  <c r="E723" i="3" a="1"/>
  <c r="E723" i="3" s="1"/>
  <c r="D723" i="3" a="1"/>
  <c r="D723" i="3" s="1"/>
  <c r="F722" i="3" a="1"/>
  <c r="F722" i="3" s="1"/>
  <c r="E722" i="3" a="1"/>
  <c r="E722" i="3" s="1"/>
  <c r="D722" i="3" a="1"/>
  <c r="D722" i="3" s="1"/>
  <c r="F721" i="3" a="1"/>
  <c r="F721" i="3" s="1"/>
  <c r="E721" i="3" a="1"/>
  <c r="E721" i="3" s="1"/>
  <c r="D721" i="3" a="1"/>
  <c r="D721" i="3" s="1"/>
  <c r="F720" i="3" a="1"/>
  <c r="F720" i="3" s="1"/>
  <c r="E720" i="3" a="1"/>
  <c r="E720" i="3" s="1"/>
  <c r="D720" i="3" a="1"/>
  <c r="D720" i="3" s="1"/>
  <c r="F719" i="3" a="1"/>
  <c r="F719" i="3" s="1"/>
  <c r="E719" i="3" a="1"/>
  <c r="E719" i="3" s="1"/>
  <c r="D719" i="3" a="1"/>
  <c r="D719" i="3" s="1"/>
  <c r="F718" i="3" a="1"/>
  <c r="F718" i="3" s="1"/>
  <c r="E718" i="3" a="1"/>
  <c r="E718" i="3"/>
  <c r="D718" i="3" a="1"/>
  <c r="D718" i="3" s="1"/>
  <c r="F717" i="3" a="1"/>
  <c r="F717" i="3" s="1"/>
  <c r="E717" i="3" a="1"/>
  <c r="E717" i="3" s="1"/>
  <c r="D717" i="3" a="1"/>
  <c r="D717" i="3" s="1"/>
  <c r="F716" i="3" a="1"/>
  <c r="F716" i="3" s="1"/>
  <c r="E716" i="3" a="1"/>
  <c r="E716" i="3"/>
  <c r="D716" i="3" a="1"/>
  <c r="D716" i="3" s="1"/>
  <c r="F715" i="3" a="1"/>
  <c r="F715" i="3" s="1"/>
  <c r="E715" i="3" a="1"/>
  <c r="E715" i="3" s="1"/>
  <c r="D715" i="3" a="1"/>
  <c r="D715" i="3" s="1"/>
  <c r="F714" i="3" a="1"/>
  <c r="F714" i="3" s="1"/>
  <c r="E714" i="3" a="1"/>
  <c r="E714" i="3" s="1"/>
  <c r="D714" i="3" a="1"/>
  <c r="D714" i="3" s="1"/>
  <c r="F713" i="3" a="1"/>
  <c r="F713" i="3" s="1"/>
  <c r="E713" i="3" a="1"/>
  <c r="E713" i="3" s="1"/>
  <c r="D713" i="3" a="1"/>
  <c r="D713" i="3" s="1"/>
  <c r="F712" i="3" a="1"/>
  <c r="F712" i="3" s="1"/>
  <c r="E712" i="3" a="1"/>
  <c r="E712" i="3" s="1"/>
  <c r="D712" i="3" a="1"/>
  <c r="D712" i="3"/>
  <c r="F711" i="3" a="1"/>
  <c r="F711" i="3" s="1"/>
  <c r="E711" i="3" a="1"/>
  <c r="E711" i="3" s="1"/>
  <c r="D711" i="3" a="1"/>
  <c r="D711" i="3" s="1"/>
  <c r="F710" i="3" a="1"/>
  <c r="F710" i="3" s="1"/>
  <c r="E710" i="3" a="1"/>
  <c r="E710" i="3" s="1"/>
  <c r="D710" i="3" a="1"/>
  <c r="D710" i="3" s="1"/>
  <c r="F709" i="3" a="1"/>
  <c r="F709" i="3" s="1"/>
  <c r="E709" i="3" a="1"/>
  <c r="E709" i="3"/>
  <c r="D709" i="3" a="1"/>
  <c r="D709" i="3" s="1"/>
  <c r="F708" i="3" a="1"/>
  <c r="F708" i="3" s="1"/>
  <c r="E708" i="3" a="1"/>
  <c r="E708" i="3" s="1"/>
  <c r="D708" i="3" a="1"/>
  <c r="D708" i="3" s="1"/>
  <c r="F707" i="3" a="1"/>
  <c r="F707" i="3" s="1"/>
  <c r="E707" i="3" a="1"/>
  <c r="E707" i="3" s="1"/>
  <c r="D707" i="3" a="1"/>
  <c r="D707" i="3" s="1"/>
  <c r="F706" i="3" a="1"/>
  <c r="F706" i="3" s="1"/>
  <c r="E706" i="3" a="1"/>
  <c r="E706" i="3" s="1"/>
  <c r="D706" i="3" a="1"/>
  <c r="D706" i="3" s="1"/>
  <c r="F705" i="3" a="1"/>
  <c r="F705" i="3" s="1"/>
  <c r="E705" i="3" a="1"/>
  <c r="E705" i="3" s="1"/>
  <c r="D705" i="3" a="1"/>
  <c r="D705" i="3" s="1"/>
  <c r="F704" i="3" a="1"/>
  <c r="F704" i="3" s="1"/>
  <c r="E704" i="3" a="1"/>
  <c r="E704" i="3" s="1"/>
  <c r="D704" i="3" a="1"/>
  <c r="D704" i="3" s="1"/>
  <c r="F703" i="3" a="1"/>
  <c r="F703" i="3" s="1"/>
  <c r="E703" i="3" a="1"/>
  <c r="E703" i="3" s="1"/>
  <c r="D703" i="3" a="1"/>
  <c r="D703" i="3" s="1"/>
  <c r="F702" i="3" a="1"/>
  <c r="F702" i="3" s="1"/>
  <c r="E702" i="3" a="1"/>
  <c r="E702" i="3" s="1"/>
  <c r="D702" i="3" a="1"/>
  <c r="D702" i="3" s="1"/>
  <c r="F701" i="3" a="1"/>
  <c r="F701" i="3" s="1"/>
  <c r="E701" i="3" a="1"/>
  <c r="E701" i="3" s="1"/>
  <c r="D701" i="3" a="1"/>
  <c r="D701" i="3" s="1"/>
  <c r="F700" i="3" a="1"/>
  <c r="F700" i="3" s="1"/>
  <c r="E700" i="3" a="1"/>
  <c r="E700" i="3" s="1"/>
  <c r="D700" i="3" a="1"/>
  <c r="D700" i="3" s="1"/>
  <c r="F699" i="3" a="1"/>
  <c r="F699" i="3" s="1"/>
  <c r="E699" i="3" a="1"/>
  <c r="E699" i="3" s="1"/>
  <c r="D699" i="3" a="1"/>
  <c r="D699" i="3" s="1"/>
  <c r="F698" i="3" a="1"/>
  <c r="F698" i="3" s="1"/>
  <c r="E698" i="3" a="1"/>
  <c r="E698" i="3" s="1"/>
  <c r="D698" i="3" a="1"/>
  <c r="D698" i="3" s="1"/>
  <c r="F697" i="3" a="1"/>
  <c r="F697" i="3" s="1"/>
  <c r="E697" i="3" a="1"/>
  <c r="E697" i="3" s="1"/>
  <c r="D697" i="3" a="1"/>
  <c r="D697" i="3" s="1"/>
  <c r="F696" i="3" a="1"/>
  <c r="F696" i="3" s="1"/>
  <c r="E696" i="3" a="1"/>
  <c r="E696" i="3" s="1"/>
  <c r="D696" i="3" a="1"/>
  <c r="D696" i="3" s="1"/>
  <c r="F695" i="3" a="1"/>
  <c r="F695" i="3" s="1"/>
  <c r="E695" i="3" a="1"/>
  <c r="E695" i="3" s="1"/>
  <c r="D695" i="3" a="1"/>
  <c r="D695" i="3" s="1"/>
  <c r="F694" i="3" a="1"/>
  <c r="F694" i="3" s="1"/>
  <c r="E694" i="3" a="1"/>
  <c r="E694" i="3" s="1"/>
  <c r="D694" i="3" a="1"/>
  <c r="D694" i="3" s="1"/>
  <c r="F693" i="3" a="1"/>
  <c r="F693" i="3" s="1"/>
  <c r="E693" i="3" a="1"/>
  <c r="E693" i="3" s="1"/>
  <c r="D693" i="3" a="1"/>
  <c r="D693" i="3" s="1"/>
  <c r="F692" i="3" a="1"/>
  <c r="F692" i="3"/>
  <c r="E692" i="3" a="1"/>
  <c r="E692" i="3" s="1"/>
  <c r="D692" i="3" a="1"/>
  <c r="D692" i="3" s="1"/>
  <c r="F691" i="3" a="1"/>
  <c r="F691" i="3" s="1"/>
  <c r="E691" i="3" a="1"/>
  <c r="E691" i="3" s="1"/>
  <c r="D691" i="3" a="1"/>
  <c r="D691" i="3" s="1"/>
  <c r="F690" i="3" a="1"/>
  <c r="F690" i="3" s="1"/>
  <c r="E690" i="3" a="1"/>
  <c r="E690" i="3"/>
  <c r="D690" i="3" a="1"/>
  <c r="D690" i="3" s="1"/>
  <c r="F689" i="3" a="1"/>
  <c r="F689" i="3" s="1"/>
  <c r="E689" i="3" a="1"/>
  <c r="E689" i="3" s="1"/>
  <c r="D689" i="3" a="1"/>
  <c r="D689" i="3" s="1"/>
  <c r="F688" i="3" a="1"/>
  <c r="F688" i="3"/>
  <c r="E688" i="3" a="1"/>
  <c r="E688" i="3" s="1"/>
  <c r="D688" i="3" a="1"/>
  <c r="D688" i="3" s="1"/>
  <c r="F687" i="3" a="1"/>
  <c r="F687" i="3" s="1"/>
  <c r="E687" i="3" a="1"/>
  <c r="E687" i="3" s="1"/>
  <c r="D687" i="3" a="1"/>
  <c r="D687" i="3" s="1"/>
  <c r="F686" i="3" a="1"/>
  <c r="F686" i="3" s="1"/>
  <c r="E686" i="3" a="1"/>
  <c r="E686" i="3" s="1"/>
  <c r="D686" i="3" a="1"/>
  <c r="D686" i="3" s="1"/>
  <c r="F685" i="3" a="1"/>
  <c r="F685" i="3" s="1"/>
  <c r="E685" i="3" a="1"/>
  <c r="E685" i="3" s="1"/>
  <c r="D685" i="3" a="1"/>
  <c r="D685" i="3" s="1"/>
  <c r="F684" i="3" a="1"/>
  <c r="F684" i="3" s="1"/>
  <c r="E684" i="3" a="1"/>
  <c r="E684" i="3" s="1"/>
  <c r="D684" i="3" a="1"/>
  <c r="D684" i="3" s="1"/>
  <c r="F683" i="3" a="1"/>
  <c r="F683" i="3" s="1"/>
  <c r="E683" i="3" a="1"/>
  <c r="E683" i="3" s="1"/>
  <c r="D683" i="3" a="1"/>
  <c r="D683" i="3" s="1"/>
  <c r="F682" i="3" a="1"/>
  <c r="F682" i="3" s="1"/>
  <c r="E682" i="3" a="1"/>
  <c r="E682" i="3" s="1"/>
  <c r="D682" i="3" a="1"/>
  <c r="D682" i="3" s="1"/>
  <c r="F681" i="3" a="1"/>
  <c r="F681" i="3" s="1"/>
  <c r="E681" i="3" a="1"/>
  <c r="E681" i="3" s="1"/>
  <c r="D681" i="3" a="1"/>
  <c r="D681" i="3"/>
  <c r="F680" i="3" a="1"/>
  <c r="F680" i="3" s="1"/>
  <c r="E680" i="3" a="1"/>
  <c r="E680" i="3" s="1"/>
  <c r="D680" i="3" a="1"/>
  <c r="D680" i="3" s="1"/>
  <c r="F679" i="3" a="1"/>
  <c r="F679" i="3" s="1"/>
  <c r="E679" i="3" a="1"/>
  <c r="E679" i="3" s="1"/>
  <c r="D679" i="3" a="1"/>
  <c r="D679" i="3" s="1"/>
  <c r="F678" i="3" a="1"/>
  <c r="F678" i="3" s="1"/>
  <c r="E678" i="3" a="1"/>
  <c r="E678" i="3" s="1"/>
  <c r="D678" i="3" a="1"/>
  <c r="D678" i="3" s="1"/>
  <c r="F677" i="3" a="1"/>
  <c r="F677" i="3" s="1"/>
  <c r="E677" i="3" a="1"/>
  <c r="E677" i="3" s="1"/>
  <c r="D677" i="3" a="1"/>
  <c r="D677" i="3"/>
  <c r="F676" i="3" a="1"/>
  <c r="F676" i="3" s="1"/>
  <c r="E676" i="3" a="1"/>
  <c r="E676" i="3" s="1"/>
  <c r="D676" i="3" a="1"/>
  <c r="D676" i="3" s="1"/>
  <c r="F675" i="3" a="1"/>
  <c r="F675" i="3" s="1"/>
  <c r="E675" i="3" a="1"/>
  <c r="E675" i="3" s="1"/>
  <c r="D675" i="3" a="1"/>
  <c r="D675" i="3" s="1"/>
  <c r="F674" i="3" a="1"/>
  <c r="F674" i="3" s="1"/>
  <c r="E674" i="3" a="1"/>
  <c r="E674" i="3" s="1"/>
  <c r="D674" i="3" a="1"/>
  <c r="D674" i="3" s="1"/>
  <c r="F673" i="3" a="1"/>
  <c r="F673" i="3" s="1"/>
  <c r="E673" i="3" a="1"/>
  <c r="E673" i="3" s="1"/>
  <c r="D673" i="3" a="1"/>
  <c r="D673" i="3" s="1"/>
  <c r="F672" i="3" a="1"/>
  <c r="F672" i="3" s="1"/>
  <c r="E672" i="3" a="1"/>
  <c r="E672" i="3" s="1"/>
  <c r="D672" i="3" a="1"/>
  <c r="D672" i="3" s="1"/>
  <c r="F671" i="3" a="1"/>
  <c r="F671" i="3" s="1"/>
  <c r="E671" i="3" a="1"/>
  <c r="E671" i="3" s="1"/>
  <c r="D671" i="3" a="1"/>
  <c r="D671" i="3" s="1"/>
  <c r="F670" i="3" a="1"/>
  <c r="F670" i="3" s="1"/>
  <c r="E670" i="3" a="1"/>
  <c r="E670" i="3" s="1"/>
  <c r="D670" i="3" a="1"/>
  <c r="D670" i="3" s="1"/>
  <c r="F669" i="3" a="1"/>
  <c r="F669" i="3" s="1"/>
  <c r="E669" i="3" a="1"/>
  <c r="E669" i="3" s="1"/>
  <c r="D669" i="3" a="1"/>
  <c r="D669" i="3" s="1"/>
  <c r="F668" i="3" a="1"/>
  <c r="F668" i="3" s="1"/>
  <c r="E668" i="3" a="1"/>
  <c r="E668" i="3" s="1"/>
  <c r="D668" i="3" a="1"/>
  <c r="D668" i="3" s="1"/>
  <c r="F667" i="3" a="1"/>
  <c r="F667" i="3" s="1"/>
  <c r="E667" i="3" a="1"/>
  <c r="E667" i="3" s="1"/>
  <c r="D667" i="3" a="1"/>
  <c r="D667" i="3" s="1"/>
  <c r="F666" i="3" a="1"/>
  <c r="F666" i="3"/>
  <c r="E666" i="3" a="1"/>
  <c r="E666" i="3" s="1"/>
  <c r="D666" i="3" a="1"/>
  <c r="D666" i="3" s="1"/>
  <c r="F665" i="3" a="1"/>
  <c r="F665" i="3" s="1"/>
  <c r="E665" i="3" a="1"/>
  <c r="E665" i="3" s="1"/>
  <c r="D665" i="3" a="1"/>
  <c r="D665" i="3" s="1"/>
  <c r="F664" i="3" a="1"/>
  <c r="F664" i="3" s="1"/>
  <c r="E664" i="3" a="1"/>
  <c r="E664" i="3" s="1"/>
  <c r="D664" i="3" a="1"/>
  <c r="D664" i="3" s="1"/>
  <c r="F663" i="3" a="1"/>
  <c r="F663" i="3" s="1"/>
  <c r="E663" i="3" a="1"/>
  <c r="E663" i="3" s="1"/>
  <c r="D663" i="3" a="1"/>
  <c r="D663" i="3" s="1"/>
  <c r="F662" i="3" a="1"/>
  <c r="F662" i="3" s="1"/>
  <c r="E662" i="3" a="1"/>
  <c r="E662" i="3" s="1"/>
  <c r="D662" i="3" a="1"/>
  <c r="D662" i="3" s="1"/>
  <c r="F661" i="3" a="1"/>
  <c r="F661" i="3" s="1"/>
  <c r="E661" i="3" a="1"/>
  <c r="E661" i="3" s="1"/>
  <c r="D661" i="3" a="1"/>
  <c r="D661" i="3" s="1"/>
  <c r="F660" i="3" a="1"/>
  <c r="F660" i="3" s="1"/>
  <c r="E660" i="3" a="1"/>
  <c r="E660" i="3" s="1"/>
  <c r="D660" i="3" a="1"/>
  <c r="D660" i="3" s="1"/>
  <c r="F659" i="3" a="1"/>
  <c r="F659" i="3" s="1"/>
  <c r="E659" i="3" a="1"/>
  <c r="E659" i="3" s="1"/>
  <c r="D659" i="3" a="1"/>
  <c r="D659" i="3"/>
  <c r="F658" i="3" a="1"/>
  <c r="F658" i="3" s="1"/>
  <c r="E658" i="3" a="1"/>
  <c r="E658" i="3" s="1"/>
  <c r="D658" i="3" a="1"/>
  <c r="D658" i="3" s="1"/>
  <c r="F657" i="3" a="1"/>
  <c r="F657" i="3" s="1"/>
  <c r="E657" i="3" a="1"/>
  <c r="E657" i="3" s="1"/>
  <c r="D657" i="3" a="1"/>
  <c r="D657" i="3" s="1"/>
  <c r="F656" i="3" a="1"/>
  <c r="F656" i="3" s="1"/>
  <c r="E656" i="3" a="1"/>
  <c r="E656" i="3" s="1"/>
  <c r="D656" i="3" a="1"/>
  <c r="D656" i="3" s="1"/>
  <c r="F655" i="3" a="1"/>
  <c r="F655" i="3" s="1"/>
  <c r="E655" i="3" a="1"/>
  <c r="E655" i="3" s="1"/>
  <c r="D655" i="3" a="1"/>
  <c r="D655" i="3" s="1"/>
  <c r="F654" i="3" a="1"/>
  <c r="F654" i="3" s="1"/>
  <c r="E654" i="3" a="1"/>
  <c r="E654" i="3" s="1"/>
  <c r="D654" i="3" a="1"/>
  <c r="D654" i="3"/>
  <c r="F653" i="3" a="1"/>
  <c r="F653" i="3" s="1"/>
  <c r="E653" i="3" a="1"/>
  <c r="E653" i="3" s="1"/>
  <c r="D653" i="3" a="1"/>
  <c r="D653" i="3" s="1"/>
  <c r="F652" i="3" a="1"/>
  <c r="F652" i="3" s="1"/>
  <c r="E652" i="3" a="1"/>
  <c r="E652" i="3" s="1"/>
  <c r="D652" i="3" a="1"/>
  <c r="D652" i="3" s="1"/>
  <c r="F651" i="3" a="1"/>
  <c r="F651" i="3" s="1"/>
  <c r="E651" i="3" a="1"/>
  <c r="E651" i="3" s="1"/>
  <c r="D651" i="3" a="1"/>
  <c r="D651" i="3" s="1"/>
  <c r="F650" i="3" a="1"/>
  <c r="F650" i="3" s="1"/>
  <c r="E650" i="3" a="1"/>
  <c r="E650" i="3" s="1"/>
  <c r="D650" i="3" a="1"/>
  <c r="D650" i="3" s="1"/>
  <c r="F649" i="3" a="1"/>
  <c r="F649" i="3" s="1"/>
  <c r="E649" i="3" a="1"/>
  <c r="E649" i="3" s="1"/>
  <c r="D649" i="3" a="1"/>
  <c r="D649" i="3" s="1"/>
  <c r="F648" i="3" a="1"/>
  <c r="F648" i="3"/>
  <c r="E648" i="3" a="1"/>
  <c r="E648" i="3" s="1"/>
  <c r="D648" i="3" a="1"/>
  <c r="D648" i="3" s="1"/>
  <c r="F647" i="3" a="1"/>
  <c r="F647" i="3" s="1"/>
  <c r="E647" i="3" a="1"/>
  <c r="E647" i="3" s="1"/>
  <c r="D647" i="3" a="1"/>
  <c r="D647" i="3" s="1"/>
  <c r="F646" i="3" a="1"/>
  <c r="F646" i="3" s="1"/>
  <c r="E646" i="3" a="1"/>
  <c r="E646" i="3" s="1"/>
  <c r="D646" i="3" a="1"/>
  <c r="D646" i="3" s="1"/>
  <c r="F645" i="3" a="1"/>
  <c r="F645" i="3" s="1"/>
  <c r="E645" i="3" a="1"/>
  <c r="E645" i="3" s="1"/>
  <c r="D645" i="3" a="1"/>
  <c r="D645" i="3" s="1"/>
  <c r="F644" i="3" a="1"/>
  <c r="F644" i="3" s="1"/>
  <c r="E644" i="3" a="1"/>
  <c r="E644" i="3" s="1"/>
  <c r="D644" i="3" a="1"/>
  <c r="D644" i="3" s="1"/>
  <c r="F643" i="3" a="1"/>
  <c r="F643" i="3" s="1"/>
  <c r="E643" i="3" a="1"/>
  <c r="E643" i="3" s="1"/>
  <c r="D643" i="3" a="1"/>
  <c r="D643" i="3" s="1"/>
  <c r="F642" i="3" a="1"/>
  <c r="F642" i="3" s="1"/>
  <c r="E642" i="3" a="1"/>
  <c r="E642" i="3" s="1"/>
  <c r="D642" i="3" a="1"/>
  <c r="D642" i="3" s="1"/>
  <c r="F641" i="3" a="1"/>
  <c r="F641" i="3" s="1"/>
  <c r="E641" i="3" a="1"/>
  <c r="E641" i="3" s="1"/>
  <c r="D641" i="3" a="1"/>
  <c r="D641" i="3" s="1"/>
  <c r="F640" i="3" a="1"/>
  <c r="F640" i="3" s="1"/>
  <c r="E640" i="3" a="1"/>
  <c r="E640" i="3" s="1"/>
  <c r="D640" i="3" a="1"/>
  <c r="D640" i="3" s="1"/>
  <c r="F639" i="3" a="1"/>
  <c r="F639" i="3" s="1"/>
  <c r="E639" i="3" a="1"/>
  <c r="E639" i="3" s="1"/>
  <c r="D639" i="3" a="1"/>
  <c r="D639" i="3" s="1"/>
  <c r="F638" i="3" a="1"/>
  <c r="F638" i="3" s="1"/>
  <c r="E638" i="3" a="1"/>
  <c r="E638" i="3" s="1"/>
  <c r="D638" i="3" a="1"/>
  <c r="D638" i="3" s="1"/>
  <c r="F637" i="3" a="1"/>
  <c r="F637" i="3" s="1"/>
  <c r="E637" i="3" a="1"/>
  <c r="E637" i="3" s="1"/>
  <c r="D637" i="3" a="1"/>
  <c r="D637" i="3" s="1"/>
  <c r="F636" i="3" a="1"/>
  <c r="F636" i="3" s="1"/>
  <c r="E636" i="3" a="1"/>
  <c r="E636" i="3" s="1"/>
  <c r="D636" i="3" a="1"/>
  <c r="D636" i="3" s="1"/>
  <c r="F635" i="3" a="1"/>
  <c r="F635" i="3" s="1"/>
  <c r="E635" i="3" a="1"/>
  <c r="E635" i="3" s="1"/>
  <c r="D635" i="3" a="1"/>
  <c r="D635" i="3" s="1"/>
  <c r="F634" i="3" a="1"/>
  <c r="F634" i="3"/>
  <c r="E634" i="3" a="1"/>
  <c r="E634" i="3" s="1"/>
  <c r="D634" i="3" a="1"/>
  <c r="D634" i="3" s="1"/>
  <c r="F633" i="3" a="1"/>
  <c r="F633" i="3" s="1"/>
  <c r="E633" i="3" a="1"/>
  <c r="E633" i="3" s="1"/>
  <c r="D633" i="3" a="1"/>
  <c r="D633" i="3" s="1"/>
  <c r="F632" i="3" a="1"/>
  <c r="F632" i="3" s="1"/>
  <c r="E632" i="3" a="1"/>
  <c r="E632" i="3" s="1"/>
  <c r="D632" i="3" a="1"/>
  <c r="D632" i="3" s="1"/>
  <c r="F631" i="3" a="1"/>
  <c r="F631" i="3" s="1"/>
  <c r="E631" i="3" a="1"/>
  <c r="E631" i="3" s="1"/>
  <c r="D631" i="3" a="1"/>
  <c r="D631" i="3" s="1"/>
  <c r="F630" i="3" a="1"/>
  <c r="F630" i="3" s="1"/>
  <c r="E630" i="3" a="1"/>
  <c r="E630" i="3" s="1"/>
  <c r="D630" i="3" a="1"/>
  <c r="D630" i="3" s="1"/>
  <c r="F629" i="3" a="1"/>
  <c r="F629" i="3" s="1"/>
  <c r="E629" i="3" a="1"/>
  <c r="E629" i="3" s="1"/>
  <c r="D629" i="3" a="1"/>
  <c r="D629" i="3" s="1"/>
  <c r="F628" i="3" a="1"/>
  <c r="F628" i="3" s="1"/>
  <c r="E628" i="3" a="1"/>
  <c r="E628" i="3" s="1"/>
  <c r="D628" i="3" a="1"/>
  <c r="D628" i="3" s="1"/>
  <c r="F627" i="3" a="1"/>
  <c r="F627" i="3" s="1"/>
  <c r="E627" i="3" a="1"/>
  <c r="E627" i="3" s="1"/>
  <c r="D627" i="3" a="1"/>
  <c r="D627" i="3" s="1"/>
  <c r="F626" i="3" a="1"/>
  <c r="F626" i="3" s="1"/>
  <c r="E626" i="3" a="1"/>
  <c r="E626" i="3" s="1"/>
  <c r="D626" i="3" a="1"/>
  <c r="D626" i="3" s="1"/>
  <c r="F625" i="3" a="1"/>
  <c r="F625" i="3" s="1"/>
  <c r="E625" i="3" a="1"/>
  <c r="E625" i="3" s="1"/>
  <c r="D625" i="3" a="1"/>
  <c r="D625" i="3" s="1"/>
  <c r="F624" i="3" a="1"/>
  <c r="F624" i="3" s="1"/>
  <c r="E624" i="3" a="1"/>
  <c r="E624" i="3" s="1"/>
  <c r="D624" i="3" a="1"/>
  <c r="D624" i="3" s="1"/>
  <c r="F623" i="3" a="1"/>
  <c r="F623" i="3" s="1"/>
  <c r="E623" i="3" a="1"/>
  <c r="E623" i="3" s="1"/>
  <c r="D623" i="3" a="1"/>
  <c r="D623" i="3" s="1"/>
  <c r="F622" i="3" a="1"/>
  <c r="F622" i="3" s="1"/>
  <c r="E622" i="3" a="1"/>
  <c r="E622" i="3" s="1"/>
  <c r="D622" i="3" a="1"/>
  <c r="D622" i="3" s="1"/>
  <c r="F621" i="3" a="1"/>
  <c r="F621" i="3" s="1"/>
  <c r="E621" i="3" a="1"/>
  <c r="E621" i="3" s="1"/>
  <c r="D621" i="3" a="1"/>
  <c r="D621" i="3" s="1"/>
  <c r="F620" i="3" a="1"/>
  <c r="F620" i="3" s="1"/>
  <c r="E620" i="3" a="1"/>
  <c r="E620" i="3" s="1"/>
  <c r="D620" i="3" a="1"/>
  <c r="D620" i="3" s="1"/>
  <c r="F619" i="3" a="1"/>
  <c r="F619" i="3" s="1"/>
  <c r="E619" i="3" a="1"/>
  <c r="E619" i="3" s="1"/>
  <c r="D619" i="3" a="1"/>
  <c r="D619" i="3" s="1"/>
  <c r="F618" i="3" a="1"/>
  <c r="F618" i="3" s="1"/>
  <c r="E618" i="3" a="1"/>
  <c r="E618" i="3" s="1"/>
  <c r="D618" i="3" a="1"/>
  <c r="D618" i="3" s="1"/>
  <c r="F617" i="3" a="1"/>
  <c r="F617" i="3" s="1"/>
  <c r="E617" i="3" a="1"/>
  <c r="E617" i="3" s="1"/>
  <c r="D617" i="3" a="1"/>
  <c r="D617" i="3" s="1"/>
  <c r="F616" i="3" a="1"/>
  <c r="F616" i="3" s="1"/>
  <c r="E616" i="3" a="1"/>
  <c r="E616" i="3" s="1"/>
  <c r="D616" i="3" a="1"/>
  <c r="D616" i="3" s="1"/>
  <c r="F615" i="3" a="1"/>
  <c r="F615" i="3" s="1"/>
  <c r="E615" i="3" a="1"/>
  <c r="E615" i="3" s="1"/>
  <c r="D615" i="3" a="1"/>
  <c r="D615" i="3" s="1"/>
  <c r="F614" i="3" a="1"/>
  <c r="F614" i="3" s="1"/>
  <c r="E614" i="3" a="1"/>
  <c r="E614" i="3" s="1"/>
  <c r="D614" i="3" a="1"/>
  <c r="D614" i="3" s="1"/>
  <c r="F613" i="3" a="1"/>
  <c r="F613" i="3" s="1"/>
  <c r="E613" i="3" a="1"/>
  <c r="E613" i="3" s="1"/>
  <c r="D613" i="3" a="1"/>
  <c r="D613" i="3" s="1"/>
  <c r="F612" i="3" a="1"/>
  <c r="F612" i="3" s="1"/>
  <c r="E612" i="3" a="1"/>
  <c r="E612" i="3" s="1"/>
  <c r="D612" i="3" a="1"/>
  <c r="D612" i="3" s="1"/>
  <c r="F611" i="3" a="1"/>
  <c r="F611" i="3" s="1"/>
  <c r="E611" i="3" a="1"/>
  <c r="E611" i="3" s="1"/>
  <c r="D611" i="3" a="1"/>
  <c r="D611" i="3" s="1"/>
  <c r="F610" i="3" a="1"/>
  <c r="F610" i="3" s="1"/>
  <c r="E610" i="3" a="1"/>
  <c r="E610" i="3" s="1"/>
  <c r="D610" i="3" a="1"/>
  <c r="D610" i="3" s="1"/>
  <c r="F609" i="3" a="1"/>
  <c r="F609" i="3" s="1"/>
  <c r="E609" i="3" a="1"/>
  <c r="E609" i="3" s="1"/>
  <c r="D609" i="3" a="1"/>
  <c r="D609" i="3" s="1"/>
  <c r="F608" i="3" a="1"/>
  <c r="F608" i="3" s="1"/>
  <c r="E608" i="3" a="1"/>
  <c r="E608" i="3" s="1"/>
  <c r="D608" i="3" a="1"/>
  <c r="D608" i="3" s="1"/>
  <c r="F607" i="3" a="1"/>
  <c r="F607" i="3" s="1"/>
  <c r="E607" i="3" a="1"/>
  <c r="E607" i="3" s="1"/>
  <c r="D607" i="3" a="1"/>
  <c r="D607" i="3" s="1"/>
  <c r="F606" i="3" a="1"/>
  <c r="F606" i="3" s="1"/>
  <c r="E606" i="3" a="1"/>
  <c r="E606" i="3" s="1"/>
  <c r="D606" i="3" a="1"/>
  <c r="D606" i="3" s="1"/>
  <c r="F605" i="3" a="1"/>
  <c r="F605" i="3" s="1"/>
  <c r="E605" i="3" a="1"/>
  <c r="E605" i="3" s="1"/>
  <c r="D605" i="3" a="1"/>
  <c r="D605" i="3" s="1"/>
  <c r="F604" i="3" a="1"/>
  <c r="F604" i="3" s="1"/>
  <c r="E604" i="3" a="1"/>
  <c r="E604" i="3" s="1"/>
  <c r="D604" i="3" a="1"/>
  <c r="D604" i="3" s="1"/>
  <c r="F603" i="3" a="1"/>
  <c r="F603" i="3" s="1"/>
  <c r="E603" i="3" a="1"/>
  <c r="E603" i="3" s="1"/>
  <c r="D603" i="3" a="1"/>
  <c r="D603" i="3" s="1"/>
  <c r="F602" i="3" a="1"/>
  <c r="F602" i="3" s="1"/>
  <c r="E602" i="3" a="1"/>
  <c r="E602" i="3" s="1"/>
  <c r="D602" i="3" a="1"/>
  <c r="D602" i="3" s="1"/>
  <c r="F601" i="3" a="1"/>
  <c r="F601" i="3" s="1"/>
  <c r="E601" i="3" a="1"/>
  <c r="E601" i="3" s="1"/>
  <c r="D601" i="3" a="1"/>
  <c r="D601" i="3" s="1"/>
  <c r="F600" i="3" a="1"/>
  <c r="F600" i="3" s="1"/>
  <c r="E600" i="3" a="1"/>
  <c r="E600" i="3" s="1"/>
  <c r="D600" i="3" a="1"/>
  <c r="D600" i="3"/>
  <c r="F599" i="3" a="1"/>
  <c r="F599" i="3" s="1"/>
  <c r="E599" i="3" a="1"/>
  <c r="E599" i="3" s="1"/>
  <c r="D599" i="3" a="1"/>
  <c r="D599" i="3" s="1"/>
  <c r="F598" i="3" a="1"/>
  <c r="F598" i="3" s="1"/>
  <c r="E598" i="3" a="1"/>
  <c r="E598" i="3" s="1"/>
  <c r="D598" i="3" a="1"/>
  <c r="D598" i="3" s="1"/>
  <c r="F597" i="3" a="1"/>
  <c r="F597" i="3"/>
  <c r="E597" i="3" a="1"/>
  <c r="E597" i="3" s="1"/>
  <c r="D597" i="3" a="1"/>
  <c r="D597" i="3" s="1"/>
  <c r="F596" i="3" a="1"/>
  <c r="F596" i="3"/>
  <c r="E596" i="3" a="1"/>
  <c r="E596" i="3" s="1"/>
  <c r="D596" i="3" a="1"/>
  <c r="D596" i="3" s="1"/>
  <c r="F595" i="3" a="1"/>
  <c r="F595" i="3" s="1"/>
  <c r="E595" i="3" a="1"/>
  <c r="E595" i="3" s="1"/>
  <c r="D595" i="3" a="1"/>
  <c r="D595" i="3" s="1"/>
  <c r="F594" i="3" a="1"/>
  <c r="F594" i="3" s="1"/>
  <c r="E594" i="3" a="1"/>
  <c r="E594" i="3" s="1"/>
  <c r="D594" i="3" a="1"/>
  <c r="D594" i="3" s="1"/>
  <c r="F593" i="3" a="1"/>
  <c r="F593" i="3"/>
  <c r="E593" i="3" a="1"/>
  <c r="E593" i="3" s="1"/>
  <c r="D593" i="3" a="1"/>
  <c r="D593" i="3" s="1"/>
  <c r="F592" i="3" a="1"/>
  <c r="F592" i="3" s="1"/>
  <c r="E592" i="3" a="1"/>
  <c r="E592" i="3" s="1"/>
  <c r="D592" i="3" a="1"/>
  <c r="D592" i="3" s="1"/>
  <c r="F591" i="3" a="1"/>
  <c r="F591" i="3" s="1"/>
  <c r="E591" i="3" a="1"/>
  <c r="E591" i="3" s="1"/>
  <c r="D591" i="3" a="1"/>
  <c r="D591" i="3" s="1"/>
  <c r="F590" i="3" a="1"/>
  <c r="F590" i="3" s="1"/>
  <c r="E590" i="3" a="1"/>
  <c r="E590" i="3" s="1"/>
  <c r="D590" i="3" a="1"/>
  <c r="D590" i="3" s="1"/>
  <c r="F589" i="3" a="1"/>
  <c r="F589" i="3" s="1"/>
  <c r="E589" i="3" a="1"/>
  <c r="E589" i="3" s="1"/>
  <c r="D589" i="3" a="1"/>
  <c r="D589" i="3" s="1"/>
  <c r="F588" i="3" a="1"/>
  <c r="F588" i="3" s="1"/>
  <c r="E588" i="3" a="1"/>
  <c r="E588" i="3" s="1"/>
  <c r="D588" i="3" a="1"/>
  <c r="D588" i="3" s="1"/>
  <c r="F587" i="3" a="1"/>
  <c r="F587" i="3" s="1"/>
  <c r="E587" i="3" a="1"/>
  <c r="E587" i="3" s="1"/>
  <c r="D587" i="3" a="1"/>
  <c r="D587" i="3" s="1"/>
  <c r="F586" i="3" a="1"/>
  <c r="F586" i="3" s="1"/>
  <c r="E586" i="3" a="1"/>
  <c r="E586" i="3" s="1"/>
  <c r="D586" i="3" a="1"/>
  <c r="D586" i="3" s="1"/>
  <c r="F585" i="3" a="1"/>
  <c r="F585" i="3" s="1"/>
  <c r="E585" i="3" a="1"/>
  <c r="E585" i="3" s="1"/>
  <c r="D585" i="3" a="1"/>
  <c r="D585" i="3" s="1"/>
  <c r="F584" i="3" a="1"/>
  <c r="F584" i="3" s="1"/>
  <c r="E584" i="3" a="1"/>
  <c r="E584" i="3" s="1"/>
  <c r="D584" i="3" a="1"/>
  <c r="D584" i="3" s="1"/>
  <c r="F583" i="3" a="1"/>
  <c r="F583" i="3" s="1"/>
  <c r="E583" i="3" a="1"/>
  <c r="E583" i="3" s="1"/>
  <c r="D583" i="3" a="1"/>
  <c r="D583" i="3" s="1"/>
  <c r="F582" i="3" a="1"/>
  <c r="F582" i="3" s="1"/>
  <c r="E582" i="3" a="1"/>
  <c r="E582" i="3" s="1"/>
  <c r="D582" i="3" a="1"/>
  <c r="D582" i="3" s="1"/>
  <c r="F581" i="3" a="1"/>
  <c r="F581" i="3" s="1"/>
  <c r="E581" i="3" a="1"/>
  <c r="E581" i="3" s="1"/>
  <c r="D581" i="3" a="1"/>
  <c r="D581" i="3" s="1"/>
  <c r="F580" i="3" a="1"/>
  <c r="F580" i="3" s="1"/>
  <c r="E580" i="3" a="1"/>
  <c r="E580" i="3" s="1"/>
  <c r="D580" i="3" a="1"/>
  <c r="D580" i="3" s="1"/>
  <c r="F579" i="3" a="1"/>
  <c r="F579" i="3" s="1"/>
  <c r="E579" i="3" a="1"/>
  <c r="E579" i="3" s="1"/>
  <c r="D579" i="3" a="1"/>
  <c r="D579" i="3" s="1"/>
  <c r="F578" i="3" a="1"/>
  <c r="F578" i="3" s="1"/>
  <c r="E578" i="3" a="1"/>
  <c r="E578" i="3" s="1"/>
  <c r="D578" i="3" a="1"/>
  <c r="D578" i="3" s="1"/>
  <c r="F577" i="3" a="1"/>
  <c r="F577" i="3" s="1"/>
  <c r="E577" i="3" a="1"/>
  <c r="E577" i="3" s="1"/>
  <c r="D577" i="3" a="1"/>
  <c r="D577" i="3" s="1"/>
  <c r="F576" i="3" a="1"/>
  <c r="F576" i="3" s="1"/>
  <c r="E576" i="3" a="1"/>
  <c r="E576" i="3" s="1"/>
  <c r="D576" i="3" a="1"/>
  <c r="D576" i="3" s="1"/>
  <c r="F575" i="3" a="1"/>
  <c r="F575" i="3" s="1"/>
  <c r="E575" i="3" a="1"/>
  <c r="E575" i="3" s="1"/>
  <c r="D575" i="3" a="1"/>
  <c r="D575" i="3" s="1"/>
  <c r="F574" i="3" a="1"/>
  <c r="F574" i="3" s="1"/>
  <c r="E574" i="3" a="1"/>
  <c r="E574" i="3" s="1"/>
  <c r="D574" i="3" a="1"/>
  <c r="D574" i="3"/>
  <c r="F573" i="3" a="1"/>
  <c r="F573" i="3" s="1"/>
  <c r="E573" i="3" a="1"/>
  <c r="E573" i="3" s="1"/>
  <c r="D573" i="3" a="1"/>
  <c r="D573" i="3" s="1"/>
  <c r="F572" i="3" a="1"/>
  <c r="F572" i="3" s="1"/>
  <c r="E572" i="3" a="1"/>
  <c r="E572" i="3" s="1"/>
  <c r="D572" i="3" a="1"/>
  <c r="D572" i="3" s="1"/>
  <c r="F571" i="3" a="1"/>
  <c r="F571" i="3" s="1"/>
  <c r="E571" i="3" a="1"/>
  <c r="E571" i="3" s="1"/>
  <c r="D571" i="3" a="1"/>
  <c r="D571" i="3" s="1"/>
  <c r="F570" i="3" a="1"/>
  <c r="F570" i="3" s="1"/>
  <c r="E570" i="3" a="1"/>
  <c r="E570" i="3" s="1"/>
  <c r="D570" i="3" a="1"/>
  <c r="D570" i="3" s="1"/>
  <c r="F569" i="3" a="1"/>
  <c r="F569" i="3" s="1"/>
  <c r="E569" i="3" a="1"/>
  <c r="E569" i="3" s="1"/>
  <c r="D569" i="3" a="1"/>
  <c r="D569" i="3" s="1"/>
  <c r="F568" i="3" a="1"/>
  <c r="F568" i="3" s="1"/>
  <c r="E568" i="3" a="1"/>
  <c r="E568" i="3" s="1"/>
  <c r="D568" i="3" a="1"/>
  <c r="D568" i="3" s="1"/>
  <c r="F567" i="3" a="1"/>
  <c r="F567" i="3" s="1"/>
  <c r="E567" i="3" a="1"/>
  <c r="E567" i="3" s="1"/>
  <c r="D567" i="3" a="1"/>
  <c r="D567" i="3" s="1"/>
  <c r="F566" i="3" a="1"/>
  <c r="F566" i="3" s="1"/>
  <c r="E566" i="3" a="1"/>
  <c r="E566" i="3" s="1"/>
  <c r="D566" i="3" a="1"/>
  <c r="D566" i="3" s="1"/>
  <c r="F565" i="3" a="1"/>
  <c r="F565" i="3" s="1"/>
  <c r="E565" i="3" a="1"/>
  <c r="E565" i="3" s="1"/>
  <c r="D565" i="3" a="1"/>
  <c r="D565" i="3" s="1"/>
  <c r="F564" i="3" a="1"/>
  <c r="F564" i="3" s="1"/>
  <c r="E564" i="3" a="1"/>
  <c r="E564" i="3" s="1"/>
  <c r="D564" i="3" a="1"/>
  <c r="D564" i="3" s="1"/>
  <c r="F563" i="3" a="1"/>
  <c r="F563" i="3" s="1"/>
  <c r="E563" i="3" a="1"/>
  <c r="E563" i="3" s="1"/>
  <c r="D563" i="3" a="1"/>
  <c r="D563" i="3" s="1"/>
  <c r="F562" i="3" a="1"/>
  <c r="F562" i="3" s="1"/>
  <c r="E562" i="3" a="1"/>
  <c r="E562" i="3" s="1"/>
  <c r="D562" i="3" a="1"/>
  <c r="D562" i="3" s="1"/>
  <c r="F561" i="3" a="1"/>
  <c r="F561" i="3" s="1"/>
  <c r="E561" i="3" a="1"/>
  <c r="E561" i="3" s="1"/>
  <c r="D561" i="3" a="1"/>
  <c r="D561" i="3" s="1"/>
  <c r="F560" i="3" a="1"/>
  <c r="F560" i="3" s="1"/>
  <c r="E560" i="3" a="1"/>
  <c r="E560" i="3" s="1"/>
  <c r="D560" i="3" a="1"/>
  <c r="D560" i="3" s="1"/>
  <c r="F559" i="3" a="1"/>
  <c r="F559" i="3" s="1"/>
  <c r="E559" i="3" a="1"/>
  <c r="E559" i="3" s="1"/>
  <c r="D559" i="3" a="1"/>
  <c r="D559" i="3" s="1"/>
  <c r="F558" i="3" a="1"/>
  <c r="F558" i="3" s="1"/>
  <c r="E558" i="3" a="1"/>
  <c r="E558" i="3" s="1"/>
  <c r="D558" i="3" a="1"/>
  <c r="D558" i="3" s="1"/>
  <c r="F557" i="3" a="1"/>
  <c r="F557" i="3" s="1"/>
  <c r="E557" i="3" a="1"/>
  <c r="E557" i="3" s="1"/>
  <c r="D557" i="3" a="1"/>
  <c r="D557" i="3" s="1"/>
  <c r="F556" i="3" a="1"/>
  <c r="F556" i="3" s="1"/>
  <c r="E556" i="3" a="1"/>
  <c r="E556" i="3" s="1"/>
  <c r="D556" i="3" a="1"/>
  <c r="D556" i="3" s="1"/>
  <c r="F555" i="3" a="1"/>
  <c r="F555" i="3" s="1"/>
  <c r="E555" i="3" a="1"/>
  <c r="E555" i="3" s="1"/>
  <c r="D555" i="3" a="1"/>
  <c r="D555" i="3" s="1"/>
  <c r="F554" i="3" a="1"/>
  <c r="F554" i="3" s="1"/>
  <c r="E554" i="3" a="1"/>
  <c r="E554" i="3" s="1"/>
  <c r="D554" i="3" a="1"/>
  <c r="D554" i="3" s="1"/>
  <c r="F553" i="3" a="1"/>
  <c r="F553" i="3" s="1"/>
  <c r="E553" i="3" a="1"/>
  <c r="E553" i="3" s="1"/>
  <c r="D553" i="3" a="1"/>
  <c r="D553" i="3" s="1"/>
  <c r="F552" i="3" a="1"/>
  <c r="F552" i="3" s="1"/>
  <c r="E552" i="3" a="1"/>
  <c r="E552" i="3" s="1"/>
  <c r="D552" i="3" a="1"/>
  <c r="D552" i="3" s="1"/>
  <c r="F551" i="3" a="1"/>
  <c r="F551" i="3" s="1"/>
  <c r="E551" i="3" a="1"/>
  <c r="E551" i="3" s="1"/>
  <c r="D551" i="3" a="1"/>
  <c r="D551" i="3" s="1"/>
  <c r="F550" i="3" a="1"/>
  <c r="F550" i="3" s="1"/>
  <c r="E550" i="3" a="1"/>
  <c r="E550" i="3" s="1"/>
  <c r="D550" i="3" a="1"/>
  <c r="D550" i="3" s="1"/>
  <c r="F549" i="3" a="1"/>
  <c r="F549" i="3"/>
  <c r="E549" i="3" a="1"/>
  <c r="E549" i="3" s="1"/>
  <c r="D549" i="3" a="1"/>
  <c r="D549" i="3" s="1"/>
  <c r="F548" i="3" a="1"/>
  <c r="F548" i="3" s="1"/>
  <c r="E548" i="3" a="1"/>
  <c r="E548" i="3" s="1"/>
  <c r="D548" i="3" a="1"/>
  <c r="D548" i="3" s="1"/>
  <c r="F547" i="3" a="1"/>
  <c r="F547" i="3" s="1"/>
  <c r="E547" i="3" a="1"/>
  <c r="E547" i="3" s="1"/>
  <c r="D547" i="3" a="1"/>
  <c r="D547" i="3" s="1"/>
  <c r="F546" i="3" a="1"/>
  <c r="F546" i="3"/>
  <c r="E546" i="3" a="1"/>
  <c r="E546" i="3" s="1"/>
  <c r="D546" i="3" a="1"/>
  <c r="D546" i="3" s="1"/>
  <c r="F545" i="3" a="1"/>
  <c r="F545" i="3" s="1"/>
  <c r="E545" i="3" a="1"/>
  <c r="E545" i="3" s="1"/>
  <c r="D545" i="3" a="1"/>
  <c r="D545" i="3" s="1"/>
  <c r="F544" i="3" a="1"/>
  <c r="F544" i="3" s="1"/>
  <c r="E544" i="3" a="1"/>
  <c r="E544" i="3" s="1"/>
  <c r="D544" i="3" a="1"/>
  <c r="D544" i="3" s="1"/>
  <c r="F543" i="3" a="1"/>
  <c r="F543" i="3" s="1"/>
  <c r="E543" i="3" a="1"/>
  <c r="E543" i="3" s="1"/>
  <c r="D543" i="3" a="1"/>
  <c r="D543" i="3" s="1"/>
  <c r="F542" i="3" a="1"/>
  <c r="F542" i="3" s="1"/>
  <c r="E542" i="3" a="1"/>
  <c r="E542" i="3" s="1"/>
  <c r="D542" i="3" a="1"/>
  <c r="D542" i="3" s="1"/>
  <c r="F541" i="3" a="1"/>
  <c r="F541" i="3" s="1"/>
  <c r="E541" i="3" a="1"/>
  <c r="E541" i="3" s="1"/>
  <c r="D541" i="3" a="1"/>
  <c r="D541" i="3" s="1"/>
  <c r="F540" i="3" a="1"/>
  <c r="F540" i="3" s="1"/>
  <c r="E540" i="3" a="1"/>
  <c r="E540" i="3" s="1"/>
  <c r="D540" i="3" a="1"/>
  <c r="D540" i="3" s="1"/>
  <c r="F539" i="3" a="1"/>
  <c r="F539" i="3" s="1"/>
  <c r="E539" i="3" a="1"/>
  <c r="E539" i="3" s="1"/>
  <c r="D539" i="3" a="1"/>
  <c r="D539" i="3" s="1"/>
  <c r="F538" i="3" a="1"/>
  <c r="F538" i="3" s="1"/>
  <c r="E538" i="3" a="1"/>
  <c r="E538" i="3" s="1"/>
  <c r="D538" i="3" a="1"/>
  <c r="D538" i="3" s="1"/>
  <c r="F537" i="3" a="1"/>
  <c r="F537" i="3" s="1"/>
  <c r="E537" i="3" a="1"/>
  <c r="E537" i="3" s="1"/>
  <c r="D537" i="3" a="1"/>
  <c r="D537" i="3" s="1"/>
  <c r="F536" i="3" a="1"/>
  <c r="F536" i="3"/>
  <c r="E536" i="3" a="1"/>
  <c r="E536" i="3" s="1"/>
  <c r="D536" i="3" a="1"/>
  <c r="D536" i="3" s="1"/>
  <c r="F535" i="3" a="1"/>
  <c r="F535" i="3" s="1"/>
  <c r="E535" i="3" a="1"/>
  <c r="E535" i="3" s="1"/>
  <c r="D535" i="3" a="1"/>
  <c r="D535" i="3" s="1"/>
  <c r="F534" i="3" a="1"/>
  <c r="F534" i="3" s="1"/>
  <c r="E534" i="3" a="1"/>
  <c r="E534" i="3" s="1"/>
  <c r="D534" i="3" a="1"/>
  <c r="D534" i="3" s="1"/>
  <c r="F533" i="3" a="1"/>
  <c r="F533" i="3" s="1"/>
  <c r="E533" i="3" a="1"/>
  <c r="E533" i="3" s="1"/>
  <c r="D533" i="3" a="1"/>
  <c r="D533" i="3" s="1"/>
  <c r="F532" i="3" a="1"/>
  <c r="F532" i="3" s="1"/>
  <c r="E532" i="3" a="1"/>
  <c r="E532" i="3" s="1"/>
  <c r="D532" i="3" a="1"/>
  <c r="D532" i="3" s="1"/>
  <c r="F531" i="3" a="1"/>
  <c r="F531" i="3" s="1"/>
  <c r="E531" i="3" a="1"/>
  <c r="E531" i="3" s="1"/>
  <c r="D531" i="3" a="1"/>
  <c r="D531" i="3" s="1"/>
  <c r="F530" i="3" a="1"/>
  <c r="F530" i="3"/>
  <c r="E530" i="3" a="1"/>
  <c r="E530" i="3" s="1"/>
  <c r="D530" i="3" a="1"/>
  <c r="D530" i="3" s="1"/>
  <c r="F529" i="3" a="1"/>
  <c r="F529" i="3"/>
  <c r="E529" i="3" a="1"/>
  <c r="E529" i="3" s="1"/>
  <c r="D529" i="3" a="1"/>
  <c r="D529" i="3" s="1"/>
  <c r="F528" i="3" a="1"/>
  <c r="F528" i="3" s="1"/>
  <c r="E528" i="3" a="1"/>
  <c r="E528" i="3" s="1"/>
  <c r="D528" i="3" a="1"/>
  <c r="D528" i="3" s="1"/>
  <c r="F527" i="3" a="1"/>
  <c r="F527" i="3" s="1"/>
  <c r="E527" i="3" a="1"/>
  <c r="E527" i="3" s="1"/>
  <c r="D527" i="3" a="1"/>
  <c r="D527" i="3" s="1"/>
  <c r="F526" i="3" a="1"/>
  <c r="F526" i="3" s="1"/>
  <c r="E526" i="3" a="1"/>
  <c r="E526" i="3" s="1"/>
  <c r="D526" i="3" a="1"/>
  <c r="D526" i="3" s="1"/>
  <c r="F525" i="3" a="1"/>
  <c r="F525" i="3" s="1"/>
  <c r="E525" i="3" a="1"/>
  <c r="E525" i="3" s="1"/>
  <c r="D525" i="3" a="1"/>
  <c r="D525" i="3" s="1"/>
  <c r="F524" i="3" a="1"/>
  <c r="F524" i="3" s="1"/>
  <c r="E524" i="3" a="1"/>
  <c r="E524" i="3" s="1"/>
  <c r="D524" i="3" a="1"/>
  <c r="D524" i="3" s="1"/>
  <c r="F523" i="3" a="1"/>
  <c r="F523" i="3" s="1"/>
  <c r="E523" i="3" a="1"/>
  <c r="E523" i="3" s="1"/>
  <c r="D523" i="3" a="1"/>
  <c r="D523" i="3" s="1"/>
  <c r="F522" i="3" a="1"/>
  <c r="F522" i="3" s="1"/>
  <c r="E522" i="3" a="1"/>
  <c r="E522" i="3" s="1"/>
  <c r="D522" i="3" a="1"/>
  <c r="D522" i="3" s="1"/>
  <c r="F521" i="3" a="1"/>
  <c r="F521" i="3" s="1"/>
  <c r="E521" i="3" a="1"/>
  <c r="E521" i="3" s="1"/>
  <c r="D521" i="3" a="1"/>
  <c r="D521" i="3" s="1"/>
  <c r="F520" i="3" a="1"/>
  <c r="F520" i="3"/>
  <c r="E520" i="3" a="1"/>
  <c r="E520" i="3" s="1"/>
  <c r="D520" i="3" a="1"/>
  <c r="D520" i="3" s="1"/>
  <c r="F519" i="3" a="1"/>
  <c r="F519" i="3" s="1"/>
  <c r="E519" i="3" a="1"/>
  <c r="E519" i="3" s="1"/>
  <c r="D519" i="3" a="1"/>
  <c r="D519" i="3" s="1"/>
  <c r="F518" i="3" a="1"/>
  <c r="F518" i="3" s="1"/>
  <c r="E518" i="3" a="1"/>
  <c r="E518" i="3" s="1"/>
  <c r="D518" i="3" a="1"/>
  <c r="D518" i="3" s="1"/>
  <c r="F517" i="3" a="1"/>
  <c r="F517" i="3" s="1"/>
  <c r="E517" i="3" a="1"/>
  <c r="E517" i="3" s="1"/>
  <c r="D517" i="3" a="1"/>
  <c r="D517" i="3" s="1"/>
  <c r="F516" i="3" a="1"/>
  <c r="F516" i="3"/>
  <c r="E516" i="3" a="1"/>
  <c r="E516" i="3" s="1"/>
  <c r="D516" i="3" a="1"/>
  <c r="D516" i="3"/>
  <c r="F515" i="3" a="1"/>
  <c r="F515" i="3" s="1"/>
  <c r="E515" i="3" a="1"/>
  <c r="E515" i="3" s="1"/>
  <c r="D515" i="3" a="1"/>
  <c r="D515" i="3" s="1"/>
  <c r="F514" i="3" a="1"/>
  <c r="F514" i="3" s="1"/>
  <c r="E514" i="3" a="1"/>
  <c r="E514" i="3" s="1"/>
  <c r="D514" i="3" a="1"/>
  <c r="D514" i="3" s="1"/>
  <c r="F513" i="3" a="1"/>
  <c r="F513" i="3" s="1"/>
  <c r="E513" i="3" a="1"/>
  <c r="E513" i="3" s="1"/>
  <c r="D513" i="3" a="1"/>
  <c r="D513" i="3" s="1"/>
  <c r="F512" i="3" a="1"/>
  <c r="F512" i="3" s="1"/>
  <c r="E512" i="3" a="1"/>
  <c r="E512" i="3" s="1"/>
  <c r="D512" i="3" a="1"/>
  <c r="D512" i="3" s="1"/>
  <c r="F511" i="3" a="1"/>
  <c r="F511" i="3" s="1"/>
  <c r="E511" i="3" a="1"/>
  <c r="E511" i="3" s="1"/>
  <c r="D511" i="3" a="1"/>
  <c r="D511" i="3" s="1"/>
  <c r="F510" i="3" a="1"/>
  <c r="F510" i="3" s="1"/>
  <c r="E510" i="3" a="1"/>
  <c r="E510" i="3" s="1"/>
  <c r="D510" i="3" a="1"/>
  <c r="D510" i="3"/>
  <c r="F509" i="3" a="1"/>
  <c r="F509" i="3" s="1"/>
  <c r="E509" i="3" a="1"/>
  <c r="E509" i="3" s="1"/>
  <c r="D509" i="3" a="1"/>
  <c r="D509" i="3" s="1"/>
  <c r="F508" i="3" a="1"/>
  <c r="F508" i="3" s="1"/>
  <c r="E508" i="3" a="1"/>
  <c r="E508" i="3" s="1"/>
  <c r="D508" i="3" a="1"/>
  <c r="D508" i="3" s="1"/>
  <c r="F507" i="3" a="1"/>
  <c r="F507" i="3" s="1"/>
  <c r="E507" i="3" a="1"/>
  <c r="E507" i="3" s="1"/>
  <c r="D507" i="3" a="1"/>
  <c r="D507" i="3" s="1"/>
  <c r="F506" i="3" a="1"/>
  <c r="F506" i="3" s="1"/>
  <c r="E506" i="3" a="1"/>
  <c r="E506" i="3" s="1"/>
  <c r="D506" i="3" a="1"/>
  <c r="D506" i="3" s="1"/>
  <c r="F505" i="3" a="1"/>
  <c r="F505" i="3" s="1"/>
  <c r="E505" i="3" a="1"/>
  <c r="E505" i="3" s="1"/>
  <c r="D505" i="3" a="1"/>
  <c r="D505" i="3" s="1"/>
  <c r="F504" i="3" a="1"/>
  <c r="F504" i="3" s="1"/>
  <c r="E504" i="3" a="1"/>
  <c r="E504" i="3" s="1"/>
  <c r="D504" i="3" a="1"/>
  <c r="D504" i="3"/>
  <c r="F503" i="3" a="1"/>
  <c r="F503" i="3" s="1"/>
  <c r="E503" i="3" a="1"/>
  <c r="E503" i="3" s="1"/>
  <c r="D503" i="3" a="1"/>
  <c r="D503" i="3"/>
  <c r="F502" i="3" a="1"/>
  <c r="F502" i="3" s="1"/>
  <c r="E502" i="3" a="1"/>
  <c r="E502" i="3" s="1"/>
  <c r="D502" i="3" a="1"/>
  <c r="D502" i="3" s="1"/>
  <c r="F501" i="3" a="1"/>
  <c r="F501" i="3" s="1"/>
  <c r="E501" i="3" a="1"/>
  <c r="E501" i="3" s="1"/>
  <c r="D501" i="3" a="1"/>
  <c r="D501" i="3" s="1"/>
  <c r="F500" i="3" a="1"/>
  <c r="F500" i="3" s="1"/>
  <c r="E500" i="3" a="1"/>
  <c r="E500" i="3" s="1"/>
  <c r="D500" i="3" a="1"/>
  <c r="D500" i="3" s="1"/>
  <c r="F499" i="3" a="1"/>
  <c r="F499" i="3" s="1"/>
  <c r="E499" i="3" a="1"/>
  <c r="E499" i="3" s="1"/>
  <c r="D499" i="3" a="1"/>
  <c r="D499" i="3" s="1"/>
  <c r="F498" i="3" a="1"/>
  <c r="F498" i="3" s="1"/>
  <c r="E498" i="3" a="1"/>
  <c r="E498" i="3" s="1"/>
  <c r="D498" i="3" a="1"/>
  <c r="D498" i="3" s="1"/>
  <c r="F497" i="3" a="1"/>
  <c r="F497" i="3" s="1"/>
  <c r="E497" i="3" a="1"/>
  <c r="E497" i="3" s="1"/>
  <c r="D497" i="3" a="1"/>
  <c r="D497" i="3" s="1"/>
  <c r="F496" i="3" a="1"/>
  <c r="F496" i="3" s="1"/>
  <c r="E496" i="3" a="1"/>
  <c r="E496" i="3" s="1"/>
  <c r="D496" i="3" a="1"/>
  <c r="D496" i="3" s="1"/>
  <c r="F495" i="3" a="1"/>
  <c r="F495" i="3" s="1"/>
  <c r="E495" i="3" a="1"/>
  <c r="E495" i="3" s="1"/>
  <c r="D495" i="3" a="1"/>
  <c r="D495" i="3" s="1"/>
  <c r="F494" i="3" a="1"/>
  <c r="F494" i="3" s="1"/>
  <c r="E494" i="3" a="1"/>
  <c r="E494" i="3" s="1"/>
  <c r="D494" i="3" a="1"/>
  <c r="D494" i="3"/>
  <c r="F493" i="3" a="1"/>
  <c r="F493" i="3" s="1"/>
  <c r="E493" i="3" a="1"/>
  <c r="E493" i="3" s="1"/>
  <c r="D493" i="3" a="1"/>
  <c r="D493" i="3" s="1"/>
  <c r="F492" i="3" a="1"/>
  <c r="F492" i="3" s="1"/>
  <c r="E492" i="3" a="1"/>
  <c r="E492" i="3" s="1"/>
  <c r="D492" i="3" a="1"/>
  <c r="D492" i="3" s="1"/>
  <c r="F491" i="3" a="1"/>
  <c r="F491" i="3" s="1"/>
  <c r="E491" i="3" a="1"/>
  <c r="E491" i="3" s="1"/>
  <c r="D491" i="3" a="1"/>
  <c r="D491" i="3" s="1"/>
  <c r="F490" i="3" a="1"/>
  <c r="F490" i="3" s="1"/>
  <c r="E490" i="3" a="1"/>
  <c r="E490" i="3" s="1"/>
  <c r="D490" i="3" a="1"/>
  <c r="D490" i="3"/>
  <c r="F489" i="3" a="1"/>
  <c r="F489" i="3" s="1"/>
  <c r="E489" i="3" a="1"/>
  <c r="E489" i="3" s="1"/>
  <c r="D489" i="3" a="1"/>
  <c r="D489" i="3" s="1"/>
  <c r="F488" i="3" a="1"/>
  <c r="F488" i="3" s="1"/>
  <c r="E488" i="3" a="1"/>
  <c r="E488" i="3" s="1"/>
  <c r="D488" i="3" a="1"/>
  <c r="D488" i="3" s="1"/>
  <c r="F487" i="3" a="1"/>
  <c r="F487" i="3" s="1"/>
  <c r="E487" i="3" a="1"/>
  <c r="E487" i="3" s="1"/>
  <c r="D487" i="3" a="1"/>
  <c r="D487" i="3"/>
  <c r="F486" i="3" a="1"/>
  <c r="F486" i="3" s="1"/>
  <c r="E486" i="3" a="1"/>
  <c r="E486" i="3" s="1"/>
  <c r="D486" i="3" a="1"/>
  <c r="D486" i="3" s="1"/>
  <c r="F485" i="3" a="1"/>
  <c r="F485" i="3" s="1"/>
  <c r="E485" i="3" a="1"/>
  <c r="E485" i="3" s="1"/>
  <c r="D485" i="3" a="1"/>
  <c r="D485" i="3" s="1"/>
  <c r="F484" i="3" a="1"/>
  <c r="F484" i="3" s="1"/>
  <c r="E484" i="3" a="1"/>
  <c r="E484" i="3" s="1"/>
  <c r="D484" i="3" a="1"/>
  <c r="D484" i="3" s="1"/>
  <c r="F483" i="3" a="1"/>
  <c r="F483" i="3" s="1"/>
  <c r="E483" i="3" a="1"/>
  <c r="E483" i="3" s="1"/>
  <c r="D483" i="3" a="1"/>
  <c r="D483" i="3" s="1"/>
  <c r="F482" i="3" a="1"/>
  <c r="F482" i="3" s="1"/>
  <c r="E482" i="3" a="1"/>
  <c r="E482" i="3" s="1"/>
  <c r="D482" i="3" a="1"/>
  <c r="D482" i="3" s="1"/>
  <c r="F481" i="3" a="1"/>
  <c r="F481" i="3" s="1"/>
  <c r="E481" i="3" a="1"/>
  <c r="E481" i="3" s="1"/>
  <c r="D481" i="3" a="1"/>
  <c r="D481" i="3" s="1"/>
  <c r="F480" i="3" a="1"/>
  <c r="F480" i="3" s="1"/>
  <c r="E480" i="3" a="1"/>
  <c r="E480" i="3"/>
  <c r="D480" i="3" a="1"/>
  <c r="D480" i="3" s="1"/>
  <c r="F479" i="3" a="1"/>
  <c r="F479" i="3" s="1"/>
  <c r="E479" i="3" a="1"/>
  <c r="E479" i="3" s="1"/>
  <c r="D479" i="3" a="1"/>
  <c r="D479" i="3" s="1"/>
  <c r="F478" i="3" a="1"/>
  <c r="F478" i="3" s="1"/>
  <c r="E478" i="3" a="1"/>
  <c r="E478" i="3" s="1"/>
  <c r="D478" i="3" a="1"/>
  <c r="D478" i="3" s="1"/>
  <c r="F477" i="3" a="1"/>
  <c r="F477" i="3" s="1"/>
  <c r="E477" i="3" a="1"/>
  <c r="E477" i="3" s="1"/>
  <c r="D477" i="3" a="1"/>
  <c r="D477" i="3" s="1"/>
  <c r="F476" i="3" a="1"/>
  <c r="F476" i="3" s="1"/>
  <c r="E476" i="3" a="1"/>
  <c r="E476" i="3" s="1"/>
  <c r="D476" i="3" a="1"/>
  <c r="D476" i="3" s="1"/>
  <c r="F475" i="3" a="1"/>
  <c r="F475" i="3" s="1"/>
  <c r="E475" i="3" a="1"/>
  <c r="E475" i="3" s="1"/>
  <c r="D475" i="3" a="1"/>
  <c r="D475" i="3" s="1"/>
  <c r="F474" i="3" a="1"/>
  <c r="F474" i="3" s="1"/>
  <c r="E474" i="3" a="1"/>
  <c r="E474" i="3" s="1"/>
  <c r="D474" i="3" a="1"/>
  <c r="D474" i="3" s="1"/>
  <c r="F473" i="3" a="1"/>
  <c r="F473" i="3" s="1"/>
  <c r="E473" i="3" a="1"/>
  <c r="E473" i="3" s="1"/>
  <c r="D473" i="3" a="1"/>
  <c r="D473" i="3" s="1"/>
  <c r="F472" i="3" a="1"/>
  <c r="F472" i="3" s="1"/>
  <c r="E472" i="3" a="1"/>
  <c r="E472" i="3" s="1"/>
  <c r="D472" i="3" a="1"/>
  <c r="D472" i="3" s="1"/>
  <c r="F471" i="3" a="1"/>
  <c r="F471" i="3" s="1"/>
  <c r="E471" i="3" a="1"/>
  <c r="E471" i="3" s="1"/>
  <c r="D471" i="3" a="1"/>
  <c r="D471" i="3" s="1"/>
  <c r="F470" i="3" a="1"/>
  <c r="F470" i="3" s="1"/>
  <c r="E470" i="3" a="1"/>
  <c r="E470" i="3" s="1"/>
  <c r="D470" i="3" a="1"/>
  <c r="D470" i="3" s="1"/>
  <c r="F469" i="3" a="1"/>
  <c r="F469" i="3" s="1"/>
  <c r="E469" i="3" a="1"/>
  <c r="E469" i="3" s="1"/>
  <c r="D469" i="3" a="1"/>
  <c r="D469" i="3" s="1"/>
  <c r="F468" i="3" a="1"/>
  <c r="F468" i="3" s="1"/>
  <c r="E468" i="3" a="1"/>
  <c r="E468" i="3" s="1"/>
  <c r="D468" i="3" a="1"/>
  <c r="D468" i="3"/>
  <c r="F467" i="3" a="1"/>
  <c r="F467" i="3" s="1"/>
  <c r="E467" i="3" a="1"/>
  <c r="E467" i="3" s="1"/>
  <c r="D467" i="3" a="1"/>
  <c r="D467" i="3" s="1"/>
  <c r="F466" i="3" a="1"/>
  <c r="F466" i="3" s="1"/>
  <c r="E466" i="3" a="1"/>
  <c r="E466" i="3" s="1"/>
  <c r="D466" i="3" a="1"/>
  <c r="D466" i="3" s="1"/>
  <c r="F465" i="3" a="1"/>
  <c r="F465" i="3" s="1"/>
  <c r="E465" i="3" a="1"/>
  <c r="E465" i="3" s="1"/>
  <c r="D465" i="3" a="1"/>
  <c r="D465" i="3" s="1"/>
  <c r="F464" i="3" a="1"/>
  <c r="F464" i="3" s="1"/>
  <c r="E464" i="3" a="1"/>
  <c r="E464" i="3" s="1"/>
  <c r="D464" i="3" a="1"/>
  <c r="D464" i="3" s="1"/>
  <c r="F463" i="3" a="1"/>
  <c r="F463" i="3" s="1"/>
  <c r="E463" i="3" a="1"/>
  <c r="E463" i="3" s="1"/>
  <c r="D463" i="3" a="1"/>
  <c r="D463" i="3" s="1"/>
  <c r="F462" i="3" a="1"/>
  <c r="F462" i="3" s="1"/>
  <c r="E462" i="3" a="1"/>
  <c r="E462" i="3" s="1"/>
  <c r="D462" i="3" a="1"/>
  <c r="D462" i="3" s="1"/>
  <c r="F461" i="3" a="1"/>
  <c r="F461" i="3" s="1"/>
  <c r="E461" i="3" a="1"/>
  <c r="E461" i="3" s="1"/>
  <c r="D461" i="3" a="1"/>
  <c r="D461" i="3" s="1"/>
  <c r="F460" i="3" a="1"/>
  <c r="F460" i="3" s="1"/>
  <c r="E460" i="3" a="1"/>
  <c r="E460" i="3"/>
  <c r="D460" i="3" a="1"/>
  <c r="D460" i="3" s="1"/>
  <c r="F459" i="3" a="1"/>
  <c r="F459" i="3" s="1"/>
  <c r="E459" i="3" a="1"/>
  <c r="E459" i="3" s="1"/>
  <c r="D459" i="3" a="1"/>
  <c r="D459" i="3" s="1"/>
  <c r="F458" i="3" a="1"/>
  <c r="F458" i="3" s="1"/>
  <c r="E458" i="3" a="1"/>
  <c r="E458" i="3" s="1"/>
  <c r="D458" i="3" a="1"/>
  <c r="D458" i="3" s="1"/>
  <c r="F457" i="3" a="1"/>
  <c r="F457" i="3" s="1"/>
  <c r="E457" i="3" a="1"/>
  <c r="E457" i="3" s="1"/>
  <c r="D457" i="3" a="1"/>
  <c r="D457" i="3" s="1"/>
  <c r="F456" i="3" a="1"/>
  <c r="F456" i="3" s="1"/>
  <c r="E456" i="3" a="1"/>
  <c r="E456" i="3" s="1"/>
  <c r="D456" i="3" a="1"/>
  <c r="D456" i="3"/>
  <c r="F455" i="3" a="1"/>
  <c r="F455" i="3" s="1"/>
  <c r="E455" i="3" a="1"/>
  <c r="E455" i="3" s="1"/>
  <c r="D455" i="3" a="1"/>
  <c r="D455" i="3" s="1"/>
  <c r="F454" i="3" a="1"/>
  <c r="F454" i="3" s="1"/>
  <c r="E454" i="3" a="1"/>
  <c r="E454" i="3" s="1"/>
  <c r="D454" i="3" a="1"/>
  <c r="D454" i="3" s="1"/>
  <c r="F453" i="3" a="1"/>
  <c r="F453" i="3" s="1"/>
  <c r="E453" i="3" a="1"/>
  <c r="E453" i="3" s="1"/>
  <c r="D453" i="3" a="1"/>
  <c r="D453" i="3" s="1"/>
  <c r="F452" i="3" a="1"/>
  <c r="F452" i="3"/>
  <c r="E452" i="3" a="1"/>
  <c r="E452" i="3" s="1"/>
  <c r="D452" i="3" a="1"/>
  <c r="D452" i="3" s="1"/>
  <c r="F451" i="3" a="1"/>
  <c r="F451" i="3" s="1"/>
  <c r="E451" i="3" a="1"/>
  <c r="E451" i="3" s="1"/>
  <c r="D451" i="3" a="1"/>
  <c r="D451" i="3" s="1"/>
  <c r="F450" i="3" a="1"/>
  <c r="F450" i="3" s="1"/>
  <c r="E450" i="3" a="1"/>
  <c r="E450" i="3" s="1"/>
  <c r="D450" i="3" a="1"/>
  <c r="D450" i="3" s="1"/>
  <c r="F449" i="3" a="1"/>
  <c r="F449" i="3" s="1"/>
  <c r="E449" i="3" a="1"/>
  <c r="E449" i="3" s="1"/>
  <c r="D449" i="3" a="1"/>
  <c r="D449" i="3" s="1"/>
  <c r="F448" i="3" a="1"/>
  <c r="F448" i="3" s="1"/>
  <c r="E448" i="3" a="1"/>
  <c r="E448" i="3" s="1"/>
  <c r="D448" i="3" a="1"/>
  <c r="D448" i="3" s="1"/>
  <c r="F447" i="3" a="1"/>
  <c r="F447" i="3" s="1"/>
  <c r="E447" i="3" a="1"/>
  <c r="E447" i="3" s="1"/>
  <c r="D447" i="3" a="1"/>
  <c r="D447" i="3" s="1"/>
  <c r="F446" i="3" a="1"/>
  <c r="F446" i="3" s="1"/>
  <c r="E446" i="3" a="1"/>
  <c r="E446" i="3" s="1"/>
  <c r="D446" i="3" a="1"/>
  <c r="D446" i="3" s="1"/>
  <c r="F445" i="3" a="1"/>
  <c r="F445" i="3" s="1"/>
  <c r="E445" i="3" a="1"/>
  <c r="E445" i="3" s="1"/>
  <c r="D445" i="3" a="1"/>
  <c r="D445" i="3" s="1"/>
  <c r="F444" i="3" a="1"/>
  <c r="F444" i="3" s="1"/>
  <c r="E444" i="3" a="1"/>
  <c r="E444" i="3" s="1"/>
  <c r="D444" i="3" a="1"/>
  <c r="D444" i="3" s="1"/>
  <c r="F443" i="3" a="1"/>
  <c r="F443" i="3" s="1"/>
  <c r="E443" i="3" a="1"/>
  <c r="E443" i="3" s="1"/>
  <c r="D443" i="3" a="1"/>
  <c r="D443" i="3" s="1"/>
  <c r="F442" i="3" a="1"/>
  <c r="F442" i="3" s="1"/>
  <c r="E442" i="3" a="1"/>
  <c r="E442" i="3" s="1"/>
  <c r="D442" i="3" a="1"/>
  <c r="D442" i="3" s="1"/>
  <c r="F441" i="3" a="1"/>
  <c r="F441" i="3" s="1"/>
  <c r="E441" i="3" a="1"/>
  <c r="E441" i="3" s="1"/>
  <c r="D441" i="3" a="1"/>
  <c r="D441" i="3" s="1"/>
  <c r="F440" i="3" a="1"/>
  <c r="F440" i="3" s="1"/>
  <c r="E440" i="3" a="1"/>
  <c r="E440" i="3" s="1"/>
  <c r="D440" i="3" a="1"/>
  <c r="D440" i="3" s="1"/>
  <c r="F439" i="3" a="1"/>
  <c r="F439" i="3" s="1"/>
  <c r="E439" i="3" a="1"/>
  <c r="E439" i="3" s="1"/>
  <c r="D439" i="3" a="1"/>
  <c r="D439" i="3" s="1"/>
  <c r="F438" i="3" a="1"/>
  <c r="F438" i="3" s="1"/>
  <c r="E438" i="3" a="1"/>
  <c r="E438" i="3" s="1"/>
  <c r="D438" i="3" a="1"/>
  <c r="D438" i="3" s="1"/>
  <c r="F437" i="3" a="1"/>
  <c r="F437" i="3" s="1"/>
  <c r="E437" i="3" a="1"/>
  <c r="E437" i="3" s="1"/>
  <c r="D437" i="3" a="1"/>
  <c r="D437" i="3" s="1"/>
  <c r="F436" i="3" a="1"/>
  <c r="F436" i="3" s="1"/>
  <c r="E436" i="3" a="1"/>
  <c r="E436" i="3" s="1"/>
  <c r="D436" i="3" a="1"/>
  <c r="D436" i="3" s="1"/>
  <c r="F435" i="3" a="1"/>
  <c r="F435" i="3" s="1"/>
  <c r="E435" i="3" a="1"/>
  <c r="E435" i="3" s="1"/>
  <c r="D435" i="3" a="1"/>
  <c r="D435" i="3" s="1"/>
  <c r="F434" i="3" a="1"/>
  <c r="F434" i="3" s="1"/>
  <c r="E434" i="3" a="1"/>
  <c r="E434" i="3" s="1"/>
  <c r="D434" i="3" a="1"/>
  <c r="D434" i="3" s="1"/>
  <c r="F433" i="3" a="1"/>
  <c r="F433" i="3" s="1"/>
  <c r="E433" i="3" a="1"/>
  <c r="E433" i="3" s="1"/>
  <c r="D433" i="3" a="1"/>
  <c r="D433" i="3" s="1"/>
  <c r="F432" i="3" a="1"/>
  <c r="F432" i="3" s="1"/>
  <c r="E432" i="3" a="1"/>
  <c r="E432" i="3" s="1"/>
  <c r="D432" i="3" a="1"/>
  <c r="D432" i="3" s="1"/>
  <c r="F431" i="3" a="1"/>
  <c r="F431" i="3" s="1"/>
  <c r="E431" i="3" a="1"/>
  <c r="E431" i="3" s="1"/>
  <c r="D431" i="3" a="1"/>
  <c r="D431" i="3" s="1"/>
  <c r="F430" i="3" a="1"/>
  <c r="F430" i="3"/>
  <c r="E430" i="3" a="1"/>
  <c r="E430" i="3" s="1"/>
  <c r="D430" i="3" a="1"/>
  <c r="D430" i="3" s="1"/>
  <c r="F429" i="3" a="1"/>
  <c r="F429" i="3" s="1"/>
  <c r="E429" i="3" a="1"/>
  <c r="E429" i="3" s="1"/>
  <c r="D429" i="3" a="1"/>
  <c r="D429" i="3" s="1"/>
  <c r="F428" i="3" a="1"/>
  <c r="F428" i="3" s="1"/>
  <c r="E428" i="3" a="1"/>
  <c r="E428" i="3" s="1"/>
  <c r="D428" i="3" a="1"/>
  <c r="D428" i="3" s="1"/>
  <c r="F427" i="3" a="1"/>
  <c r="F427" i="3" s="1"/>
  <c r="E427" i="3" a="1"/>
  <c r="E427" i="3" s="1"/>
  <c r="D427" i="3" a="1"/>
  <c r="D427" i="3" s="1"/>
  <c r="F426" i="3" a="1"/>
  <c r="F426" i="3" s="1"/>
  <c r="E426" i="3" a="1"/>
  <c r="E426" i="3" s="1"/>
  <c r="D426" i="3" a="1"/>
  <c r="D426" i="3" s="1"/>
  <c r="F425" i="3" a="1"/>
  <c r="F425" i="3" s="1"/>
  <c r="E425" i="3" a="1"/>
  <c r="E425" i="3" s="1"/>
  <c r="D425" i="3" a="1"/>
  <c r="D425" i="3" s="1"/>
  <c r="F424" i="3" a="1"/>
  <c r="F424" i="3" s="1"/>
  <c r="E424" i="3" a="1"/>
  <c r="E424" i="3" s="1"/>
  <c r="D424" i="3" a="1"/>
  <c r="D424" i="3" s="1"/>
  <c r="F423" i="3" a="1"/>
  <c r="F423" i="3" s="1"/>
  <c r="E423" i="3" a="1"/>
  <c r="E423" i="3" s="1"/>
  <c r="D423" i="3" a="1"/>
  <c r="D423" i="3" s="1"/>
  <c r="F422" i="3" a="1"/>
  <c r="F422" i="3" s="1"/>
  <c r="E422" i="3" a="1"/>
  <c r="E422" i="3" s="1"/>
  <c r="D422" i="3" a="1"/>
  <c r="D422" i="3" s="1"/>
  <c r="F421" i="3" a="1"/>
  <c r="F421" i="3" s="1"/>
  <c r="E421" i="3" a="1"/>
  <c r="E421" i="3" s="1"/>
  <c r="D421" i="3" a="1"/>
  <c r="D421" i="3" s="1"/>
  <c r="F420" i="3" a="1"/>
  <c r="F420" i="3" s="1"/>
  <c r="E420" i="3" a="1"/>
  <c r="E420" i="3" s="1"/>
  <c r="D420" i="3" a="1"/>
  <c r="D420" i="3" s="1"/>
  <c r="F419" i="3" a="1"/>
  <c r="F419" i="3" s="1"/>
  <c r="E419" i="3" a="1"/>
  <c r="E419" i="3" s="1"/>
  <c r="D419" i="3" a="1"/>
  <c r="D419" i="3" s="1"/>
  <c r="F418" i="3" a="1"/>
  <c r="F418" i="3" s="1"/>
  <c r="E418" i="3" a="1"/>
  <c r="E418" i="3" s="1"/>
  <c r="D418" i="3" a="1"/>
  <c r="D418" i="3" s="1"/>
  <c r="F417" i="3" a="1"/>
  <c r="F417" i="3" s="1"/>
  <c r="E417" i="3" a="1"/>
  <c r="E417" i="3" s="1"/>
  <c r="D417" i="3" a="1"/>
  <c r="D417" i="3" s="1"/>
  <c r="F416" i="3" a="1"/>
  <c r="F416" i="3" s="1"/>
  <c r="E416" i="3" a="1"/>
  <c r="E416" i="3" s="1"/>
  <c r="D416" i="3" a="1"/>
  <c r="D416" i="3" s="1"/>
  <c r="F415" i="3" a="1"/>
  <c r="F415" i="3" s="1"/>
  <c r="E415" i="3" a="1"/>
  <c r="E415" i="3" s="1"/>
  <c r="D415" i="3" a="1"/>
  <c r="D415" i="3" s="1"/>
  <c r="F414" i="3" a="1"/>
  <c r="F414" i="3" s="1"/>
  <c r="E414" i="3" a="1"/>
  <c r="E414" i="3" s="1"/>
  <c r="D414" i="3" a="1"/>
  <c r="D414" i="3" s="1"/>
  <c r="F413" i="3" a="1"/>
  <c r="F413" i="3" s="1"/>
  <c r="E413" i="3" a="1"/>
  <c r="E413" i="3" s="1"/>
  <c r="D413" i="3" a="1"/>
  <c r="D413" i="3" s="1"/>
  <c r="F412" i="3" a="1"/>
  <c r="F412" i="3" s="1"/>
  <c r="E412" i="3" a="1"/>
  <c r="E412" i="3" s="1"/>
  <c r="D412" i="3" a="1"/>
  <c r="D412" i="3" s="1"/>
  <c r="F411" i="3" a="1"/>
  <c r="F411" i="3" s="1"/>
  <c r="E411" i="3" a="1"/>
  <c r="E411" i="3" s="1"/>
  <c r="D411" i="3" a="1"/>
  <c r="D411" i="3" s="1"/>
  <c r="F410" i="3" a="1"/>
  <c r="F410" i="3" s="1"/>
  <c r="E410" i="3" a="1"/>
  <c r="E410" i="3" s="1"/>
  <c r="D410" i="3" a="1"/>
  <c r="D410" i="3" s="1"/>
  <c r="F409" i="3" a="1"/>
  <c r="F409" i="3" s="1"/>
  <c r="E409" i="3" a="1"/>
  <c r="E409" i="3" s="1"/>
  <c r="D409" i="3" a="1"/>
  <c r="D409" i="3" s="1"/>
  <c r="F408" i="3" a="1"/>
  <c r="F408" i="3" s="1"/>
  <c r="E408" i="3" a="1"/>
  <c r="E408" i="3" s="1"/>
  <c r="D408" i="3" a="1"/>
  <c r="D408" i="3" s="1"/>
  <c r="F407" i="3" a="1"/>
  <c r="F407" i="3" s="1"/>
  <c r="E407" i="3" a="1"/>
  <c r="E407" i="3" s="1"/>
  <c r="D407" i="3" a="1"/>
  <c r="D407" i="3" s="1"/>
  <c r="F406" i="3" a="1"/>
  <c r="F406" i="3" s="1"/>
  <c r="E406" i="3" a="1"/>
  <c r="E406" i="3" s="1"/>
  <c r="D406" i="3" a="1"/>
  <c r="D406" i="3" s="1"/>
  <c r="F405" i="3" a="1"/>
  <c r="F405" i="3" s="1"/>
  <c r="E405" i="3" a="1"/>
  <c r="E405" i="3" s="1"/>
  <c r="D405" i="3" a="1"/>
  <c r="D405" i="3" s="1"/>
  <c r="F404" i="3" a="1"/>
  <c r="F404" i="3"/>
  <c r="E404" i="3" a="1"/>
  <c r="E404" i="3" s="1"/>
  <c r="D404" i="3" a="1"/>
  <c r="D404" i="3" s="1"/>
  <c r="F403" i="3" a="1"/>
  <c r="F403" i="3" s="1"/>
  <c r="E403" i="3" a="1"/>
  <c r="E403" i="3" s="1"/>
  <c r="D403" i="3" a="1"/>
  <c r="D403" i="3" s="1"/>
  <c r="F402" i="3" a="1"/>
  <c r="F402" i="3" s="1"/>
  <c r="E402" i="3" a="1"/>
  <c r="E402" i="3" s="1"/>
  <c r="D402" i="3" a="1"/>
  <c r="D402" i="3" s="1"/>
  <c r="F401" i="3" a="1"/>
  <c r="F401" i="3" s="1"/>
  <c r="E401" i="3" a="1"/>
  <c r="E401" i="3" s="1"/>
  <c r="D401" i="3" a="1"/>
  <c r="D401" i="3" s="1"/>
  <c r="F400" i="3" a="1"/>
  <c r="F400" i="3" s="1"/>
  <c r="E400" i="3" a="1"/>
  <c r="E400" i="3" s="1"/>
  <c r="D400" i="3" a="1"/>
  <c r="D400" i="3" s="1"/>
  <c r="F399" i="3" a="1"/>
  <c r="F399" i="3" s="1"/>
  <c r="E399" i="3" a="1"/>
  <c r="E399" i="3" s="1"/>
  <c r="D399" i="3" a="1"/>
  <c r="D399" i="3" s="1"/>
  <c r="F398" i="3" a="1"/>
  <c r="F398" i="3" s="1"/>
  <c r="E398" i="3" a="1"/>
  <c r="E398" i="3" s="1"/>
  <c r="D398" i="3" a="1"/>
  <c r="D398" i="3" s="1"/>
  <c r="F397" i="3" a="1"/>
  <c r="F397" i="3" s="1"/>
  <c r="E397" i="3" a="1"/>
  <c r="E397" i="3" s="1"/>
  <c r="D397" i="3" a="1"/>
  <c r="D397" i="3" s="1"/>
  <c r="F396" i="3" a="1"/>
  <c r="F396" i="3"/>
  <c r="E396" i="3" a="1"/>
  <c r="E396" i="3" s="1"/>
  <c r="D396" i="3" a="1"/>
  <c r="D396" i="3" s="1"/>
  <c r="F395" i="3" a="1"/>
  <c r="F395" i="3" s="1"/>
  <c r="E395" i="3" a="1"/>
  <c r="E395" i="3" s="1"/>
  <c r="D395" i="3" a="1"/>
  <c r="D395" i="3" s="1"/>
  <c r="F394" i="3" a="1"/>
  <c r="F394" i="3" s="1"/>
  <c r="E394" i="3" a="1"/>
  <c r="E394" i="3" s="1"/>
  <c r="D394" i="3" a="1"/>
  <c r="D394" i="3" s="1"/>
  <c r="F393" i="3" a="1"/>
  <c r="F393" i="3" s="1"/>
  <c r="E393" i="3" a="1"/>
  <c r="E393" i="3" s="1"/>
  <c r="D393" i="3" a="1"/>
  <c r="D393" i="3" s="1"/>
  <c r="F392" i="3" a="1"/>
  <c r="F392" i="3" s="1"/>
  <c r="E392" i="3" a="1"/>
  <c r="E392" i="3" s="1"/>
  <c r="D392" i="3" a="1"/>
  <c r="D392" i="3" s="1"/>
  <c r="F391" i="3" a="1"/>
  <c r="F391" i="3" s="1"/>
  <c r="E391" i="3" a="1"/>
  <c r="E391" i="3" s="1"/>
  <c r="D391" i="3" a="1"/>
  <c r="D391" i="3" s="1"/>
  <c r="F390" i="3" a="1"/>
  <c r="F390" i="3" s="1"/>
  <c r="E390" i="3" a="1"/>
  <c r="E390" i="3" s="1"/>
  <c r="D390" i="3" a="1"/>
  <c r="D390" i="3" s="1"/>
  <c r="F389" i="3" a="1"/>
  <c r="F389" i="3"/>
  <c r="E389" i="3" a="1"/>
  <c r="E389" i="3" s="1"/>
  <c r="D389" i="3" a="1"/>
  <c r="D389" i="3" s="1"/>
  <c r="F388" i="3" a="1"/>
  <c r="F388" i="3"/>
  <c r="E388" i="3" a="1"/>
  <c r="E388" i="3" s="1"/>
  <c r="D388" i="3" a="1"/>
  <c r="D388" i="3" s="1"/>
  <c r="F387" i="3" a="1"/>
  <c r="F387" i="3" s="1"/>
  <c r="E387" i="3" a="1"/>
  <c r="E387" i="3" s="1"/>
  <c r="D387" i="3" a="1"/>
  <c r="D387" i="3" s="1"/>
  <c r="F386" i="3" a="1"/>
  <c r="F386" i="3"/>
  <c r="E386" i="3" a="1"/>
  <c r="E386" i="3" s="1"/>
  <c r="D386" i="3" a="1"/>
  <c r="D386" i="3" s="1"/>
  <c r="F385" i="3" a="1"/>
  <c r="F385" i="3"/>
  <c r="E385" i="3" a="1"/>
  <c r="E385" i="3" s="1"/>
  <c r="D385" i="3" a="1"/>
  <c r="D385" i="3" s="1"/>
  <c r="F384" i="3" a="1"/>
  <c r="F384" i="3" s="1"/>
  <c r="E384" i="3" a="1"/>
  <c r="E384" i="3" s="1"/>
  <c r="D384" i="3" a="1"/>
  <c r="D384" i="3" s="1"/>
  <c r="F383" i="3" a="1"/>
  <c r="F383" i="3" s="1"/>
  <c r="E383" i="3" a="1"/>
  <c r="E383" i="3" s="1"/>
  <c r="D383" i="3" a="1"/>
  <c r="D383" i="3" s="1"/>
  <c r="F382" i="3" a="1"/>
  <c r="F382" i="3" s="1"/>
  <c r="E382" i="3" a="1"/>
  <c r="E382" i="3" s="1"/>
  <c r="D382" i="3" a="1"/>
  <c r="D382" i="3" s="1"/>
  <c r="F381" i="3" a="1"/>
  <c r="F381" i="3" s="1"/>
  <c r="E381" i="3" a="1"/>
  <c r="E381" i="3" s="1"/>
  <c r="D381" i="3" a="1"/>
  <c r="D381" i="3" s="1"/>
  <c r="F380" i="3" a="1"/>
  <c r="F380" i="3" s="1"/>
  <c r="E380" i="3" a="1"/>
  <c r="E380" i="3" s="1"/>
  <c r="D380" i="3" a="1"/>
  <c r="D380" i="3" s="1"/>
  <c r="F379" i="3" a="1"/>
  <c r="F379" i="3" s="1"/>
  <c r="E379" i="3" a="1"/>
  <c r="E379" i="3" s="1"/>
  <c r="D379" i="3" a="1"/>
  <c r="D379" i="3" s="1"/>
  <c r="F378" i="3" a="1"/>
  <c r="F378" i="3" s="1"/>
  <c r="E378" i="3" a="1"/>
  <c r="E378" i="3" s="1"/>
  <c r="D378" i="3" a="1"/>
  <c r="D378" i="3" s="1"/>
  <c r="F377" i="3" a="1"/>
  <c r="F377" i="3" s="1"/>
  <c r="E377" i="3" a="1"/>
  <c r="E377" i="3" s="1"/>
  <c r="D377" i="3" a="1"/>
  <c r="D377" i="3" s="1"/>
  <c r="F376" i="3" a="1"/>
  <c r="F376" i="3" s="1"/>
  <c r="E376" i="3" a="1"/>
  <c r="E376" i="3" s="1"/>
  <c r="D376" i="3" a="1"/>
  <c r="D376" i="3"/>
  <c r="F375" i="3" a="1"/>
  <c r="F375" i="3" s="1"/>
  <c r="E375" i="3" a="1"/>
  <c r="E375" i="3" s="1"/>
  <c r="D375" i="3" a="1"/>
  <c r="D375" i="3" s="1"/>
  <c r="F374" i="3" a="1"/>
  <c r="F374" i="3" s="1"/>
  <c r="E374" i="3" a="1"/>
  <c r="E374" i="3" s="1"/>
  <c r="D374" i="3" a="1"/>
  <c r="D374" i="3" s="1"/>
  <c r="F373" i="3" a="1"/>
  <c r="F373" i="3" s="1"/>
  <c r="E373" i="3" a="1"/>
  <c r="E373" i="3"/>
  <c r="D373" i="3" a="1"/>
  <c r="D373" i="3" s="1"/>
  <c r="F372" i="3" a="1"/>
  <c r="F372" i="3" s="1"/>
  <c r="E372" i="3" a="1"/>
  <c r="E372" i="3" s="1"/>
  <c r="D372" i="3" a="1"/>
  <c r="D372" i="3" s="1"/>
  <c r="F371" i="3" a="1"/>
  <c r="F371" i="3" s="1"/>
  <c r="E371" i="3" a="1"/>
  <c r="E371" i="3" s="1"/>
  <c r="D371" i="3" a="1"/>
  <c r="D371" i="3" s="1"/>
  <c r="F370" i="3" a="1"/>
  <c r="F370" i="3" s="1"/>
  <c r="E370" i="3" a="1"/>
  <c r="E370" i="3" s="1"/>
  <c r="D370" i="3" a="1"/>
  <c r="D370" i="3" s="1"/>
  <c r="F369" i="3" a="1"/>
  <c r="F369" i="3" s="1"/>
  <c r="E369" i="3" a="1"/>
  <c r="E369" i="3" s="1"/>
  <c r="D369" i="3" a="1"/>
  <c r="D369" i="3" s="1"/>
  <c r="F368" i="3" a="1"/>
  <c r="F368" i="3"/>
  <c r="E368" i="3" a="1"/>
  <c r="E368" i="3" s="1"/>
  <c r="D368" i="3" a="1"/>
  <c r="D368" i="3" s="1"/>
  <c r="F367" i="3" a="1"/>
  <c r="F367" i="3" s="1"/>
  <c r="E367" i="3" a="1"/>
  <c r="E367" i="3" s="1"/>
  <c r="D367" i="3" a="1"/>
  <c r="D367" i="3" s="1"/>
  <c r="F366" i="3" a="1"/>
  <c r="F366" i="3" s="1"/>
  <c r="E366" i="3" a="1"/>
  <c r="E366" i="3" s="1"/>
  <c r="D366" i="3" a="1"/>
  <c r="D366" i="3" s="1"/>
  <c r="F365" i="3" a="1"/>
  <c r="F365" i="3" s="1"/>
  <c r="E365" i="3" a="1"/>
  <c r="E365" i="3" s="1"/>
  <c r="D365" i="3" a="1"/>
  <c r="D365" i="3" s="1"/>
  <c r="F364" i="3" a="1"/>
  <c r="F364" i="3" s="1"/>
  <c r="E364" i="3" a="1"/>
  <c r="E364" i="3" s="1"/>
  <c r="D364" i="3" a="1"/>
  <c r="D364" i="3" s="1"/>
  <c r="F363" i="3" a="1"/>
  <c r="F363" i="3" s="1"/>
  <c r="E363" i="3" a="1"/>
  <c r="E363" i="3" s="1"/>
  <c r="D363" i="3" a="1"/>
  <c r="D363" i="3" s="1"/>
  <c r="F362" i="3" a="1"/>
  <c r="F362" i="3"/>
  <c r="E362" i="3" a="1"/>
  <c r="E362" i="3" s="1"/>
  <c r="D362" i="3" a="1"/>
  <c r="D362" i="3" s="1"/>
  <c r="F361" i="3" a="1"/>
  <c r="F361" i="3" s="1"/>
  <c r="E361" i="3" a="1"/>
  <c r="E361" i="3" s="1"/>
  <c r="D361" i="3" a="1"/>
  <c r="D361" i="3" s="1"/>
  <c r="F360" i="3" a="1"/>
  <c r="F360" i="3"/>
  <c r="E360" i="3" a="1"/>
  <c r="E360" i="3" s="1"/>
  <c r="D360" i="3" a="1"/>
  <c r="D360" i="3" s="1"/>
  <c r="F359" i="3" a="1"/>
  <c r="F359" i="3" s="1"/>
  <c r="E359" i="3" a="1"/>
  <c r="E359" i="3" s="1"/>
  <c r="D359" i="3" a="1"/>
  <c r="D359" i="3" s="1"/>
  <c r="F358" i="3" a="1"/>
  <c r="F358" i="3" s="1"/>
  <c r="E358" i="3" a="1"/>
  <c r="E358" i="3" s="1"/>
  <c r="D358" i="3" a="1"/>
  <c r="D358" i="3"/>
  <c r="F357" i="3" a="1"/>
  <c r="F357" i="3" s="1"/>
  <c r="E357" i="3" a="1"/>
  <c r="E357" i="3" s="1"/>
  <c r="D357" i="3" a="1"/>
  <c r="D357" i="3" s="1"/>
  <c r="F356" i="3" a="1"/>
  <c r="F356" i="3" s="1"/>
  <c r="E356" i="3" a="1"/>
  <c r="E356" i="3" s="1"/>
  <c r="D356" i="3" a="1"/>
  <c r="D356" i="3" s="1"/>
  <c r="F355" i="3" a="1"/>
  <c r="F355" i="3" s="1"/>
  <c r="E355" i="3" a="1"/>
  <c r="E355" i="3" s="1"/>
  <c r="D355" i="3" a="1"/>
  <c r="D355" i="3" s="1"/>
  <c r="F354" i="3" a="1"/>
  <c r="F354" i="3" s="1"/>
  <c r="E354" i="3" a="1"/>
  <c r="E354" i="3" s="1"/>
  <c r="D354" i="3" a="1"/>
  <c r="D354" i="3"/>
  <c r="F353" i="3" a="1"/>
  <c r="F353" i="3" s="1"/>
  <c r="E353" i="3" a="1"/>
  <c r="E353" i="3" s="1"/>
  <c r="D353" i="3" a="1"/>
  <c r="D353" i="3" s="1"/>
  <c r="F352" i="3" a="1"/>
  <c r="F352" i="3" s="1"/>
  <c r="E352" i="3" a="1"/>
  <c r="E352" i="3" s="1"/>
  <c r="D352" i="3" a="1"/>
  <c r="D352" i="3"/>
  <c r="F351" i="3" a="1"/>
  <c r="F351" i="3" s="1"/>
  <c r="E351" i="3" a="1"/>
  <c r="E351" i="3" s="1"/>
  <c r="D351" i="3" a="1"/>
  <c r="D351" i="3" s="1"/>
  <c r="F350" i="3" a="1"/>
  <c r="F350" i="3" s="1"/>
  <c r="E350" i="3" a="1"/>
  <c r="E350" i="3" s="1"/>
  <c r="D350" i="3" a="1"/>
  <c r="D350" i="3" s="1"/>
  <c r="F349" i="3" a="1"/>
  <c r="F349" i="3" s="1"/>
  <c r="E349" i="3" a="1"/>
  <c r="E349" i="3" s="1"/>
  <c r="D349" i="3" a="1"/>
  <c r="D349" i="3" s="1"/>
  <c r="F348" i="3" a="1"/>
  <c r="F348" i="3" s="1"/>
  <c r="E348" i="3" a="1"/>
  <c r="E348" i="3" s="1"/>
  <c r="D348" i="3" a="1"/>
  <c r="D348" i="3" s="1"/>
  <c r="F347" i="3" a="1"/>
  <c r="F347" i="3" s="1"/>
  <c r="E347" i="3" a="1"/>
  <c r="E347" i="3" s="1"/>
  <c r="D347" i="3" a="1"/>
  <c r="D347" i="3"/>
  <c r="F346" i="3" a="1"/>
  <c r="F346" i="3" s="1"/>
  <c r="E346" i="3" a="1"/>
  <c r="E346" i="3" s="1"/>
  <c r="D346" i="3" a="1"/>
  <c r="D346" i="3" s="1"/>
  <c r="F345" i="3" a="1"/>
  <c r="F345" i="3" s="1"/>
  <c r="E345" i="3" a="1"/>
  <c r="E345" i="3" s="1"/>
  <c r="D345" i="3" a="1"/>
  <c r="D345" i="3" s="1"/>
  <c r="F344" i="3" a="1"/>
  <c r="F344" i="3" s="1"/>
  <c r="E344" i="3" a="1"/>
  <c r="E344" i="3" s="1"/>
  <c r="D344" i="3" a="1"/>
  <c r="D344" i="3" s="1"/>
  <c r="F343" i="3" a="1"/>
  <c r="F343" i="3" s="1"/>
  <c r="E343" i="3" a="1"/>
  <c r="E343" i="3" s="1"/>
  <c r="D343" i="3" a="1"/>
  <c r="D343" i="3" s="1"/>
  <c r="F342" i="3" a="1"/>
  <c r="F342" i="3" s="1"/>
  <c r="E342" i="3" a="1"/>
  <c r="E342" i="3" s="1"/>
  <c r="D342" i="3" a="1"/>
  <c r="D342" i="3" s="1"/>
  <c r="F341" i="3" a="1"/>
  <c r="F341" i="3" s="1"/>
  <c r="E341" i="3" a="1"/>
  <c r="E341" i="3" s="1"/>
  <c r="D341" i="3" a="1"/>
  <c r="D341" i="3" s="1"/>
  <c r="F340" i="3" a="1"/>
  <c r="F340" i="3" s="1"/>
  <c r="E340" i="3" a="1"/>
  <c r="E340" i="3" s="1"/>
  <c r="D340" i="3" a="1"/>
  <c r="D340" i="3" s="1"/>
  <c r="F339" i="3" a="1"/>
  <c r="F339" i="3" s="1"/>
  <c r="E339" i="3" a="1"/>
  <c r="E339" i="3" s="1"/>
  <c r="D339" i="3" a="1"/>
  <c r="D339" i="3" s="1"/>
  <c r="F338" i="3" a="1"/>
  <c r="F338" i="3" s="1"/>
  <c r="E338" i="3" a="1"/>
  <c r="E338" i="3" s="1"/>
  <c r="D338" i="3" a="1"/>
  <c r="D338" i="3" s="1"/>
  <c r="F337" i="3" a="1"/>
  <c r="F337" i="3" s="1"/>
  <c r="E337" i="3" a="1"/>
  <c r="E337" i="3"/>
  <c r="D337" i="3" a="1"/>
  <c r="D337" i="3" s="1"/>
  <c r="F336" i="3" a="1"/>
  <c r="F336" i="3" s="1"/>
  <c r="E336" i="3" a="1"/>
  <c r="E336" i="3" s="1"/>
  <c r="D336" i="3" a="1"/>
  <c r="D336" i="3" s="1"/>
  <c r="F335" i="3" a="1"/>
  <c r="F335" i="3" s="1"/>
  <c r="E335" i="3" a="1"/>
  <c r="E335" i="3" s="1"/>
  <c r="D335" i="3" a="1"/>
  <c r="D335" i="3" s="1"/>
  <c r="F334" i="3" a="1"/>
  <c r="F334" i="3" s="1"/>
  <c r="E334" i="3" a="1"/>
  <c r="E334" i="3" s="1"/>
  <c r="D334" i="3" a="1"/>
  <c r="D334" i="3" s="1"/>
  <c r="F333" i="3" a="1"/>
  <c r="F333" i="3"/>
  <c r="E333" i="3" a="1"/>
  <c r="E333" i="3" s="1"/>
  <c r="D333" i="3" a="1"/>
  <c r="D333" i="3" s="1"/>
  <c r="F332" i="3" a="1"/>
  <c r="F332" i="3" s="1"/>
  <c r="E332" i="3" a="1"/>
  <c r="E332" i="3" s="1"/>
  <c r="D332" i="3" a="1"/>
  <c r="D332" i="3"/>
  <c r="F331" i="3" a="1"/>
  <c r="F331" i="3" s="1"/>
  <c r="E331" i="3" a="1"/>
  <c r="E331" i="3" s="1"/>
  <c r="D331" i="3" a="1"/>
  <c r="D331" i="3" s="1"/>
  <c r="F330" i="3" a="1"/>
  <c r="F330" i="3" s="1"/>
  <c r="E330" i="3" a="1"/>
  <c r="E330" i="3" s="1"/>
  <c r="D330" i="3" a="1"/>
  <c r="D330" i="3" s="1"/>
  <c r="F329" i="3" a="1"/>
  <c r="F329" i="3"/>
  <c r="E329" i="3" a="1"/>
  <c r="E329" i="3" s="1"/>
  <c r="D329" i="3" a="1"/>
  <c r="D329" i="3" s="1"/>
  <c r="F328" i="3" a="1"/>
  <c r="F328" i="3" s="1"/>
  <c r="E328" i="3" a="1"/>
  <c r="E328" i="3" s="1"/>
  <c r="D328" i="3" a="1"/>
  <c r="D328" i="3" s="1"/>
  <c r="F327" i="3" a="1"/>
  <c r="F327" i="3" s="1"/>
  <c r="E327" i="3" a="1"/>
  <c r="E327" i="3" s="1"/>
  <c r="D327" i="3" a="1"/>
  <c r="D327" i="3" s="1"/>
  <c r="F326" i="3" a="1"/>
  <c r="F326" i="3"/>
  <c r="E326" i="3" a="1"/>
  <c r="E326" i="3" s="1"/>
  <c r="D326" i="3" a="1"/>
  <c r="D326" i="3"/>
  <c r="F325" i="3" a="1"/>
  <c r="F325" i="3" s="1"/>
  <c r="E325" i="3" a="1"/>
  <c r="E325" i="3" s="1"/>
  <c r="D325" i="3" a="1"/>
  <c r="D325" i="3" s="1"/>
  <c r="F324" i="3" a="1"/>
  <c r="F324" i="3" s="1"/>
  <c r="E324" i="3" a="1"/>
  <c r="E324" i="3" s="1"/>
  <c r="D324" i="3" a="1"/>
  <c r="D324" i="3" s="1"/>
  <c r="F323" i="3" a="1"/>
  <c r="F323" i="3" s="1"/>
  <c r="E323" i="3" a="1"/>
  <c r="E323" i="3" s="1"/>
  <c r="D323" i="3" a="1"/>
  <c r="D323" i="3"/>
  <c r="F322" i="3" a="1"/>
  <c r="F322" i="3" s="1"/>
  <c r="E322" i="3" a="1"/>
  <c r="E322" i="3" s="1"/>
  <c r="D322" i="3" a="1"/>
  <c r="D322" i="3" s="1"/>
  <c r="F321" i="3" a="1"/>
  <c r="F321" i="3" s="1"/>
  <c r="E321" i="3" a="1"/>
  <c r="E321" i="3" s="1"/>
  <c r="D321" i="3" a="1"/>
  <c r="D321" i="3" s="1"/>
  <c r="F320" i="3" a="1"/>
  <c r="F320" i="3" s="1"/>
  <c r="E320" i="3" a="1"/>
  <c r="E320" i="3" s="1"/>
  <c r="D320" i="3" a="1"/>
  <c r="D320" i="3" s="1"/>
  <c r="F319" i="3" a="1"/>
  <c r="F319" i="3" s="1"/>
  <c r="E319" i="3" a="1"/>
  <c r="E319" i="3" s="1"/>
  <c r="D319" i="3" a="1"/>
  <c r="D319" i="3" s="1"/>
  <c r="F318" i="3" a="1"/>
  <c r="F318" i="3" s="1"/>
  <c r="E318" i="3" a="1"/>
  <c r="E318" i="3" s="1"/>
  <c r="D318" i="3" a="1"/>
  <c r="D318" i="3" s="1"/>
  <c r="F317" i="3" a="1"/>
  <c r="F317" i="3" s="1"/>
  <c r="E317" i="3" a="1"/>
  <c r="E317" i="3" s="1"/>
  <c r="D317" i="3" a="1"/>
  <c r="D317" i="3" s="1"/>
  <c r="F316" i="3" a="1"/>
  <c r="F316" i="3" s="1"/>
  <c r="E316" i="3" a="1"/>
  <c r="E316" i="3" s="1"/>
  <c r="D316" i="3" a="1"/>
  <c r="D316" i="3" s="1"/>
  <c r="F315" i="3" a="1"/>
  <c r="F315" i="3" s="1"/>
  <c r="E315" i="3" a="1"/>
  <c r="E315" i="3" s="1"/>
  <c r="D315" i="3" a="1"/>
  <c r="D315" i="3"/>
  <c r="F314" i="3" a="1"/>
  <c r="F314" i="3" s="1"/>
  <c r="E314" i="3" a="1"/>
  <c r="E314" i="3" s="1"/>
  <c r="D314" i="3" a="1"/>
  <c r="D314" i="3" s="1"/>
  <c r="F313" i="3" a="1"/>
  <c r="F313" i="3" s="1"/>
  <c r="E313" i="3" a="1"/>
  <c r="E313" i="3" s="1"/>
  <c r="D313" i="3" a="1"/>
  <c r="D313" i="3" s="1"/>
  <c r="F312" i="3" a="1"/>
  <c r="F312" i="3" s="1"/>
  <c r="E312" i="3" a="1"/>
  <c r="E312" i="3" s="1"/>
  <c r="D312" i="3" a="1"/>
  <c r="D312" i="3" s="1"/>
  <c r="F311" i="3" a="1"/>
  <c r="F311" i="3" s="1"/>
  <c r="E311" i="3" a="1"/>
  <c r="E311" i="3"/>
  <c r="D311" i="3" a="1"/>
  <c r="D311" i="3" s="1"/>
  <c r="F310" i="3" a="1"/>
  <c r="F310" i="3" s="1"/>
  <c r="E310" i="3" a="1"/>
  <c r="E310" i="3" s="1"/>
  <c r="D310" i="3" a="1"/>
  <c r="D310" i="3" s="1"/>
  <c r="F309" i="3" a="1"/>
  <c r="F309" i="3" s="1"/>
  <c r="E309" i="3" a="1"/>
  <c r="E309" i="3" s="1"/>
  <c r="D309" i="3" a="1"/>
  <c r="D309" i="3" s="1"/>
  <c r="F308" i="3" a="1"/>
  <c r="F308" i="3" s="1"/>
  <c r="E308" i="3" a="1"/>
  <c r="E308" i="3" s="1"/>
  <c r="D308" i="3" a="1"/>
  <c r="D308" i="3" s="1"/>
  <c r="F307" i="3" a="1"/>
  <c r="F307" i="3" s="1"/>
  <c r="E307" i="3" a="1"/>
  <c r="E307" i="3" s="1"/>
  <c r="D307" i="3" a="1"/>
  <c r="D307" i="3" s="1"/>
  <c r="F306" i="3" a="1"/>
  <c r="F306" i="3"/>
  <c r="E306" i="3" a="1"/>
  <c r="E306" i="3" s="1"/>
  <c r="D306" i="3" a="1"/>
  <c r="D306" i="3" s="1"/>
  <c r="F305" i="3" a="1"/>
  <c r="F305" i="3" s="1"/>
  <c r="E305" i="3" a="1"/>
  <c r="E305" i="3" s="1"/>
  <c r="D305" i="3" a="1"/>
  <c r="D305" i="3" s="1"/>
  <c r="F304" i="3" a="1"/>
  <c r="F304" i="3"/>
  <c r="E304" i="3" a="1"/>
  <c r="E304" i="3" s="1"/>
  <c r="D304" i="3" a="1"/>
  <c r="D304" i="3" s="1"/>
  <c r="F303" i="3" a="1"/>
  <c r="F303" i="3" s="1"/>
  <c r="E303" i="3" a="1"/>
  <c r="E303" i="3" s="1"/>
  <c r="D303" i="3" a="1"/>
  <c r="D303" i="3" s="1"/>
  <c r="F302" i="3" a="1"/>
  <c r="F302" i="3" s="1"/>
  <c r="E302" i="3" a="1"/>
  <c r="E302" i="3" s="1"/>
  <c r="D302" i="3" a="1"/>
  <c r="D302" i="3" s="1"/>
  <c r="F301" i="3" a="1"/>
  <c r="F301" i="3" s="1"/>
  <c r="E301" i="3" a="1"/>
  <c r="E301" i="3" s="1"/>
  <c r="D301" i="3" a="1"/>
  <c r="D301" i="3" s="1"/>
  <c r="F300" i="3" a="1"/>
  <c r="F300" i="3"/>
  <c r="E300" i="3" a="1"/>
  <c r="E300" i="3" s="1"/>
  <c r="D300" i="3" a="1"/>
  <c r="D300" i="3" s="1"/>
  <c r="F299" i="3" a="1"/>
  <c r="F299" i="3" s="1"/>
  <c r="E299" i="3" a="1"/>
  <c r="E299" i="3" s="1"/>
  <c r="D299" i="3" a="1"/>
  <c r="D299" i="3" s="1"/>
  <c r="F298" i="3" a="1"/>
  <c r="F298" i="3" s="1"/>
  <c r="E298" i="3" a="1"/>
  <c r="E298" i="3" s="1"/>
  <c r="D298" i="3" a="1"/>
  <c r="D298" i="3" s="1"/>
  <c r="F297" i="3" a="1"/>
  <c r="F297" i="3" s="1"/>
  <c r="E297" i="3" a="1"/>
  <c r="E297" i="3" s="1"/>
  <c r="D297" i="3" a="1"/>
  <c r="D297" i="3" s="1"/>
  <c r="F296" i="3" a="1"/>
  <c r="F296" i="3" s="1"/>
  <c r="E296" i="3" a="1"/>
  <c r="E296" i="3" s="1"/>
  <c r="D296" i="3" a="1"/>
  <c r="D296" i="3" s="1"/>
  <c r="F295" i="3" a="1"/>
  <c r="F295" i="3" s="1"/>
  <c r="E295" i="3" a="1"/>
  <c r="E295" i="3" s="1"/>
  <c r="D295" i="3" a="1"/>
  <c r="D295" i="3" s="1"/>
  <c r="F294" i="3" a="1"/>
  <c r="F294" i="3" s="1"/>
  <c r="E294" i="3" a="1"/>
  <c r="E294" i="3" s="1"/>
  <c r="D294" i="3" a="1"/>
  <c r="D294" i="3" s="1"/>
  <c r="F293" i="3" a="1"/>
  <c r="F293" i="3" s="1"/>
  <c r="E293" i="3" a="1"/>
  <c r="E293" i="3" s="1"/>
  <c r="D293" i="3" a="1"/>
  <c r="D293" i="3" s="1"/>
  <c r="F292" i="3" a="1"/>
  <c r="F292" i="3" s="1"/>
  <c r="E292" i="3" a="1"/>
  <c r="E292" i="3" s="1"/>
  <c r="D292" i="3" a="1"/>
  <c r="D292" i="3" s="1"/>
  <c r="F291" i="3" a="1"/>
  <c r="F291" i="3" s="1"/>
  <c r="E291" i="3" a="1"/>
  <c r="E291" i="3" s="1"/>
  <c r="D291" i="3" a="1"/>
  <c r="D291" i="3"/>
  <c r="F290" i="3" a="1"/>
  <c r="F290" i="3" s="1"/>
  <c r="E290" i="3" a="1"/>
  <c r="E290" i="3" s="1"/>
  <c r="D290" i="3" a="1"/>
  <c r="D290" i="3"/>
  <c r="F289" i="3" a="1"/>
  <c r="F289" i="3" s="1"/>
  <c r="E289" i="3" a="1"/>
  <c r="E289" i="3" s="1"/>
  <c r="D289" i="3" a="1"/>
  <c r="D289" i="3" s="1"/>
  <c r="F288" i="3" a="1"/>
  <c r="F288" i="3" s="1"/>
  <c r="E288" i="3" a="1"/>
  <c r="E288" i="3" s="1"/>
  <c r="D288" i="3" a="1"/>
  <c r="D288" i="3" s="1"/>
  <c r="F287" i="3" a="1"/>
  <c r="F287" i="3" s="1"/>
  <c r="E287" i="3" a="1"/>
  <c r="E287" i="3" s="1"/>
  <c r="D287" i="3" a="1"/>
  <c r="D287" i="3" s="1"/>
  <c r="F286" i="3" a="1"/>
  <c r="F286" i="3" s="1"/>
  <c r="E286" i="3" a="1"/>
  <c r="E286" i="3" s="1"/>
  <c r="D286" i="3" a="1"/>
  <c r="D286" i="3" s="1"/>
  <c r="F285" i="3" a="1"/>
  <c r="F285" i="3" s="1"/>
  <c r="E285" i="3" a="1"/>
  <c r="E285" i="3" s="1"/>
  <c r="D285" i="3" a="1"/>
  <c r="D285" i="3" s="1"/>
  <c r="F284" i="3" a="1"/>
  <c r="F284" i="3" s="1"/>
  <c r="E284" i="3" a="1"/>
  <c r="E284" i="3"/>
  <c r="D284" i="3" a="1"/>
  <c r="D284" i="3" s="1"/>
  <c r="F283" i="3" a="1"/>
  <c r="F283" i="3" s="1"/>
  <c r="E283" i="3" a="1"/>
  <c r="E283" i="3" s="1"/>
  <c r="D283" i="3" a="1"/>
  <c r="D283" i="3" s="1"/>
  <c r="F282" i="3" a="1"/>
  <c r="F282" i="3" s="1"/>
  <c r="E282" i="3" a="1"/>
  <c r="E282" i="3" s="1"/>
  <c r="D282" i="3" a="1"/>
  <c r="D282" i="3" s="1"/>
  <c r="F281" i="3" a="1"/>
  <c r="F281" i="3" s="1"/>
  <c r="E281" i="3" a="1"/>
  <c r="E281" i="3" s="1"/>
  <c r="D281" i="3" a="1"/>
  <c r="D281" i="3" s="1"/>
  <c r="F280" i="3" a="1"/>
  <c r="F280" i="3" s="1"/>
  <c r="E280" i="3" a="1"/>
  <c r="E280" i="3" s="1"/>
  <c r="D280" i="3" a="1"/>
  <c r="D280" i="3"/>
  <c r="F279" i="3" a="1"/>
  <c r="F279" i="3" s="1"/>
  <c r="E279" i="3" a="1"/>
  <c r="E279" i="3" s="1"/>
  <c r="D279" i="3" a="1"/>
  <c r="D279" i="3" s="1"/>
  <c r="F278" i="3" a="1"/>
  <c r="F278" i="3" s="1"/>
  <c r="E278" i="3" a="1"/>
  <c r="E278" i="3" s="1"/>
  <c r="D278" i="3" a="1"/>
  <c r="D278" i="3" s="1"/>
  <c r="F277" i="3" a="1"/>
  <c r="F277" i="3" s="1"/>
  <c r="E277" i="3" a="1"/>
  <c r="E277" i="3" s="1"/>
  <c r="D277" i="3" a="1"/>
  <c r="D277" i="3" s="1"/>
  <c r="F276" i="3" a="1"/>
  <c r="F276" i="3" s="1"/>
  <c r="E276" i="3" a="1"/>
  <c r="E276" i="3" s="1"/>
  <c r="D276" i="3" a="1"/>
  <c r="D276" i="3" s="1"/>
  <c r="F275" i="3" a="1"/>
  <c r="F275" i="3" s="1"/>
  <c r="E275" i="3" a="1"/>
  <c r="E275" i="3" s="1"/>
  <c r="D275" i="3" a="1"/>
  <c r="D275" i="3" s="1"/>
  <c r="F274" i="3" a="1"/>
  <c r="F274" i="3" s="1"/>
  <c r="E274" i="3" a="1"/>
  <c r="E274" i="3" s="1"/>
  <c r="D274" i="3" a="1"/>
  <c r="D274" i="3" s="1"/>
  <c r="F273" i="3" a="1"/>
  <c r="F273" i="3" s="1"/>
  <c r="E273" i="3" a="1"/>
  <c r="E273" i="3" s="1"/>
  <c r="D273" i="3" a="1"/>
  <c r="D273" i="3" s="1"/>
  <c r="F272" i="3" a="1"/>
  <c r="F272" i="3"/>
  <c r="E272" i="3" a="1"/>
  <c r="E272" i="3" s="1"/>
  <c r="D272" i="3" a="1"/>
  <c r="D272" i="3" s="1"/>
  <c r="F271" i="3" a="1"/>
  <c r="F271" i="3" s="1"/>
  <c r="E271" i="3" a="1"/>
  <c r="E271" i="3" s="1"/>
  <c r="D271" i="3" a="1"/>
  <c r="D271" i="3" s="1"/>
  <c r="F270" i="3" a="1"/>
  <c r="F270" i="3" s="1"/>
  <c r="E270" i="3" a="1"/>
  <c r="E270" i="3" s="1"/>
  <c r="D270" i="3" a="1"/>
  <c r="D270" i="3" s="1"/>
  <c r="F269" i="3" a="1"/>
  <c r="F269" i="3" s="1"/>
  <c r="E269" i="3" a="1"/>
  <c r="E269" i="3" s="1"/>
  <c r="D269" i="3" a="1"/>
  <c r="D269" i="3" s="1"/>
  <c r="F268" i="3" a="1"/>
  <c r="F268" i="3" s="1"/>
  <c r="E268" i="3" a="1"/>
  <c r="E268" i="3" s="1"/>
  <c r="D268" i="3" a="1"/>
  <c r="D268" i="3" s="1"/>
  <c r="F267" i="3" a="1"/>
  <c r="F267" i="3" s="1"/>
  <c r="E267" i="3" a="1"/>
  <c r="E267" i="3" s="1"/>
  <c r="D267" i="3" a="1"/>
  <c r="D267" i="3" s="1"/>
  <c r="F266" i="3" a="1"/>
  <c r="F266" i="3" s="1"/>
  <c r="E266" i="3" a="1"/>
  <c r="E266" i="3" s="1"/>
  <c r="D266" i="3" a="1"/>
  <c r="D266" i="3" s="1"/>
  <c r="F265" i="3" a="1"/>
  <c r="F265" i="3" s="1"/>
  <c r="E265" i="3" a="1"/>
  <c r="E265" i="3" s="1"/>
  <c r="D265" i="3" a="1"/>
  <c r="D265" i="3" s="1"/>
  <c r="F264" i="3" a="1"/>
  <c r="F264" i="3" s="1"/>
  <c r="E264" i="3" a="1"/>
  <c r="E264" i="3" s="1"/>
  <c r="D264" i="3" a="1"/>
  <c r="D264" i="3" s="1"/>
  <c r="F263" i="3" a="1"/>
  <c r="F263" i="3" s="1"/>
  <c r="E263" i="3" a="1"/>
  <c r="E263" i="3" s="1"/>
  <c r="D263" i="3" a="1"/>
  <c r="D263" i="3" s="1"/>
  <c r="F262" i="3" a="1"/>
  <c r="F262" i="3" s="1"/>
  <c r="E262" i="3" a="1"/>
  <c r="E262" i="3" s="1"/>
  <c r="D262" i="3" a="1"/>
  <c r="D262" i="3" s="1"/>
  <c r="F261" i="3" a="1"/>
  <c r="F261" i="3" s="1"/>
  <c r="E261" i="3" a="1"/>
  <c r="E261" i="3" s="1"/>
  <c r="D261" i="3" a="1"/>
  <c r="D261" i="3" s="1"/>
  <c r="F260" i="3" a="1"/>
  <c r="F260" i="3" s="1"/>
  <c r="E260" i="3" a="1"/>
  <c r="E260" i="3"/>
  <c r="D260" i="3" a="1"/>
  <c r="D260" i="3" s="1"/>
  <c r="F259" i="3" a="1"/>
  <c r="F259" i="3" s="1"/>
  <c r="E259" i="3" a="1"/>
  <c r="E259" i="3" s="1"/>
  <c r="D259" i="3" a="1"/>
  <c r="D259" i="3" s="1"/>
  <c r="F258" i="3" a="1"/>
  <c r="F258" i="3" s="1"/>
  <c r="E258" i="3" a="1"/>
  <c r="E258" i="3" s="1"/>
  <c r="D258" i="3" a="1"/>
  <c r="D258" i="3"/>
  <c r="F257" i="3" a="1"/>
  <c r="F257" i="3" s="1"/>
  <c r="E257" i="3" a="1"/>
  <c r="E257" i="3" s="1"/>
  <c r="D257" i="3" a="1"/>
  <c r="D257" i="3" s="1"/>
  <c r="F256" i="3" a="1"/>
  <c r="F256" i="3" s="1"/>
  <c r="E256" i="3" a="1"/>
  <c r="E256" i="3" s="1"/>
  <c r="D256" i="3" a="1"/>
  <c r="D256" i="3" s="1"/>
  <c r="F255" i="3" a="1"/>
  <c r="F255" i="3" s="1"/>
  <c r="E255" i="3" a="1"/>
  <c r="E255" i="3" s="1"/>
  <c r="D255" i="3" a="1"/>
  <c r="D255" i="3" s="1"/>
  <c r="F254" i="3" a="1"/>
  <c r="F254" i="3" s="1"/>
  <c r="E254" i="3" a="1"/>
  <c r="E254" i="3" s="1"/>
  <c r="D254" i="3" a="1"/>
  <c r="D254" i="3" s="1"/>
  <c r="F253" i="3" a="1"/>
  <c r="F253" i="3" s="1"/>
  <c r="E253" i="3" a="1"/>
  <c r="E253" i="3" s="1"/>
  <c r="D253" i="3" a="1"/>
  <c r="D253" i="3" s="1"/>
  <c r="F252" i="3" a="1"/>
  <c r="F252" i="3" s="1"/>
  <c r="E252" i="3" a="1"/>
  <c r="E252" i="3" s="1"/>
  <c r="D252" i="3" a="1"/>
  <c r="D252" i="3"/>
  <c r="F251" i="3" a="1"/>
  <c r="F251" i="3" s="1"/>
  <c r="E251" i="3" a="1"/>
  <c r="E251" i="3" s="1"/>
  <c r="D251" i="3" a="1"/>
  <c r="D251" i="3" s="1"/>
  <c r="F250" i="3" a="1"/>
  <c r="F250" i="3" s="1"/>
  <c r="E250" i="3" a="1"/>
  <c r="E250" i="3" s="1"/>
  <c r="D250" i="3" a="1"/>
  <c r="D250" i="3" s="1"/>
  <c r="F249" i="3" a="1"/>
  <c r="F249" i="3" s="1"/>
  <c r="E249" i="3" a="1"/>
  <c r="E249" i="3" s="1"/>
  <c r="D249" i="3" a="1"/>
  <c r="D249" i="3" s="1"/>
  <c r="F248" i="3" a="1"/>
  <c r="F248" i="3" s="1"/>
  <c r="E248" i="3" a="1"/>
  <c r="E248" i="3" s="1"/>
  <c r="D248" i="3" a="1"/>
  <c r="D248" i="3" s="1"/>
  <c r="F247" i="3" a="1"/>
  <c r="F247" i="3" s="1"/>
  <c r="E247" i="3" a="1"/>
  <c r="E247" i="3" s="1"/>
  <c r="D247" i="3" a="1"/>
  <c r="D247" i="3" s="1"/>
  <c r="F246" i="3" a="1"/>
  <c r="F246" i="3" s="1"/>
  <c r="E246" i="3" a="1"/>
  <c r="E246" i="3" s="1"/>
  <c r="D246" i="3" a="1"/>
  <c r="D246" i="3" s="1"/>
  <c r="F245" i="3" a="1"/>
  <c r="F245" i="3" s="1"/>
  <c r="E245" i="3" a="1"/>
  <c r="E245" i="3" s="1"/>
  <c r="D245" i="3" a="1"/>
  <c r="D245" i="3" s="1"/>
  <c r="F244" i="3" a="1"/>
  <c r="F244" i="3" s="1"/>
  <c r="E244" i="3" a="1"/>
  <c r="E244" i="3"/>
  <c r="D244" i="3" a="1"/>
  <c r="D244" i="3" s="1"/>
  <c r="F243" i="3" a="1"/>
  <c r="F243" i="3" s="1"/>
  <c r="E243" i="3" a="1"/>
  <c r="E243" i="3" s="1"/>
  <c r="D243" i="3" a="1"/>
  <c r="D243" i="3" s="1"/>
  <c r="F242" i="3" a="1"/>
  <c r="F242" i="3" s="1"/>
  <c r="E242" i="3" a="1"/>
  <c r="E242" i="3" s="1"/>
  <c r="D242" i="3" a="1"/>
  <c r="D242" i="3" s="1"/>
  <c r="F241" i="3" a="1"/>
  <c r="F241" i="3"/>
  <c r="E241" i="3" a="1"/>
  <c r="E241" i="3" s="1"/>
  <c r="D241" i="3" a="1"/>
  <c r="D241" i="3" s="1"/>
  <c r="F240" i="3" a="1"/>
  <c r="F240" i="3" s="1"/>
  <c r="E240" i="3" a="1"/>
  <c r="E240" i="3"/>
  <c r="D240" i="3" a="1"/>
  <c r="D240" i="3" s="1"/>
  <c r="F239" i="3" a="1"/>
  <c r="F239" i="3" s="1"/>
  <c r="E239" i="3" a="1"/>
  <c r="E239" i="3" s="1"/>
  <c r="D239" i="3" a="1"/>
  <c r="D239" i="3" s="1"/>
  <c r="F238" i="3" a="1"/>
  <c r="F238" i="3" s="1"/>
  <c r="E238" i="3" a="1"/>
  <c r="E238" i="3" s="1"/>
  <c r="D238" i="3" a="1"/>
  <c r="D238" i="3" s="1"/>
  <c r="F237" i="3" a="1"/>
  <c r="F237" i="3"/>
  <c r="E237" i="3" a="1"/>
  <c r="E237" i="3" s="1"/>
  <c r="D237" i="3" a="1"/>
  <c r="D237" i="3" s="1"/>
  <c r="F236" i="3" a="1"/>
  <c r="F236" i="3" s="1"/>
  <c r="E236" i="3" a="1"/>
  <c r="E236" i="3" s="1"/>
  <c r="D236" i="3" a="1"/>
  <c r="D236" i="3" s="1"/>
  <c r="F235" i="3" a="1"/>
  <c r="F235" i="3" s="1"/>
  <c r="E235" i="3" a="1"/>
  <c r="E235" i="3" s="1"/>
  <c r="D235" i="3" a="1"/>
  <c r="D235" i="3" s="1"/>
  <c r="F234" i="3" a="1"/>
  <c r="F234" i="3" s="1"/>
  <c r="E234" i="3" a="1"/>
  <c r="E234" i="3" s="1"/>
  <c r="D234" i="3" a="1"/>
  <c r="D234" i="3" s="1"/>
  <c r="F233" i="3" a="1"/>
  <c r="F233" i="3" s="1"/>
  <c r="E233" i="3" a="1"/>
  <c r="E233" i="3" s="1"/>
  <c r="D233" i="3" a="1"/>
  <c r="D233" i="3" s="1"/>
  <c r="F232" i="3" a="1"/>
  <c r="F232" i="3" s="1"/>
  <c r="E232" i="3" a="1"/>
  <c r="E232" i="3" s="1"/>
  <c r="D232" i="3" a="1"/>
  <c r="D232" i="3" s="1"/>
  <c r="F231" i="3" a="1"/>
  <c r="F231" i="3" s="1"/>
  <c r="E231" i="3" a="1"/>
  <c r="E231" i="3" s="1"/>
  <c r="D231" i="3" a="1"/>
  <c r="D231" i="3" s="1"/>
  <c r="F230" i="3" a="1"/>
  <c r="F230" i="3" s="1"/>
  <c r="E230" i="3" a="1"/>
  <c r="E230" i="3" s="1"/>
  <c r="D230" i="3" a="1"/>
  <c r="D230" i="3"/>
  <c r="F229" i="3" a="1"/>
  <c r="F229" i="3" s="1"/>
  <c r="E229" i="3" a="1"/>
  <c r="E229" i="3" s="1"/>
  <c r="D229" i="3" a="1"/>
  <c r="D229" i="3" s="1"/>
  <c r="F228" i="3" a="1"/>
  <c r="F228" i="3" s="1"/>
  <c r="E228" i="3" a="1"/>
  <c r="E228" i="3" s="1"/>
  <c r="D228" i="3" a="1"/>
  <c r="D228" i="3" s="1"/>
  <c r="F227" i="3" a="1"/>
  <c r="F227" i="3" s="1"/>
  <c r="E227" i="3" a="1"/>
  <c r="E227" i="3" s="1"/>
  <c r="D227" i="3" a="1"/>
  <c r="D227" i="3" s="1"/>
  <c r="F226" i="3" a="1"/>
  <c r="F226" i="3" s="1"/>
  <c r="E226" i="3" a="1"/>
  <c r="E226" i="3" s="1"/>
  <c r="D226" i="3" a="1"/>
  <c r="D226" i="3" s="1"/>
  <c r="F225" i="3" a="1"/>
  <c r="F225" i="3" s="1"/>
  <c r="E225" i="3" a="1"/>
  <c r="E225" i="3" s="1"/>
  <c r="D225" i="3" a="1"/>
  <c r="D225" i="3" s="1"/>
  <c r="F224" i="3" a="1"/>
  <c r="F224" i="3" s="1"/>
  <c r="E224" i="3" a="1"/>
  <c r="E224" i="3" s="1"/>
  <c r="D224" i="3" a="1"/>
  <c r="D224" i="3" s="1"/>
  <c r="F223" i="3" a="1"/>
  <c r="F223" i="3" s="1"/>
  <c r="E223" i="3" a="1"/>
  <c r="E223" i="3" s="1"/>
  <c r="D223" i="3" a="1"/>
  <c r="D223" i="3" s="1"/>
  <c r="F222" i="3" a="1"/>
  <c r="F222" i="3" s="1"/>
  <c r="E222" i="3" a="1"/>
  <c r="E222" i="3" s="1"/>
  <c r="D222" i="3" a="1"/>
  <c r="D222" i="3"/>
  <c r="F221" i="3" a="1"/>
  <c r="F221" i="3" s="1"/>
  <c r="E221" i="3" a="1"/>
  <c r="E221" i="3" s="1"/>
  <c r="D221" i="3" a="1"/>
  <c r="D221" i="3" s="1"/>
  <c r="F220" i="3" a="1"/>
  <c r="F220" i="3" s="1"/>
  <c r="E220" i="3" a="1"/>
  <c r="E220" i="3"/>
  <c r="D220" i="3" a="1"/>
  <c r="D220" i="3" s="1"/>
  <c r="F219" i="3" a="1"/>
  <c r="F219" i="3" s="1"/>
  <c r="E219" i="3" a="1"/>
  <c r="E219" i="3" s="1"/>
  <c r="D219" i="3" a="1"/>
  <c r="D219" i="3" s="1"/>
  <c r="F218" i="3" a="1"/>
  <c r="F218" i="3" s="1"/>
  <c r="E218" i="3" a="1"/>
  <c r="E218" i="3" s="1"/>
  <c r="D218" i="3" a="1"/>
  <c r="D218" i="3" s="1"/>
  <c r="F217" i="3" a="1"/>
  <c r="F217" i="3" s="1"/>
  <c r="E217" i="3" a="1"/>
  <c r="E217" i="3" s="1"/>
  <c r="D217" i="3" a="1"/>
  <c r="D217" i="3" s="1"/>
  <c r="F216" i="3" a="1"/>
  <c r="F216" i="3" s="1"/>
  <c r="E216" i="3" a="1"/>
  <c r="E216" i="3"/>
  <c r="D216" i="3" a="1"/>
  <c r="D216" i="3" s="1"/>
  <c r="F215" i="3" a="1"/>
  <c r="F215" i="3" s="1"/>
  <c r="E215" i="3" a="1"/>
  <c r="E215" i="3" s="1"/>
  <c r="D215" i="3" a="1"/>
  <c r="D215" i="3" s="1"/>
  <c r="F214" i="3" a="1"/>
  <c r="F214" i="3" s="1"/>
  <c r="E214" i="3" a="1"/>
  <c r="E214" i="3" s="1"/>
  <c r="D214" i="3" a="1"/>
  <c r="D214" i="3" s="1"/>
  <c r="F213" i="3" a="1"/>
  <c r="F213" i="3" s="1"/>
  <c r="E213" i="3" a="1"/>
  <c r="E213" i="3" s="1"/>
  <c r="D213" i="3" a="1"/>
  <c r="D213" i="3" s="1"/>
  <c r="F212" i="3" a="1"/>
  <c r="F212" i="3" s="1"/>
  <c r="E212" i="3" a="1"/>
  <c r="E212" i="3" s="1"/>
  <c r="D212" i="3" a="1"/>
  <c r="D212" i="3" s="1"/>
  <c r="F211" i="3" a="1"/>
  <c r="F211" i="3" s="1"/>
  <c r="E211" i="3" a="1"/>
  <c r="E211" i="3" s="1"/>
  <c r="D211" i="3" a="1"/>
  <c r="D211" i="3" s="1"/>
  <c r="F210" i="3" a="1"/>
  <c r="F210" i="3" s="1"/>
  <c r="E210" i="3" a="1"/>
  <c r="E210" i="3" s="1"/>
  <c r="D210" i="3" a="1"/>
  <c r="D210" i="3" s="1"/>
  <c r="F209" i="3" a="1"/>
  <c r="F209" i="3" s="1"/>
  <c r="E209" i="3" a="1"/>
  <c r="E209" i="3" s="1"/>
  <c r="D209" i="3" a="1"/>
  <c r="D209" i="3" s="1"/>
  <c r="F208" i="3" a="1"/>
  <c r="F208" i="3" s="1"/>
  <c r="E208" i="3" a="1"/>
  <c r="E208" i="3" s="1"/>
  <c r="D208" i="3" a="1"/>
  <c r="D208" i="3" s="1"/>
  <c r="F207" i="3" a="1"/>
  <c r="F207" i="3" s="1"/>
  <c r="E207" i="3" a="1"/>
  <c r="E207" i="3" s="1"/>
  <c r="D207" i="3" a="1"/>
  <c r="D207" i="3" s="1"/>
  <c r="F206" i="3" a="1"/>
  <c r="F206" i="3" s="1"/>
  <c r="E206" i="3" a="1"/>
  <c r="E206" i="3" s="1"/>
  <c r="D206" i="3" a="1"/>
  <c r="D206" i="3" s="1"/>
  <c r="F205" i="3" a="1"/>
  <c r="F205" i="3" s="1"/>
  <c r="E205" i="3" a="1"/>
  <c r="E205" i="3" s="1"/>
  <c r="D205" i="3" a="1"/>
  <c r="D205" i="3" s="1"/>
  <c r="F204" i="3" a="1"/>
  <c r="F204" i="3" s="1"/>
  <c r="E204" i="3" a="1"/>
  <c r="E204" i="3" s="1"/>
  <c r="D204" i="3" a="1"/>
  <c r="D204" i="3" s="1"/>
  <c r="F203" i="3" a="1"/>
  <c r="F203" i="3" s="1"/>
  <c r="E203" i="3" a="1"/>
  <c r="E203" i="3" s="1"/>
  <c r="D203" i="3" a="1"/>
  <c r="D203" i="3" s="1"/>
  <c r="F202" i="3" a="1"/>
  <c r="F202" i="3" s="1"/>
  <c r="E202" i="3" a="1"/>
  <c r="E202" i="3" s="1"/>
  <c r="D202" i="3" a="1"/>
  <c r="D202" i="3" s="1"/>
  <c r="F201" i="3" a="1"/>
  <c r="F201" i="3" s="1"/>
  <c r="E201" i="3" a="1"/>
  <c r="E201" i="3" s="1"/>
  <c r="D201" i="3" a="1"/>
  <c r="D201" i="3" s="1"/>
  <c r="F200" i="3" a="1"/>
  <c r="F200" i="3" s="1"/>
  <c r="E200" i="3" a="1"/>
  <c r="E200" i="3" s="1"/>
  <c r="D200" i="3" a="1"/>
  <c r="D200" i="3" s="1"/>
  <c r="F199" i="3" a="1"/>
  <c r="F199" i="3" s="1"/>
  <c r="E199" i="3" a="1"/>
  <c r="E199" i="3" s="1"/>
  <c r="D199" i="3" a="1"/>
  <c r="D199" i="3" s="1"/>
  <c r="F198" i="3" a="1"/>
  <c r="F198" i="3" s="1"/>
  <c r="E198" i="3" a="1"/>
  <c r="E198" i="3" s="1"/>
  <c r="D198" i="3" a="1"/>
  <c r="D198" i="3" s="1"/>
  <c r="F197" i="3" a="1"/>
  <c r="F197" i="3" s="1"/>
  <c r="E197" i="3" a="1"/>
  <c r="E197" i="3" s="1"/>
  <c r="D197" i="3" a="1"/>
  <c r="D197" i="3" s="1"/>
  <c r="F196" i="3" a="1"/>
  <c r="F196" i="3" s="1"/>
  <c r="E196" i="3" a="1"/>
  <c r="E196" i="3" s="1"/>
  <c r="D196" i="3" a="1"/>
  <c r="D196" i="3" s="1"/>
  <c r="F195" i="3" a="1"/>
  <c r="F195" i="3" s="1"/>
  <c r="E195" i="3" a="1"/>
  <c r="E195" i="3" s="1"/>
  <c r="D195" i="3" a="1"/>
  <c r="D195" i="3"/>
  <c r="F194" i="3" a="1"/>
  <c r="F194" i="3" s="1"/>
  <c r="E194" i="3" a="1"/>
  <c r="E194" i="3" s="1"/>
  <c r="D194" i="3" a="1"/>
  <c r="D194" i="3" s="1"/>
  <c r="F193" i="3" a="1"/>
  <c r="F193" i="3" s="1"/>
  <c r="E193" i="3" a="1"/>
  <c r="E193" i="3" s="1"/>
  <c r="D193" i="3" a="1"/>
  <c r="D193" i="3" s="1"/>
  <c r="F192" i="3" a="1"/>
  <c r="F192" i="3" s="1"/>
  <c r="E192" i="3" a="1"/>
  <c r="E192" i="3" s="1"/>
  <c r="D192" i="3" a="1"/>
  <c r="D192" i="3" s="1"/>
  <c r="F191" i="3" a="1"/>
  <c r="F191" i="3" s="1"/>
  <c r="E191" i="3" a="1"/>
  <c r="E191" i="3" s="1"/>
  <c r="D191" i="3" a="1"/>
  <c r="D191" i="3" s="1"/>
  <c r="F190" i="3" a="1"/>
  <c r="F190" i="3" s="1"/>
  <c r="E190" i="3" a="1"/>
  <c r="E190" i="3" s="1"/>
  <c r="D190" i="3" a="1"/>
  <c r="D190" i="3" s="1"/>
  <c r="F189" i="3" a="1"/>
  <c r="F189" i="3" s="1"/>
  <c r="E189" i="3" a="1"/>
  <c r="E189" i="3" s="1"/>
  <c r="D189" i="3" a="1"/>
  <c r="D189" i="3" s="1"/>
  <c r="F188" i="3" a="1"/>
  <c r="F188" i="3" s="1"/>
  <c r="E188" i="3" a="1"/>
  <c r="E188" i="3" s="1"/>
  <c r="D188" i="3" a="1"/>
  <c r="D188" i="3" s="1"/>
  <c r="F187" i="3" a="1"/>
  <c r="F187" i="3" s="1"/>
  <c r="E187" i="3" a="1"/>
  <c r="E187" i="3"/>
  <c r="D187" i="3" a="1"/>
  <c r="D187" i="3" s="1"/>
  <c r="F186" i="3" a="1"/>
  <c r="F186" i="3" s="1"/>
  <c r="E186" i="3" a="1"/>
  <c r="E186" i="3" s="1"/>
  <c r="D186" i="3" a="1"/>
  <c r="D186" i="3" s="1"/>
  <c r="F185" i="3" a="1"/>
  <c r="F185" i="3" s="1"/>
  <c r="E185" i="3" a="1"/>
  <c r="E185" i="3" s="1"/>
  <c r="D185" i="3" a="1"/>
  <c r="D185" i="3" s="1"/>
  <c r="F184" i="3" a="1"/>
  <c r="F184" i="3" s="1"/>
  <c r="E184" i="3" a="1"/>
  <c r="E184" i="3"/>
  <c r="D184" i="3" a="1"/>
  <c r="D184" i="3" s="1"/>
  <c r="F183" i="3" a="1"/>
  <c r="F183" i="3" s="1"/>
  <c r="E183" i="3" a="1"/>
  <c r="E183" i="3"/>
  <c r="D183" i="3" a="1"/>
  <c r="D183" i="3" s="1"/>
  <c r="F182" i="3" a="1"/>
  <c r="F182" i="3" s="1"/>
  <c r="E182" i="3" a="1"/>
  <c r="E182" i="3" s="1"/>
  <c r="D182" i="3" a="1"/>
  <c r="D182" i="3" s="1"/>
  <c r="F181" i="3" a="1"/>
  <c r="F181" i="3" s="1"/>
  <c r="E181" i="3" a="1"/>
  <c r="E181" i="3"/>
  <c r="D181" i="3" a="1"/>
  <c r="D181" i="3" s="1"/>
  <c r="F180" i="3" a="1"/>
  <c r="F180" i="3" s="1"/>
  <c r="E180" i="3" a="1"/>
  <c r="E180" i="3"/>
  <c r="D180" i="3" a="1"/>
  <c r="D180" i="3" s="1"/>
  <c r="F179" i="3" a="1"/>
  <c r="F179" i="3" s="1"/>
  <c r="E179" i="3" a="1"/>
  <c r="E179" i="3" s="1"/>
  <c r="D179" i="3" a="1"/>
  <c r="D179" i="3" s="1"/>
  <c r="F178" i="3" a="1"/>
  <c r="F178" i="3" s="1"/>
  <c r="E178" i="3" a="1"/>
  <c r="E178" i="3" s="1"/>
  <c r="D178" i="3" a="1"/>
  <c r="D178" i="3"/>
  <c r="F177" i="3" a="1"/>
  <c r="F177" i="3" s="1"/>
  <c r="E177" i="3" a="1"/>
  <c r="E177" i="3" s="1"/>
  <c r="D177" i="3" a="1"/>
  <c r="D177" i="3" s="1"/>
  <c r="F176" i="3" a="1"/>
  <c r="F176" i="3" s="1"/>
  <c r="E176" i="3" a="1"/>
  <c r="E176" i="3" s="1"/>
  <c r="D176" i="3" a="1"/>
  <c r="D176" i="3" s="1"/>
  <c r="F175" i="3" a="1"/>
  <c r="F175" i="3" s="1"/>
  <c r="E175" i="3" a="1"/>
  <c r="E175" i="3" s="1"/>
  <c r="D175" i="3" a="1"/>
  <c r="D175" i="3"/>
  <c r="F174" i="3" a="1"/>
  <c r="F174" i="3" s="1"/>
  <c r="E174" i="3" a="1"/>
  <c r="E174" i="3" s="1"/>
  <c r="D174" i="3" a="1"/>
  <c r="D174" i="3" s="1"/>
  <c r="F173" i="3" a="1"/>
  <c r="F173" i="3" s="1"/>
  <c r="E173" i="3" a="1"/>
  <c r="E173" i="3" s="1"/>
  <c r="D173" i="3" a="1"/>
  <c r="D173" i="3" s="1"/>
  <c r="F172" i="3" a="1"/>
  <c r="F172" i="3"/>
  <c r="E172" i="3" a="1"/>
  <c r="E172" i="3" s="1"/>
  <c r="D172" i="3" a="1"/>
  <c r="D172" i="3" s="1"/>
  <c r="F171" i="3" a="1"/>
  <c r="F171" i="3" s="1"/>
  <c r="E171" i="3" a="1"/>
  <c r="E171" i="3" s="1"/>
  <c r="D171" i="3" a="1"/>
  <c r="D171" i="3" s="1"/>
  <c r="F170" i="3" a="1"/>
  <c r="F170" i="3"/>
  <c r="E170" i="3" a="1"/>
  <c r="E170" i="3" s="1"/>
  <c r="D170" i="3" a="1"/>
  <c r="D170" i="3" s="1"/>
  <c r="F169" i="3" a="1"/>
  <c r="F169" i="3" s="1"/>
  <c r="E169" i="3" a="1"/>
  <c r="E169" i="3" s="1"/>
  <c r="D169" i="3" a="1"/>
  <c r="D169" i="3" s="1"/>
  <c r="F168" i="3" a="1"/>
  <c r="F168" i="3" s="1"/>
  <c r="E168" i="3" a="1"/>
  <c r="E168" i="3" s="1"/>
  <c r="D168" i="3" a="1"/>
  <c r="D168" i="3" s="1"/>
  <c r="F167" i="3" a="1"/>
  <c r="F167" i="3" s="1"/>
  <c r="E167" i="3" a="1"/>
  <c r="E167" i="3" s="1"/>
  <c r="D167" i="3" a="1"/>
  <c r="D167" i="3" s="1"/>
  <c r="F166" i="3" a="1"/>
  <c r="F166" i="3"/>
  <c r="E166" i="3" a="1"/>
  <c r="E166" i="3" s="1"/>
  <c r="D166" i="3" a="1"/>
  <c r="D166" i="3"/>
  <c r="F165" i="3" a="1"/>
  <c r="F165" i="3" s="1"/>
  <c r="E165" i="3" a="1"/>
  <c r="E165" i="3" s="1"/>
  <c r="D165" i="3" a="1"/>
  <c r="D165" i="3" s="1"/>
  <c r="F164" i="3" a="1"/>
  <c r="F164" i="3" s="1"/>
  <c r="E164" i="3" a="1"/>
  <c r="E164" i="3"/>
  <c r="D164" i="3" a="1"/>
  <c r="D164" i="3" s="1"/>
  <c r="F163" i="3" a="1"/>
  <c r="F163" i="3" s="1"/>
  <c r="E163" i="3" a="1"/>
  <c r="E163" i="3" s="1"/>
  <c r="D163" i="3" a="1"/>
  <c r="D163" i="3" s="1"/>
  <c r="F162" i="3" a="1"/>
  <c r="F162" i="3" s="1"/>
  <c r="E162" i="3" a="1"/>
  <c r="E162" i="3" s="1"/>
  <c r="D162" i="3" a="1"/>
  <c r="D162" i="3"/>
  <c r="F161" i="3" a="1"/>
  <c r="F161" i="3" s="1"/>
  <c r="E161" i="3" a="1"/>
  <c r="E161" i="3" s="1"/>
  <c r="D161" i="3" a="1"/>
  <c r="D161" i="3" s="1"/>
  <c r="F160" i="3" a="1"/>
  <c r="F160" i="3" s="1"/>
  <c r="E160" i="3" a="1"/>
  <c r="E160" i="3" s="1"/>
  <c r="D160" i="3" a="1"/>
  <c r="D160" i="3"/>
  <c r="F159" i="3" a="1"/>
  <c r="F159" i="3" s="1"/>
  <c r="E159" i="3" a="1"/>
  <c r="E159" i="3" s="1"/>
  <c r="D159" i="3" a="1"/>
  <c r="D159" i="3" s="1"/>
  <c r="F158" i="3" a="1"/>
  <c r="F158" i="3" s="1"/>
  <c r="E158" i="3" a="1"/>
  <c r="E158" i="3" s="1"/>
  <c r="D158" i="3" a="1"/>
  <c r="D158" i="3" s="1"/>
  <c r="F157" i="3" a="1"/>
  <c r="F157" i="3" s="1"/>
  <c r="E157" i="3" a="1"/>
  <c r="E157" i="3" s="1"/>
  <c r="D157" i="3" a="1"/>
  <c r="D157" i="3" s="1"/>
  <c r="F156" i="3" a="1"/>
  <c r="F156" i="3" s="1"/>
  <c r="E156" i="3" a="1"/>
  <c r="E156" i="3" s="1"/>
  <c r="D156" i="3" a="1"/>
  <c r="D156" i="3" s="1"/>
  <c r="F155" i="3" a="1"/>
  <c r="F155" i="3" s="1"/>
  <c r="E155" i="3" a="1"/>
  <c r="E155" i="3"/>
  <c r="D155" i="3" a="1"/>
  <c r="D155" i="3" s="1"/>
  <c r="F154" i="3" a="1"/>
  <c r="F154" i="3" s="1"/>
  <c r="E154" i="3" a="1"/>
  <c r="E154" i="3" s="1"/>
  <c r="D154" i="3" a="1"/>
  <c r="D154" i="3" s="1"/>
  <c r="F153" i="3" a="1"/>
  <c r="F153" i="3" s="1"/>
  <c r="E153" i="3" a="1"/>
  <c r="E153" i="3" s="1"/>
  <c r="D153" i="3" a="1"/>
  <c r="D153" i="3" s="1"/>
  <c r="F152" i="3" a="1"/>
  <c r="F152" i="3" s="1"/>
  <c r="E152" i="3" a="1"/>
  <c r="E152" i="3" s="1"/>
  <c r="D152" i="3" a="1"/>
  <c r="D152" i="3" s="1"/>
  <c r="F151" i="3" a="1"/>
  <c r="F151" i="3" s="1"/>
  <c r="E151" i="3" a="1"/>
  <c r="E151" i="3" s="1"/>
  <c r="D151" i="3" a="1"/>
  <c r="D151" i="3" s="1"/>
  <c r="F150" i="3" a="1"/>
  <c r="F150" i="3" s="1"/>
  <c r="E150" i="3" a="1"/>
  <c r="E150" i="3" s="1"/>
  <c r="D150" i="3" a="1"/>
  <c r="D150" i="3" s="1"/>
  <c r="F149" i="3" a="1"/>
  <c r="F149" i="3" s="1"/>
  <c r="E149" i="3" a="1"/>
  <c r="E149" i="3" s="1"/>
  <c r="D149" i="3" a="1"/>
  <c r="D149" i="3" s="1"/>
  <c r="F148" i="3" a="1"/>
  <c r="F148" i="3" s="1"/>
  <c r="E148" i="3" a="1"/>
  <c r="E148" i="3"/>
  <c r="D148" i="3" a="1"/>
  <c r="D148" i="3" s="1"/>
  <c r="F147" i="3" a="1"/>
  <c r="F147" i="3" s="1"/>
  <c r="E147" i="3" a="1"/>
  <c r="E147" i="3" s="1"/>
  <c r="D147" i="3" a="1"/>
  <c r="D147" i="3" s="1"/>
  <c r="F146" i="3" a="1"/>
  <c r="F146" i="3" s="1"/>
  <c r="E146" i="3" a="1"/>
  <c r="E146" i="3" s="1"/>
  <c r="D146" i="3" a="1"/>
  <c r="D146" i="3" s="1"/>
  <c r="F145" i="3" a="1"/>
  <c r="F145" i="3" s="1"/>
  <c r="E145" i="3" a="1"/>
  <c r="E145" i="3"/>
  <c r="D145" i="3" a="1"/>
  <c r="D145" i="3" s="1"/>
  <c r="F144" i="3" a="1"/>
  <c r="F144" i="3" s="1"/>
  <c r="E144" i="3" a="1"/>
  <c r="E144" i="3" s="1"/>
  <c r="D144" i="3" a="1"/>
  <c r="D144" i="3" s="1"/>
  <c r="F143" i="3" a="1"/>
  <c r="F143" i="3" s="1"/>
  <c r="E143" i="3" a="1"/>
  <c r="E143" i="3" s="1"/>
  <c r="D143" i="3" a="1"/>
  <c r="D143" i="3"/>
  <c r="F142" i="3" a="1"/>
  <c r="F142" i="3" s="1"/>
  <c r="E142" i="3" a="1"/>
  <c r="E142" i="3" s="1"/>
  <c r="D142" i="3" a="1"/>
  <c r="D142" i="3" s="1"/>
  <c r="F141" i="3" a="1"/>
  <c r="F141" i="3"/>
  <c r="E141" i="3" a="1"/>
  <c r="E141" i="3"/>
  <c r="D141" i="3" a="1"/>
  <c r="D141" i="3" s="1"/>
  <c r="F140" i="3" a="1"/>
  <c r="F140" i="3" s="1"/>
  <c r="E140" i="3" a="1"/>
  <c r="E140" i="3" s="1"/>
  <c r="D140" i="3" a="1"/>
  <c r="D140" i="3" s="1"/>
  <c r="F139" i="3" a="1"/>
  <c r="F139" i="3" s="1"/>
  <c r="E139" i="3" a="1"/>
  <c r="E139" i="3" s="1"/>
  <c r="D139" i="3" a="1"/>
  <c r="D139" i="3" s="1"/>
  <c r="F138" i="3" a="1"/>
  <c r="F138" i="3" s="1"/>
  <c r="E138" i="3" a="1"/>
  <c r="E138" i="3" s="1"/>
  <c r="D138" i="3" a="1"/>
  <c r="D138" i="3" s="1"/>
  <c r="F137" i="3" a="1"/>
  <c r="F137" i="3" s="1"/>
  <c r="E137" i="3" a="1"/>
  <c r="E137" i="3" s="1"/>
  <c r="D137" i="3" a="1"/>
  <c r="D137" i="3" s="1"/>
  <c r="F136" i="3" a="1"/>
  <c r="F136" i="3" s="1"/>
  <c r="E136" i="3" a="1"/>
  <c r="E136" i="3" s="1"/>
  <c r="D136" i="3" a="1"/>
  <c r="D136" i="3" s="1"/>
  <c r="F135" i="3" a="1"/>
  <c r="F135" i="3" s="1"/>
  <c r="E135" i="3" a="1"/>
  <c r="E135" i="3" s="1"/>
  <c r="D135" i="3" a="1"/>
  <c r="D135" i="3" s="1"/>
  <c r="F134" i="3" a="1"/>
  <c r="F134" i="3" s="1"/>
  <c r="E134" i="3" a="1"/>
  <c r="E134" i="3" s="1"/>
  <c r="D134" i="3" a="1"/>
  <c r="D134" i="3"/>
  <c r="F133" i="3" a="1"/>
  <c r="F133" i="3" s="1"/>
  <c r="E133" i="3" a="1"/>
  <c r="E133" i="3" s="1"/>
  <c r="D133" i="3" a="1"/>
  <c r="D133" i="3" s="1"/>
  <c r="F132" i="3" a="1"/>
  <c r="F132" i="3" s="1"/>
  <c r="E132" i="3" a="1"/>
  <c r="E132" i="3"/>
  <c r="D132" i="3" a="1"/>
  <c r="D132" i="3" s="1"/>
  <c r="F131" i="3" a="1"/>
  <c r="F131" i="3" s="1"/>
  <c r="E131" i="3" a="1"/>
  <c r="E131" i="3" s="1"/>
  <c r="D131" i="3" a="1"/>
  <c r="D131" i="3" s="1"/>
  <c r="F130" i="3" a="1"/>
  <c r="F130" i="3" s="1"/>
  <c r="E130" i="3" a="1"/>
  <c r="E130" i="3" s="1"/>
  <c r="D130" i="3" a="1"/>
  <c r="D130" i="3"/>
  <c r="F129" i="3" a="1"/>
  <c r="F129" i="3" s="1"/>
  <c r="E129" i="3" a="1"/>
  <c r="E129" i="3" s="1"/>
  <c r="D129" i="3" a="1"/>
  <c r="D129" i="3" s="1"/>
  <c r="F128" i="3" a="1"/>
  <c r="F128" i="3" s="1"/>
  <c r="E128" i="3" a="1"/>
  <c r="E128" i="3" s="1"/>
  <c r="D128" i="3" a="1"/>
  <c r="D128" i="3"/>
  <c r="F127" i="3" a="1"/>
  <c r="F127" i="3" s="1"/>
  <c r="E127" i="3" a="1"/>
  <c r="E127" i="3" s="1"/>
  <c r="D127" i="3" a="1"/>
  <c r="D127" i="3" s="1"/>
  <c r="F126" i="3" a="1"/>
  <c r="F126" i="3" s="1"/>
  <c r="E126" i="3" a="1"/>
  <c r="E126" i="3" s="1"/>
  <c r="D126" i="3" a="1"/>
  <c r="D126" i="3" s="1"/>
  <c r="F125" i="3" a="1"/>
  <c r="F125" i="3" s="1"/>
  <c r="E125" i="3" a="1"/>
  <c r="E125" i="3" s="1"/>
  <c r="D125" i="3" a="1"/>
  <c r="D125" i="3" s="1"/>
  <c r="F124" i="3" a="1"/>
  <c r="F124" i="3" s="1"/>
  <c r="E124" i="3" a="1"/>
  <c r="E124" i="3" s="1"/>
  <c r="D124" i="3" a="1"/>
  <c r="D124" i="3"/>
  <c r="F123" i="3" a="1"/>
  <c r="F123" i="3" s="1"/>
  <c r="E123" i="3" a="1"/>
  <c r="E123" i="3"/>
  <c r="D123" i="3" a="1"/>
  <c r="D123" i="3" s="1"/>
  <c r="F122" i="3" a="1"/>
  <c r="F122" i="3" s="1"/>
  <c r="E122" i="3" a="1"/>
  <c r="E122" i="3" s="1"/>
  <c r="D122" i="3" a="1"/>
  <c r="D122" i="3" s="1"/>
  <c r="F121" i="3" a="1"/>
  <c r="F121" i="3" s="1"/>
  <c r="E121" i="3" a="1"/>
  <c r="E121" i="3" s="1"/>
  <c r="D121" i="3" a="1"/>
  <c r="D121" i="3" s="1"/>
  <c r="F120" i="3" a="1"/>
  <c r="F120" i="3" s="1"/>
  <c r="E120" i="3" a="1"/>
  <c r="E120" i="3" s="1"/>
  <c r="D120" i="3" a="1"/>
  <c r="D120" i="3" s="1"/>
  <c r="F119" i="3" a="1"/>
  <c r="F119" i="3" s="1"/>
  <c r="E119" i="3" a="1"/>
  <c r="E119" i="3" s="1"/>
  <c r="D119" i="3" a="1"/>
  <c r="D119" i="3" s="1"/>
  <c r="F118" i="3" a="1"/>
  <c r="F118" i="3" s="1"/>
  <c r="E118" i="3" a="1"/>
  <c r="E118" i="3" s="1"/>
  <c r="D118" i="3" a="1"/>
  <c r="D118" i="3" s="1"/>
  <c r="F117" i="3" a="1"/>
  <c r="F117" i="3" s="1"/>
  <c r="E117" i="3" a="1"/>
  <c r="E117" i="3" s="1"/>
  <c r="D117" i="3" a="1"/>
  <c r="D117" i="3" s="1"/>
  <c r="F116" i="3" a="1"/>
  <c r="F116" i="3" s="1"/>
  <c r="E116" i="3" a="1"/>
  <c r="E116" i="3" s="1"/>
  <c r="D116" i="3" a="1"/>
  <c r="D116" i="3" s="1"/>
  <c r="F115" i="3" a="1"/>
  <c r="F115" i="3" s="1"/>
  <c r="E115" i="3" a="1"/>
  <c r="E115" i="3" s="1"/>
  <c r="D115" i="3" a="1"/>
  <c r="D115" i="3" s="1"/>
  <c r="F114" i="3" a="1"/>
  <c r="F114" i="3" s="1"/>
  <c r="E114" i="3" a="1"/>
  <c r="E114" i="3" s="1"/>
  <c r="D114" i="3" a="1"/>
  <c r="D114" i="3" s="1"/>
  <c r="F113" i="3" a="1"/>
  <c r="F113" i="3" s="1"/>
  <c r="E113" i="3" a="1"/>
  <c r="E113" i="3" s="1"/>
  <c r="D113" i="3" a="1"/>
  <c r="D113" i="3" s="1"/>
  <c r="F112" i="3" a="1"/>
  <c r="F112" i="3" s="1"/>
  <c r="E112" i="3" a="1"/>
  <c r="E112" i="3" s="1"/>
  <c r="D112" i="3" a="1"/>
  <c r="D112" i="3" s="1"/>
  <c r="F111" i="3" a="1"/>
  <c r="F111" i="3" s="1"/>
  <c r="E111" i="3" a="1"/>
  <c r="E111" i="3" s="1"/>
  <c r="D111" i="3" a="1"/>
  <c r="D111" i="3" s="1"/>
  <c r="F110" i="3" a="1"/>
  <c r="F110" i="3" s="1"/>
  <c r="E110" i="3" a="1"/>
  <c r="E110" i="3" s="1"/>
  <c r="D110" i="3" a="1"/>
  <c r="D110" i="3" s="1"/>
  <c r="F109" i="3" a="1"/>
  <c r="F109" i="3" s="1"/>
  <c r="E109" i="3" a="1"/>
  <c r="E109" i="3" s="1"/>
  <c r="D109" i="3" a="1"/>
  <c r="D109" i="3" s="1"/>
  <c r="F108" i="3" a="1"/>
  <c r="F108" i="3" s="1"/>
  <c r="E108" i="3" a="1"/>
  <c r="E108" i="3" s="1"/>
  <c r="D108" i="3" a="1"/>
  <c r="D108" i="3"/>
  <c r="F107" i="3" a="1"/>
  <c r="F107" i="3" s="1"/>
  <c r="E107" i="3" a="1"/>
  <c r="E107" i="3" s="1"/>
  <c r="D107" i="3" a="1"/>
  <c r="D107" i="3" s="1"/>
  <c r="F106" i="3" a="1"/>
  <c r="F106" i="3" s="1"/>
  <c r="E106" i="3" a="1"/>
  <c r="E106" i="3" s="1"/>
  <c r="D106" i="3" a="1"/>
  <c r="D106" i="3" s="1"/>
  <c r="F105" i="3" a="1"/>
  <c r="F105" i="3"/>
  <c r="E105" i="3" a="1"/>
  <c r="E105" i="3" s="1"/>
  <c r="D105" i="3" a="1"/>
  <c r="D105" i="3" s="1"/>
  <c r="F104" i="3" a="1"/>
  <c r="F104" i="3" s="1"/>
  <c r="E104" i="3" a="1"/>
  <c r="E104" i="3" s="1"/>
  <c r="D104" i="3" a="1"/>
  <c r="D104" i="3" s="1"/>
  <c r="F103" i="3" a="1"/>
  <c r="F103" i="3" s="1"/>
  <c r="E103" i="3" a="1"/>
  <c r="E103" i="3"/>
  <c r="D103" i="3" a="1"/>
  <c r="D103" i="3" s="1"/>
  <c r="F102" i="3" a="1"/>
  <c r="F102" i="3" s="1"/>
  <c r="E102" i="3" a="1"/>
  <c r="E102" i="3" s="1"/>
  <c r="D102" i="3" a="1"/>
  <c r="D102" i="3"/>
  <c r="F101" i="3" a="1"/>
  <c r="F101" i="3"/>
  <c r="E101" i="3" a="1"/>
  <c r="E101" i="3" s="1"/>
  <c r="D101" i="3" a="1"/>
  <c r="D101" i="3" s="1"/>
  <c r="F100" i="3" a="1"/>
  <c r="F100" i="3" s="1"/>
  <c r="E100" i="3" a="1"/>
  <c r="E100" i="3"/>
  <c r="D100" i="3" a="1"/>
  <c r="D100" i="3" s="1"/>
  <c r="F99" i="3" a="1"/>
  <c r="F99" i="3" s="1"/>
  <c r="E99" i="3" a="1"/>
  <c r="E99" i="3" s="1"/>
  <c r="D99" i="3" a="1"/>
  <c r="D99" i="3" s="1"/>
  <c r="F98" i="3" a="1"/>
  <c r="F98" i="3" s="1"/>
  <c r="E98" i="3" a="1"/>
  <c r="E98" i="3" s="1"/>
  <c r="D98" i="3" a="1"/>
  <c r="D98" i="3"/>
  <c r="F97" i="3" a="1"/>
  <c r="F97" i="3" s="1"/>
  <c r="E97" i="3" a="1"/>
  <c r="E97" i="3"/>
  <c r="D97" i="3" a="1"/>
  <c r="D97" i="3" s="1"/>
  <c r="F96" i="3" a="1"/>
  <c r="F96" i="3" s="1"/>
  <c r="E96" i="3" a="1"/>
  <c r="E96" i="3" s="1"/>
  <c r="D96" i="3" a="1"/>
  <c r="D96" i="3"/>
  <c r="F95" i="3" a="1"/>
  <c r="F95" i="3" s="1"/>
  <c r="E95" i="3" a="1"/>
  <c r="E95" i="3" s="1"/>
  <c r="D95" i="3" a="1"/>
  <c r="D95" i="3" s="1"/>
  <c r="F94" i="3" a="1"/>
  <c r="F94" i="3" s="1"/>
  <c r="E94" i="3" a="1"/>
  <c r="E94" i="3" s="1"/>
  <c r="D94" i="3" a="1"/>
  <c r="D94" i="3" s="1"/>
  <c r="F93" i="3" a="1"/>
  <c r="F93" i="3" s="1"/>
  <c r="E93" i="3" a="1"/>
  <c r="E93" i="3" s="1"/>
  <c r="D93" i="3" a="1"/>
  <c r="D93" i="3" s="1"/>
  <c r="F92" i="3" a="1"/>
  <c r="F92" i="3" s="1"/>
  <c r="E92" i="3" a="1"/>
  <c r="E92" i="3" s="1"/>
  <c r="D92" i="3" a="1"/>
  <c r="D92" i="3" s="1"/>
  <c r="F91" i="3" a="1"/>
  <c r="F91" i="3" s="1"/>
  <c r="E91" i="3" a="1"/>
  <c r="E91" i="3"/>
  <c r="D91" i="3" a="1"/>
  <c r="D91" i="3" s="1"/>
  <c r="F90" i="3" a="1"/>
  <c r="F90" i="3" s="1"/>
  <c r="E90" i="3" a="1"/>
  <c r="E90" i="3" s="1"/>
  <c r="D90" i="3" a="1"/>
  <c r="D90" i="3" s="1"/>
  <c r="F89" i="3" a="1"/>
  <c r="F89" i="3" s="1"/>
  <c r="E89" i="3" a="1"/>
  <c r="E89" i="3" s="1"/>
  <c r="D89" i="3" a="1"/>
  <c r="D89" i="3" s="1"/>
  <c r="F88" i="3" a="1"/>
  <c r="F88" i="3" s="1"/>
  <c r="E88" i="3" a="1"/>
  <c r="E88" i="3" s="1"/>
  <c r="D88" i="3" a="1"/>
  <c r="D88" i="3" s="1"/>
  <c r="F87" i="3" a="1"/>
  <c r="F87" i="3" s="1"/>
  <c r="E87" i="3" a="1"/>
  <c r="E87" i="3"/>
  <c r="D87" i="3" a="1"/>
  <c r="D87" i="3" s="1"/>
  <c r="F86" i="3" a="1"/>
  <c r="F86" i="3" s="1"/>
  <c r="E86" i="3" a="1"/>
  <c r="E86" i="3" s="1"/>
  <c r="D86" i="3" a="1"/>
  <c r="D86" i="3" s="1"/>
  <c r="F85" i="3" a="1"/>
  <c r="F85" i="3" s="1"/>
  <c r="E85" i="3" a="1"/>
  <c r="E85" i="3" s="1"/>
  <c r="D85" i="3" a="1"/>
  <c r="D85" i="3" s="1"/>
  <c r="F84" i="3" a="1"/>
  <c r="F84" i="3" s="1"/>
  <c r="E84" i="3" a="1"/>
  <c r="E84" i="3"/>
  <c r="D84" i="3" a="1"/>
  <c r="D84" i="3" s="1"/>
  <c r="F83" i="3" a="1"/>
  <c r="F83" i="3" s="1"/>
  <c r="E83" i="3" a="1"/>
  <c r="E83" i="3" s="1"/>
  <c r="D83" i="3" a="1"/>
  <c r="D83" i="3" s="1"/>
  <c r="F82" i="3" a="1"/>
  <c r="F82" i="3" s="1"/>
  <c r="E82" i="3" a="1"/>
  <c r="E82" i="3" s="1"/>
  <c r="D82" i="3" a="1"/>
  <c r="D82" i="3"/>
  <c r="F81" i="3" a="1"/>
  <c r="F81" i="3" s="1"/>
  <c r="E81" i="3" a="1"/>
  <c r="E81" i="3" s="1"/>
  <c r="D81" i="3" a="1"/>
  <c r="D81" i="3" s="1"/>
  <c r="F80" i="3" a="1"/>
  <c r="F80" i="3" s="1"/>
  <c r="E80" i="3" a="1"/>
  <c r="E80" i="3" s="1"/>
  <c r="D80" i="3" a="1"/>
  <c r="D80" i="3" s="1"/>
  <c r="F79" i="3" a="1"/>
  <c r="F79" i="3" s="1"/>
  <c r="E79" i="3" a="1"/>
  <c r="E79" i="3" s="1"/>
  <c r="D79" i="3" a="1"/>
  <c r="D79" i="3" s="1"/>
  <c r="F78" i="3" a="1"/>
  <c r="F78" i="3" s="1"/>
  <c r="E78" i="3" a="1"/>
  <c r="E78" i="3" s="1"/>
  <c r="D78" i="3" a="1"/>
  <c r="D78" i="3" s="1"/>
  <c r="F77" i="3" a="1"/>
  <c r="F77" i="3"/>
  <c r="E77" i="3" a="1"/>
  <c r="E77" i="3" s="1"/>
  <c r="D77" i="3" a="1"/>
  <c r="D77" i="3" s="1"/>
  <c r="F76" i="3" a="1"/>
  <c r="F76" i="3" s="1"/>
  <c r="E76" i="3" a="1"/>
  <c r="E76" i="3" s="1"/>
  <c r="D76" i="3" a="1"/>
  <c r="D76" i="3"/>
  <c r="F75" i="3" a="1"/>
  <c r="F75" i="3" s="1"/>
  <c r="E75" i="3" a="1"/>
  <c r="E75" i="3" s="1"/>
  <c r="D75" i="3" a="1"/>
  <c r="D75" i="3" s="1"/>
  <c r="F74" i="3" a="1"/>
  <c r="F74" i="3" s="1"/>
  <c r="E74" i="3" a="1"/>
  <c r="E74" i="3" s="1"/>
  <c r="D74" i="3" a="1"/>
  <c r="D74" i="3" s="1"/>
  <c r="F73" i="3" a="1"/>
  <c r="F73" i="3"/>
  <c r="E73" i="3" a="1"/>
  <c r="E73" i="3" s="1"/>
  <c r="D73" i="3" a="1"/>
  <c r="D73" i="3" s="1"/>
  <c r="F72" i="3" a="1"/>
  <c r="F72" i="3" s="1"/>
  <c r="E72" i="3" a="1"/>
  <c r="E72" i="3" s="1"/>
  <c r="D72" i="3" a="1"/>
  <c r="D72" i="3" s="1"/>
  <c r="F71" i="3" a="1"/>
  <c r="F71" i="3" s="1"/>
  <c r="E71" i="3" a="1"/>
  <c r="E71" i="3"/>
  <c r="D71" i="3" a="1"/>
  <c r="D71" i="3" s="1"/>
  <c r="F70" i="3" a="1"/>
  <c r="F70" i="3" s="1"/>
  <c r="E70" i="3" a="1"/>
  <c r="E70" i="3" s="1"/>
  <c r="D70" i="3" a="1"/>
  <c r="D70" i="3" s="1"/>
  <c r="F69" i="3" a="1"/>
  <c r="F69" i="3"/>
  <c r="E69" i="3" a="1"/>
  <c r="E69" i="3" s="1"/>
  <c r="D69" i="3" a="1"/>
  <c r="D69" i="3" s="1"/>
  <c r="F68" i="3" a="1"/>
  <c r="F68" i="3" s="1"/>
  <c r="E68" i="3" a="1"/>
  <c r="E68" i="3" s="1"/>
  <c r="D68" i="3" a="1"/>
  <c r="D68" i="3" s="1"/>
  <c r="F67" i="3" a="1"/>
  <c r="F67" i="3"/>
  <c r="E67" i="3" a="1"/>
  <c r="E67" i="3" s="1"/>
  <c r="D67" i="3" a="1"/>
  <c r="D67" i="3" s="1"/>
  <c r="F66" i="3" a="1"/>
  <c r="F66" i="3" s="1"/>
  <c r="E66" i="3" a="1"/>
  <c r="E66" i="3" s="1"/>
  <c r="D66" i="3" a="1"/>
  <c r="D66" i="3" s="1"/>
  <c r="F65" i="3" a="1"/>
  <c r="F65" i="3" s="1"/>
  <c r="E65" i="3" a="1"/>
  <c r="E65" i="3" s="1"/>
  <c r="D65" i="3" a="1"/>
  <c r="D65" i="3"/>
  <c r="F64" i="3" a="1"/>
  <c r="F64" i="3" s="1"/>
  <c r="E64" i="3" a="1"/>
  <c r="E64" i="3" s="1"/>
  <c r="D64" i="3" a="1"/>
  <c r="D64" i="3" s="1"/>
  <c r="F63" i="3" a="1"/>
  <c r="F63" i="3" s="1"/>
  <c r="E63" i="3" a="1"/>
  <c r="E63" i="3" s="1"/>
  <c r="D63" i="3" a="1"/>
  <c r="D63" i="3"/>
  <c r="F62" i="3" a="1"/>
  <c r="F62" i="3" s="1"/>
  <c r="E62" i="3" a="1"/>
  <c r="E62" i="3" s="1"/>
  <c r="D62" i="3" a="1"/>
  <c r="D62" i="3" s="1"/>
  <c r="F61" i="3" a="1"/>
  <c r="F61" i="3" s="1"/>
  <c r="E61" i="3" a="1"/>
  <c r="E61" i="3" s="1"/>
  <c r="D61" i="3" a="1"/>
  <c r="D61" i="3"/>
  <c r="F60" i="3" a="1"/>
  <c r="F60" i="3" s="1"/>
  <c r="E60" i="3" a="1"/>
  <c r="E60" i="3" s="1"/>
  <c r="D60" i="3" a="1"/>
  <c r="D60" i="3" s="1"/>
  <c r="F59" i="3" a="1"/>
  <c r="F59" i="3" s="1"/>
  <c r="E59" i="3" a="1"/>
  <c r="E59" i="3" s="1"/>
  <c r="D59" i="3" a="1"/>
  <c r="D59" i="3"/>
  <c r="F58" i="3" a="1"/>
  <c r="F58" i="3" s="1"/>
  <c r="E58" i="3" a="1"/>
  <c r="E58" i="3" s="1"/>
  <c r="D58" i="3" a="1"/>
  <c r="D58" i="3" s="1"/>
  <c r="F57" i="3" a="1"/>
  <c r="F57" i="3" s="1"/>
  <c r="E57" i="3" a="1"/>
  <c r="E57" i="3" s="1"/>
  <c r="D57" i="3" a="1"/>
  <c r="D57" i="3"/>
  <c r="F56" i="3" a="1"/>
  <c r="F56" i="3" s="1"/>
  <c r="E56" i="3" a="1"/>
  <c r="E56" i="3" s="1"/>
  <c r="D56" i="3" a="1"/>
  <c r="D56" i="3" s="1"/>
  <c r="F55" i="3" a="1"/>
  <c r="F55" i="3" s="1"/>
  <c r="E55" i="3" a="1"/>
  <c r="E55" i="3" s="1"/>
  <c r="D55" i="3" a="1"/>
  <c r="D55" i="3" s="1"/>
  <c r="F54" i="3" a="1"/>
  <c r="F54" i="3" s="1"/>
  <c r="E54" i="3" a="1"/>
  <c r="E54" i="3"/>
  <c r="D54" i="3" a="1"/>
  <c r="D54" i="3" s="1"/>
  <c r="F53" i="3" a="1"/>
  <c r="F53" i="3" s="1"/>
  <c r="E53" i="3" a="1"/>
  <c r="E53" i="3" s="1"/>
  <c r="D53" i="3" a="1"/>
  <c r="D53" i="3" s="1"/>
  <c r="F52" i="3" a="1"/>
  <c r="F52" i="3" s="1"/>
  <c r="E52" i="3" a="1"/>
  <c r="E52" i="3"/>
  <c r="D52" i="3" a="1"/>
  <c r="D52" i="3" s="1"/>
  <c r="F51" i="3" a="1"/>
  <c r="F51" i="3" s="1"/>
  <c r="E51" i="3" a="1"/>
  <c r="E51" i="3" s="1"/>
  <c r="D51" i="3" a="1"/>
  <c r="D51" i="3" s="1"/>
  <c r="F50" i="3" a="1"/>
  <c r="F50" i="3" s="1"/>
  <c r="E50" i="3" a="1"/>
  <c r="E50" i="3"/>
  <c r="D50" i="3" a="1"/>
  <c r="D50" i="3" s="1"/>
  <c r="F49" i="3" a="1"/>
  <c r="F49" i="3" s="1"/>
  <c r="E49" i="3" a="1"/>
  <c r="E49" i="3" s="1"/>
  <c r="D49" i="3" a="1"/>
  <c r="D49" i="3"/>
  <c r="F48" i="3" a="1"/>
  <c r="F48" i="3" s="1"/>
  <c r="E48" i="3" a="1"/>
  <c r="E48" i="3"/>
  <c r="D48" i="3" a="1"/>
  <c r="D48" i="3" s="1"/>
  <c r="F47" i="3" a="1"/>
  <c r="F47" i="3" s="1"/>
  <c r="E47" i="3" a="1"/>
  <c r="E47" i="3" s="1"/>
  <c r="D47" i="3" a="1"/>
  <c r="D47" i="3" s="1"/>
  <c r="F46" i="3" a="1"/>
  <c r="F46" i="3" s="1"/>
  <c r="E46" i="3" a="1"/>
  <c r="E46" i="3"/>
  <c r="D46" i="3" a="1"/>
  <c r="D46" i="3" s="1"/>
  <c r="F45" i="3" a="1"/>
  <c r="F45" i="3" s="1"/>
  <c r="E45" i="3" a="1"/>
  <c r="E45" i="3" s="1"/>
  <c r="D45" i="3" a="1"/>
  <c r="D45" i="3"/>
  <c r="F44" i="3" a="1"/>
  <c r="F44" i="3" s="1"/>
  <c r="E44" i="3" a="1"/>
  <c r="E44" i="3"/>
  <c r="D44" i="3" a="1"/>
  <c r="D44" i="3" s="1"/>
  <c r="F43" i="3" a="1"/>
  <c r="F43" i="3" s="1"/>
  <c r="E43" i="3" a="1"/>
  <c r="E43" i="3" s="1"/>
  <c r="D43" i="3" a="1"/>
  <c r="D43" i="3"/>
  <c r="F42" i="3" a="1"/>
  <c r="F42" i="3" s="1"/>
  <c r="E42" i="3" a="1"/>
  <c r="E42" i="3"/>
  <c r="D42" i="3" a="1"/>
  <c r="D42" i="3" s="1"/>
  <c r="F41" i="3" a="1"/>
  <c r="F41" i="3" s="1"/>
  <c r="E41" i="3" a="1"/>
  <c r="E41" i="3" s="1"/>
  <c r="D41" i="3" a="1"/>
  <c r="D41" i="3"/>
  <c r="F40" i="3" a="1"/>
  <c r="F40" i="3" s="1"/>
  <c r="E40" i="3" a="1"/>
  <c r="E40" i="3" s="1"/>
  <c r="D40" i="3" a="1"/>
  <c r="D40" i="3" s="1"/>
  <c r="F39" i="3" a="1"/>
  <c r="F39" i="3" s="1"/>
  <c r="E39" i="3" a="1"/>
  <c r="E39" i="3" s="1"/>
  <c r="D39" i="3" a="1"/>
  <c r="D39" i="3" s="1"/>
  <c r="F38" i="3" a="1"/>
  <c r="F38" i="3" s="1"/>
  <c r="E38" i="3" a="1"/>
  <c r="E38" i="3"/>
  <c r="D38" i="3" a="1"/>
  <c r="D38" i="3" s="1"/>
  <c r="F37" i="3" a="1"/>
  <c r="F37" i="3" s="1"/>
  <c r="E37" i="3" a="1"/>
  <c r="E37" i="3" s="1"/>
  <c r="D37" i="3" a="1"/>
  <c r="D37" i="3"/>
  <c r="F36" i="3" a="1"/>
  <c r="F36" i="3" s="1"/>
  <c r="E36" i="3" a="1"/>
  <c r="E36" i="3" s="1"/>
  <c r="D36" i="3" a="1"/>
  <c r="D36" i="3" s="1"/>
  <c r="F35" i="3" a="1"/>
  <c r="F35" i="3" s="1"/>
  <c r="E35" i="3" a="1"/>
  <c r="E35" i="3" s="1"/>
  <c r="D35" i="3" a="1"/>
  <c r="D35" i="3" s="1"/>
  <c r="F34" i="3" a="1"/>
  <c r="F34" i="3" s="1"/>
  <c r="E34" i="3" a="1"/>
  <c r="E34" i="3"/>
  <c r="D34" i="3" a="1"/>
  <c r="D34" i="3" s="1"/>
  <c r="F33" i="3" a="1"/>
  <c r="F33" i="3" s="1"/>
  <c r="E33" i="3" a="1"/>
  <c r="E33" i="3" s="1"/>
  <c r="D33" i="3" a="1"/>
  <c r="D33" i="3" s="1"/>
  <c r="F32" i="3" a="1"/>
  <c r="F32" i="3" s="1"/>
  <c r="E32" i="3" a="1"/>
  <c r="E32" i="3" s="1"/>
  <c r="D32" i="3" a="1"/>
  <c r="D32" i="3" s="1"/>
  <c r="F31" i="3" a="1"/>
  <c r="F31" i="3"/>
  <c r="E31" i="3" a="1"/>
  <c r="E31" i="3" s="1"/>
  <c r="D31" i="3" a="1"/>
  <c r="D31" i="3" s="1"/>
  <c r="F30" i="3" a="1"/>
  <c r="F30" i="3" s="1"/>
  <c r="E30" i="3" a="1"/>
  <c r="E30" i="3" s="1"/>
  <c r="D30" i="3" a="1"/>
  <c r="D30" i="3" s="1"/>
  <c r="F29" i="3" a="1"/>
  <c r="F29" i="3" s="1"/>
  <c r="E29" i="3" a="1"/>
  <c r="E29" i="3" s="1"/>
  <c r="D29" i="3" a="1"/>
  <c r="D29" i="3" s="1"/>
  <c r="F28" i="3" a="1"/>
  <c r="F28" i="3" s="1"/>
  <c r="E28" i="3" a="1"/>
  <c r="E28" i="3" s="1"/>
  <c r="D28" i="3" a="1"/>
  <c r="D28" i="3" s="1"/>
  <c r="F27" i="3" a="1"/>
  <c r="F27" i="3"/>
  <c r="E27" i="3" a="1"/>
  <c r="E27" i="3" s="1"/>
  <c r="D27" i="3" a="1"/>
  <c r="D27" i="3" s="1"/>
  <c r="F26" i="3" a="1"/>
  <c r="F26" i="3" s="1"/>
  <c r="E26" i="3" a="1"/>
  <c r="E26" i="3" s="1"/>
  <c r="D26" i="3" a="1"/>
  <c r="D26" i="3" s="1"/>
  <c r="F25" i="3" a="1"/>
  <c r="F25" i="3" s="1"/>
  <c r="E25" i="3" a="1"/>
  <c r="E25" i="3"/>
  <c r="D25" i="3" a="1"/>
  <c r="D25" i="3" s="1"/>
  <c r="F24" i="3" a="1"/>
  <c r="F24" i="3" s="1"/>
  <c r="E24" i="3" a="1"/>
  <c r="E24" i="3" s="1"/>
  <c r="D24" i="3" a="1"/>
  <c r="D24" i="3"/>
  <c r="F23" i="3" a="1"/>
  <c r="F23" i="3"/>
  <c r="E23" i="3" a="1"/>
  <c r="E23" i="3" s="1"/>
  <c r="D23" i="3" a="1"/>
  <c r="D23" i="3" s="1"/>
  <c r="F22" i="3" a="1"/>
  <c r="F22" i="3" s="1"/>
  <c r="E22" i="3" a="1"/>
  <c r="E22" i="3" s="1"/>
  <c r="D22" i="3" a="1"/>
  <c r="D22" i="3" s="1"/>
  <c r="F21" i="3" a="1"/>
  <c r="F21" i="3"/>
  <c r="E21" i="3" a="1"/>
  <c r="E21" i="3" s="1"/>
  <c r="D21" i="3" a="1"/>
  <c r="D21" i="3" s="1"/>
  <c r="F20" i="3" a="1"/>
  <c r="F20" i="3" s="1"/>
  <c r="E20" i="3" a="1"/>
  <c r="E20" i="3" s="1"/>
  <c r="D20" i="3" a="1"/>
  <c r="D20" i="3" s="1"/>
  <c r="F19" i="3" a="1"/>
  <c r="F19" i="3"/>
  <c r="E19" i="3" a="1"/>
  <c r="E19" i="3" s="1"/>
  <c r="D19" i="3" a="1"/>
  <c r="D19" i="3" s="1"/>
  <c r="F18" i="3" a="1"/>
  <c r="F18" i="3" s="1"/>
  <c r="E18" i="3" a="1"/>
  <c r="E18" i="3" s="1"/>
  <c r="D18" i="3" a="1"/>
  <c r="D18" i="3" s="1"/>
  <c r="F17" i="3" a="1"/>
  <c r="F17" i="3"/>
  <c r="E17" i="3" a="1"/>
  <c r="E17" i="3" s="1"/>
  <c r="D17" i="3" a="1"/>
  <c r="D17" i="3" s="1"/>
  <c r="F16" i="3" a="1"/>
  <c r="F16" i="3" s="1"/>
  <c r="E16" i="3" a="1"/>
  <c r="E16" i="3"/>
  <c r="D16" i="3" a="1"/>
  <c r="D16" i="3" s="1"/>
  <c r="F15" i="3" a="1"/>
  <c r="F15" i="3" s="1"/>
  <c r="E15" i="3" a="1"/>
  <c r="E15" i="3" s="1"/>
  <c r="D15" i="3" a="1"/>
  <c r="D15" i="3" s="1"/>
  <c r="F14" i="3" a="1"/>
  <c r="F14" i="3"/>
  <c r="E14" i="3" a="1"/>
  <c r="E14" i="3"/>
  <c r="D14" i="3" a="1"/>
  <c r="D14" i="3" s="1"/>
  <c r="F13" i="3" a="1"/>
  <c r="F13" i="3" s="1"/>
  <c r="E13" i="3" a="1"/>
  <c r="E13" i="3"/>
  <c r="D13" i="3" a="1"/>
  <c r="D13" i="3"/>
  <c r="F12" i="3" a="1"/>
  <c r="F12" i="3" s="1"/>
  <c r="E12" i="3" a="1"/>
  <c r="E12" i="3" s="1"/>
  <c r="D12" i="3" a="1"/>
  <c r="D12" i="3" s="1"/>
  <c r="F11" i="3" a="1"/>
  <c r="F11" i="3"/>
  <c r="E11" i="3" a="1"/>
  <c r="E11" i="3" s="1"/>
  <c r="D11" i="3" a="1"/>
  <c r="D11" i="3"/>
  <c r="F10" i="3" a="1"/>
  <c r="F10" i="3" s="1"/>
  <c r="E10" i="3" a="1"/>
  <c r="E10" i="3" s="1"/>
  <c r="D10" i="3" a="1"/>
  <c r="D10" i="3" s="1"/>
  <c r="F9" i="3" a="1"/>
  <c r="F9" i="3"/>
  <c r="E9" i="3" a="1"/>
  <c r="E9" i="3" s="1"/>
  <c r="D9" i="3" a="1"/>
  <c r="D9" i="3" s="1"/>
  <c r="F8" i="3" a="1"/>
  <c r="F8" i="3" s="1"/>
  <c r="E8" i="3" a="1"/>
  <c r="E8" i="3" s="1"/>
  <c r="D8" i="3" a="1"/>
  <c r="D8" i="3" s="1"/>
  <c r="F7" i="3" a="1"/>
  <c r="F7" i="3"/>
  <c r="E7" i="3" a="1"/>
  <c r="E7" i="3" s="1"/>
  <c r="D7" i="3" a="1"/>
  <c r="D7" i="3" s="1"/>
  <c r="F6" i="3" a="1"/>
  <c r="F6" i="3" s="1"/>
  <c r="E6" i="3" a="1"/>
  <c r="E6" i="3"/>
  <c r="D6" i="3" a="1"/>
  <c r="D6" i="3" s="1"/>
  <c r="F5" i="3" a="1"/>
  <c r="F5" i="3"/>
  <c r="E5" i="3" a="1"/>
  <c r="E5" i="3" s="1"/>
  <c r="D5" i="3" a="1"/>
  <c r="D5" i="3" s="1"/>
  <c r="F4" i="3" a="1"/>
  <c r="F4" i="3" s="1"/>
  <c r="E4" i="3" a="1"/>
  <c r="E4" i="3" s="1"/>
  <c r="D4" i="3" a="1"/>
  <c r="D4" i="3"/>
  <c r="F3" i="3" a="1"/>
  <c r="F3" i="3" s="1"/>
  <c r="E3" i="3" a="1"/>
  <c r="E3" i="3" s="1"/>
  <c r="D3" i="3" a="1"/>
  <c r="D3" i="3" s="1"/>
  <c r="F2" i="3" a="1"/>
  <c r="F2" i="3" s="1"/>
  <c r="E2" i="3" a="1"/>
  <c r="E2" i="3"/>
  <c r="D2" i="3" a="1"/>
  <c r="D2" i="3" s="1"/>
</calcChain>
</file>

<file path=xl/sharedStrings.xml><?xml version="1.0" encoding="utf-8"?>
<sst xmlns="http://schemas.openxmlformats.org/spreadsheetml/2006/main" count="6807" uniqueCount="1482">
  <si>
    <t>Dataset</t>
  </si>
  <si>
    <t>Date Range</t>
  </si>
  <si>
    <t>Source</t>
  </si>
  <si>
    <t>Excluded dates</t>
  </si>
  <si>
    <t>Notes</t>
  </si>
  <si>
    <t>WHR</t>
  </si>
  <si>
    <t>2015-2025</t>
  </si>
  <si>
    <t>link</t>
  </si>
  <si>
    <t>My happiness dataset</t>
  </si>
  <si>
    <t>7/2025-3/2026</t>
  </si>
  <si>
    <t>7/1/2025-7/3/2025; 1/5/2026-1/15/2026</t>
  </si>
  <si>
    <t>US date format</t>
  </si>
  <si>
    <t>LookerStudio dashboard</t>
  </si>
  <si>
    <t>Year</t>
  </si>
  <si>
    <t>Happiness Ranking</t>
  </si>
  <si>
    <t>Country</t>
  </si>
  <si>
    <t>Life evaluation</t>
  </si>
  <si>
    <t>Change</t>
  </si>
  <si>
    <t>Inequality</t>
  </si>
  <si>
    <t>Social support</t>
  </si>
  <si>
    <t>GDP per capita</t>
  </si>
  <si>
    <t xml:space="preserve">Healthy life expectancy </t>
  </si>
  <si>
    <t>Freedom</t>
  </si>
  <si>
    <t>Generosity</t>
  </si>
  <si>
    <t>Perception of corruption</t>
  </si>
  <si>
    <t>Positive emotions</t>
  </si>
  <si>
    <t>Negative emotions</t>
  </si>
  <si>
    <t>Donated</t>
  </si>
  <si>
    <t>Volunteered</t>
  </si>
  <si>
    <t>Helped a stranger</t>
  </si>
  <si>
    <t>Denmark</t>
  </si>
  <si>
    <t>−0.167</t>
  </si>
  <si>
    <t>Switzerland</t>
  </si>
  <si>
    <t>−0.141</t>
  </si>
  <si>
    <t>Iceland</t>
  </si>
  <si>
    <t>Norway</t>
  </si>
  <si>
    <t>−0.157</t>
  </si>
  <si>
    <t>Finland</t>
  </si>
  <si>
    <t>Canada</t>
  </si>
  <si>
    <t>−0.073</t>
  </si>
  <si>
    <t>Netherlands</t>
  </si>
  <si>
    <t>−0.173</t>
  </si>
  <si>
    <t>New Zealand</t>
  </si>
  <si>
    <t>Australia</t>
  </si>
  <si>
    <t>−0.037</t>
  </si>
  <si>
    <t>Sweden</t>
  </si>
  <si>
    <t>−0.189</t>
  </si>
  <si>
    <t>Israel</t>
  </si>
  <si>
    <t>−0.034</t>
  </si>
  <si>
    <t>Austria</t>
  </si>
  <si>
    <t>−0.250</t>
  </si>
  <si>
    <t>United States</t>
  </si>
  <si>
    <t>Costa Rica</t>
  </si>
  <si>
    <t>−0.170</t>
  </si>
  <si>
    <t>Brazil</t>
  </si>
  <si>
    <r>
      <rPr>
        <b/>
        <u/>
        <sz val="12"/>
        <color rgb="FF1155CC"/>
        <rFont val="Calibri"/>
        <family val="2"/>
        <scheme val="minor"/>
      </rPr>
      <t>Belgium</t>
    </r>
  </si>
  <si>
    <t>−0.038</t>
  </si>
  <si>
    <t>Ireland</t>
  </si>
  <si>
    <t>−0.169</t>
  </si>
  <si>
    <t>Luxembourg</t>
  </si>
  <si>
    <t>−0.183</t>
  </si>
  <si>
    <t>Mexico</t>
  </si>
  <si>
    <t>−0.310</t>
  </si>
  <si>
    <t>Singapore</t>
  </si>
  <si>
    <t>United Kingdom</t>
  </si>
  <si>
    <t>−0.158</t>
  </si>
  <si>
    <t>Chile</t>
  </si>
  <si>
    <t>Panama</t>
  </si>
  <si>
    <t>−0.442</t>
  </si>
  <si>
    <t>Argentina</t>
  </si>
  <si>
    <t>Czechia</t>
  </si>
  <si>
    <t>United Arab Emirates</t>
  </si>
  <si>
    <t>−0.571</t>
  </si>
  <si>
    <t>Uruguay</t>
  </si>
  <si>
    <t>Malta</t>
  </si>
  <si>
    <t>Colombia</t>
  </si>
  <si>
    <t>France</t>
  </si>
  <si>
    <t>−0.286</t>
  </si>
  <si>
    <t>Thailand</t>
  </si>
  <si>
    <t>Saudi Arabia</t>
  </si>
  <si>
    <t>−0.101</t>
  </si>
  <si>
    <t>Taiwan Province of China</t>
  </si>
  <si>
    <r>
      <rPr>
        <b/>
        <u/>
        <sz val="12"/>
        <color rgb="FF1155CC"/>
        <rFont val="Calibri"/>
        <family val="2"/>
        <scheme val="minor"/>
      </rPr>
      <t>Qatar</t>
    </r>
  </si>
  <si>
    <t>−0.291</t>
  </si>
  <si>
    <r>
      <rPr>
        <b/>
        <u/>
        <sz val="12"/>
        <color rgb="FF1155CC"/>
        <rFont val="Calibri"/>
        <family val="2"/>
        <scheme val="minor"/>
      </rPr>
      <t>Spain</t>
    </r>
  </si>
  <si>
    <t>Algeria</t>
  </si>
  <si>
    <t>Guatemala</t>
  </si>
  <si>
    <t>Suriname</t>
  </si>
  <si>
    <t>Kuwait</t>
  </si>
  <si>
    <t>−0.276</t>
  </si>
  <si>
    <t>Bahrain</t>
  </si>
  <si>
    <t>Trinidad and Tobago</t>
  </si>
  <si>
    <t>−0.351</t>
  </si>
  <si>
    <t>Venezuela</t>
  </si>
  <si>
    <t>−0.955</t>
  </si>
  <si>
    <t>Slovakia</t>
  </si>
  <si>
    <t>El Salvador</t>
  </si>
  <si>
    <t>Malaysia</t>
  </si>
  <si>
    <t>Nicaragua</t>
  </si>
  <si>
    <t>Uzbekistan</t>
  </si>
  <si>
    <t>Italy</t>
  </si>
  <si>
    <t>−0.044</t>
  </si>
  <si>
    <t>Ecuador</t>
  </si>
  <si>
    <t>Belize</t>
  </si>
  <si>
    <t>Japan</t>
  </si>
  <si>
    <t>−0.143</t>
  </si>
  <si>
    <t>Kazakhstan</t>
  </si>
  <si>
    <r>
      <rPr>
        <b/>
        <u/>
        <sz val="12"/>
        <color rgb="FF1155CC"/>
        <rFont val="Calibri"/>
        <family val="2"/>
        <scheme val="minor"/>
      </rPr>
      <t>Republic of Moldova</t>
    </r>
  </si>
  <si>
    <t>Russian Federation</t>
  </si>
  <si>
    <t>Poland</t>
  </si>
  <si>
    <t>Republic of Korea</t>
  </si>
  <si>
    <t>−0.432</t>
  </si>
  <si>
    <t>Bolivia</t>
  </si>
  <si>
    <t>−0.035</t>
  </si>
  <si>
    <t>Lithuania</t>
  </si>
  <si>
    <t>Belarus</t>
  </si>
  <si>
    <t>Slovenia</t>
  </si>
  <si>
    <t>−0.292</t>
  </si>
  <si>
    <t>Peru</t>
  </si>
  <si>
    <t>−0.033</t>
  </si>
  <si>
    <t>Turkmenistan</t>
  </si>
  <si>
    <t>Mauritius</t>
  </si>
  <si>
    <t>Libya</t>
  </si>
  <si>
    <t>Latvia</t>
  </si>
  <si>
    <t>Cyprus</t>
  </si>
  <si>
    <t>−0.920</t>
  </si>
  <si>
    <t>Paraguay</t>
  </si>
  <si>
    <t>−0.241</t>
  </si>
  <si>
    <t>Romania</t>
  </si>
  <si>
    <t>Estonia</t>
  </si>
  <si>
    <t>Jamaica</t>
  </si>
  <si>
    <t>Croatia</t>
  </si>
  <si>
    <t>Hong Kong SAR of China</t>
  </si>
  <si>
    <t>−0.065</t>
  </si>
  <si>
    <t>Somalia</t>
  </si>
  <si>
    <t>Kosovo</t>
  </si>
  <si>
    <t>Türkiye</t>
  </si>
  <si>
    <t>Indonesia</t>
  </si>
  <si>
    <t>Jordan</t>
  </si>
  <si>
    <t>−0.111</t>
  </si>
  <si>
    <t>Azerbaijan</t>
  </si>
  <si>
    <t>Philippines</t>
  </si>
  <si>
    <t>China</t>
  </si>
  <si>
    <t>Bhutan</t>
  </si>
  <si>
    <t>Kyrgyzstan</t>
  </si>
  <si>
    <t>Serbia</t>
  </si>
  <si>
    <t>Bosnia and Herzegovina</t>
  </si>
  <si>
    <t>Montenegro</t>
  </si>
  <si>
    <t>−0.138</t>
  </si>
  <si>
    <t>Dominican Republic</t>
  </si>
  <si>
    <t>Morocco</t>
  </si>
  <si>
    <t>Hungary</t>
  </si>
  <si>
    <t>Pakistan</t>
  </si>
  <si>
    <t>−0.160</t>
  </si>
  <si>
    <t>Lebanon</t>
  </si>
  <si>
    <t>Portugal</t>
  </si>
  <si>
    <t>North Macedonia</t>
  </si>
  <si>
    <t>Viet Nam</t>
  </si>
  <si>
    <t>−0.472</t>
  </si>
  <si>
    <t>Tunisia</t>
  </si>
  <si>
    <t>Greece</t>
  </si>
  <si>
    <t>−0.402</t>
  </si>
  <si>
    <t>Tajikistan</t>
  </si>
  <si>
    <t>Mongolia</t>
  </si>
  <si>
    <t>Lao PDR</t>
  </si>
  <si>
    <t>Nigeria</t>
  </si>
  <si>
    <t>−0.373</t>
  </si>
  <si>
    <t>Honduras</t>
  </si>
  <si>
    <t>−0.271</t>
  </si>
  <si>
    <t>Iran</t>
  </si>
  <si>
    <t>Zambia</t>
  </si>
  <si>
    <t>−0.211</t>
  </si>
  <si>
    <t>Nepal</t>
  </si>
  <si>
    <t>State of Palestine</t>
  </si>
  <si>
    <t>Albania</t>
  </si>
  <si>
    <t>−0.895</t>
  </si>
  <si>
    <t>Bangladesh</t>
  </si>
  <si>
    <t>−0.161</t>
  </si>
  <si>
    <t>Sierra Leone</t>
  </si>
  <si>
    <t>Iraq</t>
  </si>
  <si>
    <t>−0.242</t>
  </si>
  <si>
    <t>Namibia</t>
  </si>
  <si>
    <t>Cameroon</t>
  </si>
  <si>
    <t>Ethiopia</t>
  </si>
  <si>
    <t>−0.053</t>
  </si>
  <si>
    <t>South Africa</t>
  </si>
  <si>
    <t>−0.504</t>
  </si>
  <si>
    <t>Sri Lanka</t>
  </si>
  <si>
    <t>India</t>
  </si>
  <si>
    <t>−0.368</t>
  </si>
  <si>
    <t>Myanmar</t>
  </si>
  <si>
    <t>Egypt</t>
  </si>
  <si>
    <t>Armenia</t>
  </si>
  <si>
    <t>Kenya</t>
  </si>
  <si>
    <t>−0.047</t>
  </si>
  <si>
    <t>Ukraine</t>
  </si>
  <si>
    <t>−0.733</t>
  </si>
  <si>
    <t>Ghana</t>
  </si>
  <si>
    <t>−0.815</t>
  </si>
  <si>
    <t>DR Congo</t>
  </si>
  <si>
    <t>−0.306</t>
  </si>
  <si>
    <t>Georgia</t>
  </si>
  <si>
    <t>Congo</t>
  </si>
  <si>
    <t>−0.061</t>
  </si>
  <si>
    <t>Senegal</t>
  </si>
  <si>
    <t>Bulgaria</t>
  </si>
  <si>
    <t>Mauritania</t>
  </si>
  <si>
    <t>−0.557</t>
  </si>
  <si>
    <t>Zimbabwe</t>
  </si>
  <si>
    <t>−0.634</t>
  </si>
  <si>
    <t>Malawi</t>
  </si>
  <si>
    <t>Sudan</t>
  </si>
  <si>
    <t>−0.262</t>
  </si>
  <si>
    <r>
      <rPr>
        <b/>
        <u/>
        <sz val="12"/>
        <color rgb="FF1155CC"/>
        <rFont val="Calibri"/>
        <family val="2"/>
        <scheme val="minor"/>
      </rPr>
      <t>Gabon</t>
    </r>
  </si>
  <si>
    <r>
      <rPr>
        <b/>
        <u/>
        <sz val="12"/>
        <color rgb="FF1155CC"/>
        <rFont val="Calibri"/>
        <family val="2"/>
        <scheme val="minor"/>
      </rPr>
      <t>Mali</t>
    </r>
  </si>
  <si>
    <t>−0.174</t>
  </si>
  <si>
    <t>Haiti</t>
  </si>
  <si>
    <t>−0.313</t>
  </si>
  <si>
    <t>Botswana</t>
  </si>
  <si>
    <t>Comoros</t>
  </si>
  <si>
    <t>Côte d’Ivoire</t>
  </si>
  <si>
    <t>Cambodia</t>
  </si>
  <si>
    <t>Angola</t>
  </si>
  <si>
    <t>−1.723</t>
  </si>
  <si>
    <t>Niger</t>
  </si>
  <si>
    <t>−0.296</t>
  </si>
  <si>
    <t>South Sudan</t>
  </si>
  <si>
    <t>Chad</t>
  </si>
  <si>
    <t>−0.293</t>
  </si>
  <si>
    <t>Burkina Faso</t>
  </si>
  <si>
    <t>−0.520</t>
  </si>
  <si>
    <t>Uganda</t>
  </si>
  <si>
    <t>−0.704</t>
  </si>
  <si>
    <t>Yemen</t>
  </si>
  <si>
    <t>−0.330</t>
  </si>
  <si>
    <t>Madagascar</t>
  </si>
  <si>
    <t>Tanzania</t>
  </si>
  <si>
    <t>−0.104</t>
  </si>
  <si>
    <t>Liberia</t>
  </si>
  <si>
    <t>−0.574</t>
  </si>
  <si>
    <t>Guinea</t>
  </si>
  <si>
    <t>−0.240</t>
  </si>
  <si>
    <t>Rwanda</t>
  </si>
  <si>
    <t>−0.200</t>
  </si>
  <si>
    <t>Benin</t>
  </si>
  <si>
    <t>Afghanistan</t>
  </si>
  <si>
    <t>−0.680</t>
  </si>
  <si>
    <t>Togo</t>
  </si>
  <si>
    <t>Syria</t>
  </si>
  <si>
    <t>−0.823</t>
  </si>
  <si>
    <t>Burundi</t>
  </si>
  <si>
    <t>−0.801</t>
  </si>
  <si>
    <t>Mozambique</t>
  </si>
  <si>
    <t>−0.118</t>
  </si>
  <si>
    <t>−0.171</t>
  </si>
  <si>
    <t>−0.156</t>
  </si>
  <si>
    <t>−0.135</t>
  </si>
  <si>
    <t>−0.066</t>
  </si>
  <si>
    <t>−0.196</t>
  </si>
  <si>
    <t>−0.088</t>
  </si>
  <si>
    <t>−0.178</t>
  </si>
  <si>
    <t>−0.363</t>
  </si>
  <si>
    <t>−0.089</t>
  </si>
  <si>
    <r>
      <rPr>
        <b/>
        <u/>
        <sz val="12"/>
        <color rgb="FF1155CC"/>
        <rFont val="Calibri"/>
        <family val="2"/>
        <scheme val="minor"/>
      </rPr>
      <t>Ireland</t>
    </r>
  </si>
  <si>
    <t>−0.099</t>
  </si>
  <si>
    <r>
      <rPr>
        <b/>
        <u/>
        <sz val="12"/>
        <color rgb="FF1155CC"/>
        <rFont val="Calibri"/>
        <family val="2"/>
        <scheme val="minor"/>
      </rPr>
      <t>Germany</t>
    </r>
  </si>
  <si>
    <r>
      <rPr>
        <b/>
        <u/>
        <sz val="12"/>
        <color rgb="FF1155CC"/>
        <rFont val="Calibri"/>
        <family val="2"/>
        <scheme val="minor"/>
      </rPr>
      <t>Belgium</t>
    </r>
  </si>
  <si>
    <t>−0.076</t>
  </si>
  <si>
    <t>−0.191</t>
  </si>
  <si>
    <t>−0.496</t>
  </si>
  <si>
    <t>−0.214</t>
  </si>
  <si>
    <t>−0.510</t>
  </si>
  <si>
    <t>−0.691</t>
  </si>
  <si>
    <t>−0.322</t>
  </si>
  <si>
    <t>Spain</t>
  </si>
  <si>
    <r>
      <rPr>
        <b/>
        <u/>
        <sz val="12"/>
        <color rgb="FF1155CC"/>
        <rFont val="Calibri"/>
        <family val="2"/>
        <scheme val="minor"/>
      </rPr>
      <t>Qatar</t>
    </r>
  </si>
  <si>
    <r>
      <rPr>
        <b/>
        <u/>
        <sz val="12"/>
        <color rgb="FF1155CC"/>
        <rFont val="Calibri"/>
        <family val="2"/>
        <scheme val="minor"/>
      </rPr>
      <t>Colombia</t>
    </r>
  </si>
  <si>
    <t>−0.059</t>
  </si>
  <si>
    <t>−0.136</t>
  </si>
  <si>
    <t>−0.410</t>
  </si>
  <si>
    <t>−0.057</t>
  </si>
  <si>
    <t>−0.144</t>
  </si>
  <si>
    <r>
      <rPr>
        <b/>
        <u/>
        <sz val="12"/>
        <color rgb="FF1155CC"/>
        <rFont val="Calibri"/>
        <family val="2"/>
        <scheme val="minor"/>
      </rPr>
      <t>Latvia</t>
    </r>
  </si>
  <si>
    <r>
      <rPr>
        <b/>
        <u/>
        <sz val="12"/>
        <color rgb="FF1155CC"/>
        <rFont val="Calibri"/>
        <family val="2"/>
        <scheme val="minor"/>
      </rPr>
      <t>Republic of Korea</t>
    </r>
  </si>
  <si>
    <t>−0.429</t>
  </si>
  <si>
    <t>Republic of Moldova</t>
  </si>
  <si>
    <t>−0.302</t>
  </si>
  <si>
    <t>−0.845</t>
  </si>
  <si>
    <t>−0.051</t>
  </si>
  <si>
    <t>−0.078</t>
  </si>
  <si>
    <r>
      <rPr>
        <b/>
        <u/>
        <sz val="12"/>
        <color rgb="FF1155CC"/>
        <rFont val="Calibri"/>
        <family val="2"/>
        <scheme val="minor"/>
      </rPr>
      <t>Hungary</t>
    </r>
  </si>
  <si>
    <t>−0.063</t>
  </si>
  <si>
    <t>−0.023</t>
  </si>
  <si>
    <t>−0.086</t>
  </si>
  <si>
    <t>−1.789</t>
  </si>
  <si>
    <t>−0.062</t>
  </si>
  <si>
    <t>−0.208</t>
  </si>
  <si>
    <r>
      <rPr>
        <b/>
        <u/>
        <sz val="12"/>
        <color rgb="FF1155CC"/>
        <rFont val="Calibri"/>
        <family val="2"/>
        <scheme val="minor"/>
      </rPr>
      <t>Nigeria</t>
    </r>
  </si>
  <si>
    <t>−0.134</t>
  </si>
  <si>
    <t>−0.021</t>
  </si>
  <si>
    <t>−0.906</t>
  </si>
  <si>
    <r>
      <rPr>
        <b/>
        <u/>
        <sz val="12"/>
        <color rgb="FF1155CC"/>
        <rFont val="Calibri"/>
        <family val="2"/>
        <scheme val="minor"/>
      </rPr>
      <t>Mozambique</t>
    </r>
  </si>
  <si>
    <t>−0.421</t>
  </si>
  <si>
    <r>
      <rPr>
        <b/>
        <u/>
        <sz val="12"/>
        <color rgb="FF1155CC"/>
        <rFont val="Calibri"/>
        <family val="2"/>
        <scheme val="minor"/>
      </rPr>
      <t>Myanmar</t>
    </r>
  </si>
  <si>
    <t>−0.492</t>
  </si>
  <si>
    <t>−0.320</t>
  </si>
  <si>
    <t>Gabon</t>
  </si>
  <si>
    <t>−0.457</t>
  </si>
  <si>
    <t>−0.466</t>
  </si>
  <si>
    <t>−0.006</t>
  </si>
  <si>
    <t>−0.298</t>
  </si>
  <si>
    <t>Mali</t>
  </si>
  <si>
    <t>−0.971</t>
  </si>
  <si>
    <r>
      <rPr>
        <b/>
        <u/>
        <sz val="12"/>
        <color rgb="FF1155CC"/>
        <rFont val="Calibri"/>
        <family val="2"/>
        <scheme val="minor"/>
      </rPr>
      <t>Ukraine</t>
    </r>
  </si>
  <si>
    <t>−0.961</t>
  </si>
  <si>
    <r>
      <rPr>
        <b/>
        <u/>
        <sz val="12"/>
        <color rgb="FF1155CC"/>
        <rFont val="Calibri"/>
        <family val="2"/>
        <scheme val="minor"/>
      </rPr>
      <t>Uganda</t>
    </r>
  </si>
  <si>
    <t>−0.362</t>
  </si>
  <si>
    <t>−0.227</t>
  </si>
  <si>
    <t>−0.124</t>
  </si>
  <si>
    <t>−0.120</t>
  </si>
  <si>
    <t>−0.952</t>
  </si>
  <si>
    <t>Lesotho</t>
  </si>
  <si>
    <t>−1.090</t>
  </si>
  <si>
    <t>−1.794</t>
  </si>
  <si>
    <t>−0.246</t>
  </si>
  <si>
    <t>−0.204</t>
  </si>
  <si>
    <t>−0.738</t>
  </si>
  <si>
    <t>−0.461</t>
  </si>
  <si>
    <t>−0.663</t>
  </si>
  <si>
    <t>−0.340</t>
  </si>
  <si>
    <t>−0.244</t>
  </si>
  <si>
    <t>−0.430</t>
  </si>
  <si>
    <t>Central African Republic</t>
  </si>
  <si>
    <t>−0.930</t>
  </si>
  <si>
    <t>−0.163</t>
  </si>
  <si>
    <t>−0.071</t>
  </si>
  <si>
    <t>−0.149</t>
  </si>
  <si>
    <t>−0.166</t>
  </si>
  <si>
    <t>−0.230</t>
  </si>
  <si>
    <t>−0.185</t>
  </si>
  <si>
    <r>
      <rPr>
        <b/>
        <u/>
        <sz val="12"/>
        <color rgb="FF1155CC"/>
        <rFont val="Calibri"/>
        <family val="2"/>
        <scheme val="minor"/>
      </rPr>
      <t>Germany</t>
    </r>
  </si>
  <si>
    <r>
      <rPr>
        <b/>
        <u/>
        <sz val="12"/>
        <color rgb="FF1155CC"/>
        <rFont val="Calibri"/>
        <family val="2"/>
        <scheme val="minor"/>
      </rPr>
      <t>Belgium</t>
    </r>
  </si>
  <si>
    <t>−0.040</t>
  </si>
  <si>
    <r>
      <rPr>
        <b/>
        <u/>
        <sz val="12"/>
        <color rgb="FF1155CC"/>
        <rFont val="Calibri"/>
        <family val="2"/>
        <scheme val="minor"/>
      </rPr>
      <t>Luxembourg</t>
    </r>
  </si>
  <si>
    <t>−0.069</t>
  </si>
  <si>
    <t>−0.370</t>
  </si>
  <si>
    <t>−0.275</t>
  </si>
  <si>
    <t>−0.600</t>
  </si>
  <si>
    <t>−0.713</t>
  </si>
  <si>
    <t>Qatar</t>
  </si>
  <si>
    <t>−0.109</t>
  </si>
  <si>
    <t>−0.203</t>
  </si>
  <si>
    <r>
      <rPr>
        <b/>
        <u/>
        <sz val="12"/>
        <color rgb="FF1155CC"/>
        <rFont val="Calibri"/>
        <family val="2"/>
        <scheme val="minor"/>
      </rPr>
      <t>Malaysia</t>
    </r>
  </si>
  <si>
    <r>
      <rPr>
        <b/>
        <u/>
        <sz val="12"/>
        <color rgb="FF1155CC"/>
        <rFont val="Calibri"/>
        <family val="2"/>
        <scheme val="minor"/>
      </rPr>
      <t>Spain</t>
    </r>
  </si>
  <si>
    <t>−0.012</t>
  </si>
  <si>
    <t>−0.327</t>
  </si>
  <si>
    <t>−0.299</t>
  </si>
  <si>
    <t>−0.112</t>
  </si>
  <si>
    <r>
      <rPr>
        <b/>
        <u/>
        <sz val="12"/>
        <color rgb="FF1155CC"/>
        <rFont val="Calibri"/>
        <family val="2"/>
        <scheme val="minor"/>
      </rPr>
      <t>Japan</t>
    </r>
  </si>
  <si>
    <r>
      <rPr>
        <b/>
        <u/>
        <sz val="12"/>
        <color rgb="FF1155CC"/>
        <rFont val="Calibri"/>
        <family val="2"/>
        <scheme val="minor"/>
      </rPr>
      <t>Mauritius</t>
    </r>
  </si>
  <si>
    <t>−0.392</t>
  </si>
  <si>
    <t>−0.105</t>
  </si>
  <si>
    <t>−0.098</t>
  </si>
  <si>
    <t>−0.113</t>
  </si>
  <si>
    <t>−0.151</t>
  </si>
  <si>
    <r>
      <rPr>
        <b/>
        <u/>
        <sz val="12"/>
        <color rgb="FF1155CC"/>
        <rFont val="Calibri"/>
        <family val="2"/>
        <scheme val="minor"/>
      </rPr>
      <t>Pakistan</t>
    </r>
  </si>
  <si>
    <t>−0.093</t>
  </si>
  <si>
    <t>−0.077</t>
  </si>
  <si>
    <t>−0.127</t>
  </si>
  <si>
    <t>−0.253</t>
  </si>
  <si>
    <r>
      <rPr>
        <b/>
        <u/>
        <sz val="12"/>
        <color rgb="FF1155CC"/>
        <rFont val="Calibri"/>
        <family val="2"/>
        <scheme val="minor"/>
      </rPr>
      <t>Mongolia</t>
    </r>
  </si>
  <si>
    <r>
      <rPr>
        <b/>
        <u/>
        <sz val="12"/>
        <color rgb="FF1155CC"/>
        <rFont val="Calibri"/>
        <family val="2"/>
        <scheme val="minor"/>
      </rPr>
      <t>Viet Nam</t>
    </r>
  </si>
  <si>
    <t>−0.255</t>
  </si>
  <si>
    <t>−2.233</t>
  </si>
  <si>
    <t>−0.239</t>
  </si>
  <si>
    <t>−0.434</t>
  </si>
  <si>
    <t>−0.164</t>
  </si>
  <si>
    <t>−0.234</t>
  </si>
  <si>
    <t>−0.964</t>
  </si>
  <si>
    <r>
      <rPr>
        <b/>
        <u/>
        <sz val="12"/>
        <color rgb="FF1155CC"/>
        <rFont val="Calibri"/>
        <family val="2"/>
        <scheme val="minor"/>
      </rPr>
      <t>Sierra Leone</t>
    </r>
  </si>
  <si>
    <r>
      <rPr>
        <b/>
        <u/>
        <sz val="12"/>
        <color rgb="FF1155CC"/>
        <rFont val="Calibri"/>
        <family val="2"/>
        <scheme val="minor"/>
      </rPr>
      <t>Congo</t>
    </r>
  </si>
  <si>
    <t>−0.304</t>
  </si>
  <si>
    <t>−0.361</t>
  </si>
  <si>
    <t>−0.554</t>
  </si>
  <si>
    <t>−0.629</t>
  </si>
  <si>
    <t>−0.131</t>
  </si>
  <si>
    <r>
      <rPr>
        <b/>
        <u/>
        <sz val="12"/>
        <color rgb="FF1155CC"/>
        <rFont val="Calibri"/>
        <family val="2"/>
        <scheme val="minor"/>
      </rPr>
      <t>DR Congo</t>
    </r>
  </si>
  <si>
    <t>−0.333</t>
  </si>
  <si>
    <r>
      <rPr>
        <b/>
        <u/>
        <sz val="12"/>
        <color rgb="FF1155CC"/>
        <rFont val="Calibri"/>
        <family val="2"/>
        <scheme val="minor"/>
      </rPr>
      <t>India</t>
    </r>
  </si>
  <si>
    <t>−0.582</t>
  </si>
  <si>
    <t>−0.282</t>
  </si>
  <si>
    <t>−0.954</t>
  </si>
  <si>
    <t>−0.192</t>
  </si>
  <si>
    <t>−1.135</t>
  </si>
  <si>
    <t>−0.408</t>
  </si>
  <si>
    <t>−0.380</t>
  </si>
  <si>
    <t>−0.526</t>
  </si>
  <si>
    <t>−0.759</t>
  </si>
  <si>
    <t>−0.701</t>
  </si>
  <si>
    <t>−0.307</t>
  </si>
  <si>
    <t>−0.699</t>
  </si>
  <si>
    <t>−0.467</t>
  </si>
  <si>
    <t>−0.540</t>
  </si>
  <si>
    <t>Gambia</t>
  </si>
  <si>
    <t>−0.024</t>
  </si>
  <si>
    <t>−0.137</t>
  </si>
  <si>
    <t>−0.199</t>
  </si>
  <si>
    <t>−0.123</t>
  </si>
  <si>
    <t>−0.122</t>
  </si>
  <si>
    <t>−0.090</t>
  </si>
  <si>
    <t>−0.162</t>
  </si>
  <si>
    <r>
      <rPr>
        <b/>
        <u/>
        <sz val="12"/>
        <color rgb="FF1155CC"/>
        <rFont val="Calibri"/>
        <family val="2"/>
        <scheme val="minor"/>
      </rPr>
      <t>United Kingdom</t>
    </r>
  </si>
  <si>
    <r>
      <rPr>
        <b/>
        <u/>
        <sz val="12"/>
        <color rgb="FF1155CC"/>
        <rFont val="Calibri"/>
        <family val="2"/>
        <scheme val="minor"/>
      </rPr>
      <t>Ireland</t>
    </r>
  </si>
  <si>
    <t>−0.055</t>
  </si>
  <si>
    <r>
      <rPr>
        <b/>
        <u/>
        <sz val="12"/>
        <color rgb="FF1155CC"/>
        <rFont val="Calibri"/>
        <family val="2"/>
        <scheme val="minor"/>
      </rPr>
      <t>Germany</t>
    </r>
  </si>
  <si>
    <t>Belgium</t>
  </si>
  <si>
    <t>−0.190</t>
  </si>
  <si>
    <t>−0.319</t>
  </si>
  <si>
    <t>−0.493</t>
  </si>
  <si>
    <t>−0.172</t>
  </si>
  <si>
    <t>−0.822</t>
  </si>
  <si>
    <t>−0.549</t>
  </si>
  <si>
    <t>−0.284</t>
  </si>
  <si>
    <r>
      <rPr>
        <b/>
        <u/>
        <sz val="12"/>
        <color rgb="FF1155CC"/>
        <rFont val="Calibri"/>
        <family val="2"/>
        <scheme val="minor"/>
      </rPr>
      <t>El Salvador</t>
    </r>
  </si>
  <si>
    <r>
      <rPr>
        <b/>
        <u/>
        <sz val="12"/>
        <color rgb="FF1155CC"/>
        <rFont val="Calibri"/>
        <family val="2"/>
        <scheme val="minor"/>
      </rPr>
      <t>Italy</t>
    </r>
  </si>
  <si>
    <t>−0.476</t>
  </si>
  <si>
    <t>−0.420</t>
  </si>
  <si>
    <t>−0.494</t>
  </si>
  <si>
    <r>
      <rPr>
        <b/>
        <u/>
        <sz val="12"/>
        <color rgb="FF1155CC"/>
        <rFont val="Calibri"/>
        <family val="2"/>
        <scheme val="minor"/>
      </rPr>
      <t>Republic of Korea</t>
    </r>
  </si>
  <si>
    <t>−0.372</t>
  </si>
  <si>
    <r>
      <rPr>
        <b/>
        <u/>
        <sz val="12"/>
        <color rgb="FF1155CC"/>
        <rFont val="Calibri"/>
        <family val="2"/>
        <scheme val="minor"/>
      </rPr>
      <t>Estonia</t>
    </r>
  </si>
  <si>
    <t>−0.036</t>
  </si>
  <si>
    <t>−0.079</t>
  </si>
  <si>
    <r>
      <rPr>
        <b/>
        <u/>
        <sz val="12"/>
        <color rgb="FF1155CC"/>
        <rFont val="Calibri"/>
        <family val="2"/>
        <scheme val="minor"/>
      </rPr>
      <t>Croatia</t>
    </r>
  </si>
  <si>
    <t>−0.229</t>
  </si>
  <si>
    <t>−0.181</t>
  </si>
  <si>
    <t>−0.148</t>
  </si>
  <si>
    <t>−0.381</t>
  </si>
  <si>
    <r>
      <rPr>
        <b/>
        <u/>
        <sz val="12"/>
        <color rgb="FF1155CC"/>
        <rFont val="Calibri"/>
        <family val="2"/>
        <scheme val="minor"/>
      </rPr>
      <t>Viet Nam</t>
    </r>
  </si>
  <si>
    <t>−0.358</t>
  </si>
  <si>
    <r>
      <rPr>
        <b/>
        <u/>
        <sz val="12"/>
        <color rgb="FF1155CC"/>
        <rFont val="Calibri"/>
        <family val="2"/>
        <scheme val="minor"/>
      </rPr>
      <t>Bhutan</t>
    </r>
  </si>
  <si>
    <t>−0.095</t>
  </si>
  <si>
    <t>−0.508</t>
  </si>
  <si>
    <t>−0.831</t>
  </si>
  <si>
    <t>−2.332</t>
  </si>
  <si>
    <t>−0.004</t>
  </si>
  <si>
    <r>
      <rPr>
        <b/>
        <u/>
        <sz val="12"/>
        <color rgb="FF1155CC"/>
        <rFont val="Calibri"/>
        <family val="2"/>
        <scheme val="minor"/>
      </rPr>
      <t>Namibia</t>
    </r>
  </si>
  <si>
    <r>
      <rPr>
        <b/>
        <u/>
        <sz val="12"/>
        <color rgb="FF1155CC"/>
        <rFont val="Calibri"/>
        <family val="2"/>
        <scheme val="minor"/>
      </rPr>
      <t>Niger</t>
    </r>
  </si>
  <si>
    <t>−0.268</t>
  </si>
  <si>
    <t>−0.505</t>
  </si>
  <si>
    <t>−0.365</t>
  </si>
  <si>
    <t>−0.348</t>
  </si>
  <si>
    <r>
      <rPr>
        <b/>
        <u/>
        <sz val="12"/>
        <color rgb="FF1155CC"/>
        <rFont val="Calibri"/>
        <family val="2"/>
        <scheme val="minor"/>
      </rPr>
      <t>Chad</t>
    </r>
  </si>
  <si>
    <t>Eswatini</t>
  </si>
  <si>
    <t>−0.655</t>
  </si>
  <si>
    <t>−0.254</t>
  </si>
  <si>
    <t>−0.107</t>
  </si>
  <si>
    <t>−0.899</t>
  </si>
  <si>
    <t>−0.757</t>
  </si>
  <si>
    <t>−0.221</t>
  </si>
  <si>
    <t>−1.096</t>
  </si>
  <si>
    <t>−1.164</t>
  </si>
  <si>
    <t>−0.744</t>
  </si>
  <si>
    <t>−0.482</t>
  </si>
  <si>
    <t>−0.703</t>
  </si>
  <si>
    <t>−0.674</t>
  </si>
  <si>
    <t>−0.539</t>
  </si>
  <si>
    <t>−0.837</t>
  </si>
  <si>
    <t>Maldives</t>
  </si>
  <si>
    <t>−0.075</t>
  </si>
  <si>
    <t>−0.245</t>
  </si>
  <si>
    <r>
      <rPr>
        <b/>
        <u/>
        <sz val="12"/>
        <color rgb="FF1155CC"/>
        <rFont val="Calibri"/>
        <family val="2"/>
        <scheme val="minor"/>
      </rPr>
      <t>Costa Rica</t>
    </r>
  </si>
  <si>
    <r>
      <rPr>
        <b/>
        <u/>
        <sz val="12"/>
        <color rgb="FF1155CC"/>
        <rFont val="Calibri"/>
        <family val="2"/>
        <scheme val="minor"/>
      </rPr>
      <t>Ireland</t>
    </r>
  </si>
  <si>
    <r>
      <rPr>
        <b/>
        <u/>
        <sz val="12"/>
        <color rgb="FF1155CC"/>
        <rFont val="Calibri"/>
        <family val="2"/>
        <scheme val="minor"/>
      </rPr>
      <t>Germany</t>
    </r>
  </si>
  <si>
    <t>−0.142</t>
  </si>
  <si>
    <t>−0.103</t>
  </si>
  <si>
    <t>−0.353</t>
  </si>
  <si>
    <t>−0.100</t>
  </si>
  <si>
    <t>−0.623</t>
  </si>
  <si>
    <t>−0.074</t>
  </si>
  <si>
    <t>−0.473</t>
  </si>
  <si>
    <r>
      <rPr>
        <b/>
        <u/>
        <sz val="12"/>
        <color rgb="FF1155CC"/>
        <rFont val="Calibri"/>
        <family val="2"/>
        <scheme val="minor"/>
      </rPr>
      <t>Kosovo</t>
    </r>
  </si>
  <si>
    <r>
      <rPr>
        <b/>
        <u/>
        <sz val="12"/>
        <color rgb="FF1155CC"/>
        <rFont val="Calibri"/>
        <family val="2"/>
        <scheme val="minor"/>
      </rPr>
      <t>Panama</t>
    </r>
  </si>
  <si>
    <t>−0.838</t>
  </si>
  <si>
    <t>−0.359</t>
  </si>
  <si>
    <t>−0.413</t>
  </si>
  <si>
    <r>
      <rPr>
        <b/>
        <u/>
        <sz val="12"/>
        <color rgb="FF1155CC"/>
        <rFont val="Calibri"/>
        <family val="2"/>
        <scheme val="minor"/>
      </rPr>
      <t>Thailand</t>
    </r>
  </si>
  <si>
    <r>
      <rPr>
        <b/>
        <u/>
        <sz val="12"/>
        <color rgb="FF1155CC"/>
        <rFont val="Calibri"/>
        <family val="2"/>
        <scheme val="minor"/>
      </rPr>
      <t>Argentina</t>
    </r>
  </si>
  <si>
    <t>−0.587</t>
  </si>
  <si>
    <t>−0.395</t>
  </si>
  <si>
    <t>−0.193</t>
  </si>
  <si>
    <t>−0.110</t>
  </si>
  <si>
    <t>−0.087</t>
  </si>
  <si>
    <r>
      <rPr>
        <b/>
        <u/>
        <sz val="12"/>
        <color rgb="FF1155CC"/>
        <rFont val="Calibri"/>
        <family val="2"/>
        <scheme val="minor"/>
      </rPr>
      <t>Kyrgyzstan</t>
    </r>
  </si>
  <si>
    <t>−0.013</t>
  </si>
  <si>
    <t>−0.376</t>
  </si>
  <si>
    <t>−0.180</t>
  </si>
  <si>
    <t>−0.213</t>
  </si>
  <si>
    <r>
      <rPr>
        <b/>
        <u/>
        <sz val="12"/>
        <color rgb="FF1155CC"/>
        <rFont val="Calibri"/>
        <family val="2"/>
        <scheme val="minor"/>
      </rPr>
      <t>China</t>
    </r>
  </si>
  <si>
    <r>
      <rPr>
        <b/>
        <u/>
        <sz val="12"/>
        <color rgb="FF1155CC"/>
        <rFont val="Calibri"/>
        <family val="2"/>
        <scheme val="minor"/>
      </rPr>
      <t>Turkmenistan</t>
    </r>
  </si>
  <si>
    <t>−0.509</t>
  </si>
  <si>
    <t>−1.986</t>
  </si>
  <si>
    <t>−0.417</t>
  </si>
  <si>
    <t>−0.667</t>
  </si>
  <si>
    <t>−0.032</t>
  </si>
  <si>
    <t>−0.159</t>
  </si>
  <si>
    <r>
      <rPr>
        <b/>
        <u/>
        <sz val="12"/>
        <color rgb="FF1155CC"/>
        <rFont val="Calibri"/>
        <family val="2"/>
        <scheme val="minor"/>
      </rPr>
      <t>Gambia</t>
    </r>
  </si>
  <si>
    <r>
      <rPr>
        <b/>
        <u/>
        <sz val="12"/>
        <color rgb="FF1155CC"/>
        <rFont val="Calibri"/>
        <family val="2"/>
        <scheme val="minor"/>
      </rPr>
      <t>Mali</t>
    </r>
  </si>
  <si>
    <t>−0.524</t>
  </si>
  <si>
    <t>−0.781</t>
  </si>
  <si>
    <t>−0.347</t>
  </si>
  <si>
    <t>−0.147</t>
  </si>
  <si>
    <t>−0.011</t>
  </si>
  <si>
    <t>−0.383</t>
  </si>
  <si>
    <t>−0.267</t>
  </si>
  <si>
    <r>
      <rPr>
        <b/>
        <u/>
        <sz val="12"/>
        <color rgb="FF1155CC"/>
        <rFont val="Calibri"/>
        <family val="2"/>
        <scheme val="minor"/>
      </rPr>
      <t>Eswatini</t>
    </r>
  </si>
  <si>
    <t>−0.559</t>
  </si>
  <si>
    <r>
      <rPr>
        <b/>
        <u/>
        <sz val="12"/>
        <color rgb="FF1155CC"/>
        <rFont val="Calibri"/>
        <family val="2"/>
        <scheme val="minor"/>
      </rPr>
      <t>Myanmar</t>
    </r>
  </si>
  <si>
    <r>
      <rPr>
        <b/>
        <u/>
        <sz val="12"/>
        <color rgb="FF1155CC"/>
        <rFont val="Calibri"/>
        <family val="2"/>
        <scheme val="minor"/>
      </rPr>
      <t>Comoros</t>
    </r>
  </si>
  <si>
    <r>
      <rPr>
        <b/>
        <u/>
        <sz val="12"/>
        <color rgb="FF1155CC"/>
        <rFont val="Calibri"/>
        <family val="2"/>
        <scheme val="minor"/>
      </rPr>
      <t>Togo</t>
    </r>
  </si>
  <si>
    <r>
      <rPr>
        <b/>
        <u/>
        <sz val="12"/>
        <color rgb="FF1155CC"/>
        <rFont val="Calibri"/>
        <family val="2"/>
        <scheme val="minor"/>
      </rPr>
      <t>Ethiopia</t>
    </r>
  </si>
  <si>
    <t>−0.375</t>
  </si>
  <si>
    <r>
      <rPr>
        <b/>
        <u/>
        <sz val="12"/>
        <color rgb="FF1155CC"/>
        <rFont val="Calibri"/>
        <family val="2"/>
        <scheme val="minor"/>
      </rPr>
      <t>Madagascar</t>
    </r>
  </si>
  <si>
    <r>
      <rPr>
        <b/>
        <u/>
        <sz val="12"/>
        <color rgb="FF1155CC"/>
        <rFont val="Calibri"/>
        <family val="2"/>
        <scheme val="minor"/>
      </rPr>
      <t>Egypt</t>
    </r>
  </si>
  <si>
    <r>
      <rPr>
        <b/>
        <u/>
        <sz val="12"/>
        <color rgb="FF1155CC"/>
        <rFont val="Calibri"/>
        <family val="2"/>
        <scheme val="minor"/>
      </rPr>
      <t>Sierra Leone</t>
    </r>
  </si>
  <si>
    <t>−1.247</t>
  </si>
  <si>
    <t>−0.620</t>
  </si>
  <si>
    <t>−1.245</t>
  </si>
  <si>
    <t>−1.199</t>
  </si>
  <si>
    <t>−0.575</t>
  </si>
  <si>
    <t>−0.527</t>
  </si>
  <si>
    <t>−0.491</t>
  </si>
  <si>
    <t>−0.294</t>
  </si>
  <si>
    <t>−0.403</t>
  </si>
  <si>
    <t>−1.528</t>
  </si>
  <si>
    <t>−1.473</t>
  </si>
  <si>
    <t>−0.048</t>
  </si>
  <si>
    <t>−0.263</t>
  </si>
  <si>
    <t>−0.117</t>
  </si>
  <si>
    <t>Germany</t>
  </si>
  <si>
    <t>−0.374</t>
  </si>
  <si>
    <t>−0.188</t>
  </si>
  <si>
    <r>
      <rPr>
        <b/>
        <u/>
        <sz val="12"/>
        <color rgb="FF1155CC"/>
        <rFont val="Calibri"/>
        <family val="2"/>
        <scheme val="minor"/>
      </rPr>
      <t>Czechia</t>
    </r>
  </si>
  <si>
    <r>
      <rPr>
        <b/>
        <u/>
        <sz val="12"/>
        <color rgb="FF1155CC"/>
        <rFont val="Calibri"/>
        <family val="2"/>
        <scheme val="minor"/>
      </rPr>
      <t>United States</t>
    </r>
  </si>
  <si>
    <t>−0.133</t>
  </si>
  <si>
    <t>−0.583</t>
  </si>
  <si>
    <t>−0.519</t>
  </si>
  <si>
    <t>−0.771</t>
  </si>
  <si>
    <r>
      <rPr>
        <b/>
        <u/>
        <sz val="12"/>
        <color rgb="FF1155CC"/>
        <rFont val="Calibri"/>
        <family val="2"/>
        <scheme val="minor"/>
      </rPr>
      <t>Jamaica</t>
    </r>
  </si>
  <si>
    <r>
      <rPr>
        <b/>
        <u/>
        <sz val="12"/>
        <color rgb="FF1155CC"/>
        <rFont val="Calibri"/>
        <family val="2"/>
        <scheme val="minor"/>
      </rPr>
      <t>Lithuania</t>
    </r>
  </si>
  <si>
    <t>−0.243</t>
  </si>
  <si>
    <t>−0.963</t>
  </si>
  <si>
    <t>−0.415</t>
  </si>
  <si>
    <t>−0.409</t>
  </si>
  <si>
    <t>−0.404</t>
  </si>
  <si>
    <t>−0.386</t>
  </si>
  <si>
    <r>
      <rPr>
        <b/>
        <u/>
        <sz val="12"/>
        <color rgb="FF1155CC"/>
        <rFont val="Calibri"/>
        <family val="2"/>
        <scheme val="minor"/>
      </rPr>
      <t>Japan</t>
    </r>
  </si>
  <si>
    <r>
      <rPr>
        <b/>
        <u/>
        <sz val="12"/>
        <color rgb="FF1155CC"/>
        <rFont val="Calibri"/>
        <family val="2"/>
        <scheme val="minor"/>
      </rPr>
      <t>Argentina</t>
    </r>
  </si>
  <si>
    <t>−0.633</t>
  </si>
  <si>
    <t>−0.422</t>
  </si>
  <si>
    <t>−0.025</t>
  </si>
  <si>
    <t>−0.126</t>
  </si>
  <si>
    <r>
      <rPr>
        <b/>
        <u/>
        <sz val="12"/>
        <color rgb="FF1155CC"/>
        <rFont val="Calibri"/>
        <family val="2"/>
        <scheme val="minor"/>
      </rPr>
      <t>Hong Kong SAR of China</t>
    </r>
  </si>
  <si>
    <t>−0.046</t>
  </si>
  <si>
    <t>−0.003</t>
  </si>
  <si>
    <t>−0.433</t>
  </si>
  <si>
    <r>
      <rPr>
        <b/>
        <u/>
        <sz val="12"/>
        <color rgb="FF1155CC"/>
        <rFont val="Calibri"/>
        <family val="2"/>
        <scheme val="minor"/>
      </rPr>
      <t>Niger</t>
    </r>
  </si>
  <si>
    <r>
      <rPr>
        <b/>
        <u/>
        <sz val="12"/>
        <color rgb="FF1155CC"/>
        <rFont val="Calibri"/>
        <family val="2"/>
        <scheme val="minor"/>
      </rPr>
      <t>Turkmenistan</t>
    </r>
  </si>
  <si>
    <t>−0.562</t>
  </si>
  <si>
    <t>−0.007</t>
  </si>
  <si>
    <t>−0.397</t>
  </si>
  <si>
    <t>−2.147</t>
  </si>
  <si>
    <t>−0.535</t>
  </si>
  <si>
    <t>−0.182</t>
  </si>
  <si>
    <t>−0.177</t>
  </si>
  <si>
    <r>
      <rPr>
        <b/>
        <u/>
        <sz val="12"/>
        <color rgb="FF1155CC"/>
        <rFont val="Calibri"/>
        <family val="2"/>
        <scheme val="minor"/>
      </rPr>
      <t>Nigeria</t>
    </r>
  </si>
  <si>
    <t>−0.489</t>
  </si>
  <si>
    <t>−1.019</t>
  </si>
  <si>
    <r>
      <rPr>
        <b/>
        <u/>
        <sz val="12"/>
        <color rgb="FF1155CC"/>
        <rFont val="Calibri"/>
        <family val="2"/>
        <scheme val="minor"/>
      </rPr>
      <t>Mauritania</t>
    </r>
  </si>
  <si>
    <t>−0.531</t>
  </si>
  <si>
    <r>
      <rPr>
        <b/>
        <u/>
        <sz val="12"/>
        <color rgb="FF1155CC"/>
        <rFont val="Calibri"/>
        <family val="2"/>
        <scheme val="minor"/>
      </rPr>
      <t>Madagascar</t>
    </r>
  </si>
  <si>
    <t>−0.933</t>
  </si>
  <si>
    <t>−0.469</t>
  </si>
  <si>
    <t>−0.953</t>
  </si>
  <si>
    <t>−0.396</t>
  </si>
  <si>
    <t>−0.726</t>
  </si>
  <si>
    <t>−0.513</t>
  </si>
  <si>
    <t>−1.386</t>
  </si>
  <si>
    <t>−0.503</t>
  </si>
  <si>
    <t>−0.300</t>
  </si>
  <si>
    <t>−1.682</t>
  </si>
  <si>
    <t>−1.517</t>
  </si>
  <si>
    <t>−0.097</t>
  </si>
  <si>
    <t>−0.096</t>
  </si>
  <si>
    <t>−0.290</t>
  </si>
  <si>
    <t>−0.206</t>
  </si>
  <si>
    <r>
      <rPr>
        <b/>
        <u/>
        <sz val="12"/>
        <color rgb="FF1155CC"/>
        <rFont val="Calibri"/>
        <family val="2"/>
        <scheme val="minor"/>
      </rPr>
      <t>Canada</t>
    </r>
  </si>
  <si>
    <t>−0.452</t>
  </si>
  <si>
    <r>
      <rPr>
        <b/>
        <u/>
        <sz val="12"/>
        <color rgb="FF1155CC"/>
        <rFont val="Calibri"/>
        <family val="2"/>
        <scheme val="minor"/>
      </rPr>
      <t>United States</t>
    </r>
  </si>
  <si>
    <r>
      <rPr>
        <b/>
        <u/>
        <sz val="12"/>
        <color rgb="FF1155CC"/>
        <rFont val="Calibri"/>
        <family val="2"/>
        <scheme val="minor"/>
      </rPr>
      <t>United Kingdom</t>
    </r>
  </si>
  <si>
    <t>−0.675</t>
  </si>
  <si>
    <t>−0.568</t>
  </si>
  <si>
    <r>
      <rPr>
        <b/>
        <u/>
        <sz val="12"/>
        <color rgb="FF1155CC"/>
        <rFont val="Calibri"/>
        <family val="2"/>
        <scheme val="minor"/>
      </rPr>
      <t>Slovakia</t>
    </r>
  </si>
  <si>
    <r>
      <rPr>
        <b/>
        <u/>
        <sz val="12"/>
        <color rgb="FF1155CC"/>
        <rFont val="Calibri"/>
        <family val="2"/>
        <scheme val="minor"/>
      </rPr>
      <t>Estonia</t>
    </r>
  </si>
  <si>
    <t>−0.834</t>
  </si>
  <si>
    <t>−0.556</t>
  </si>
  <si>
    <t>−0.960</t>
  </si>
  <si>
    <r>
      <rPr>
        <b/>
        <u/>
        <sz val="12"/>
        <color rgb="FF1155CC"/>
        <rFont val="Calibri"/>
        <family val="2"/>
        <scheme val="minor"/>
      </rPr>
      <t>Japan</t>
    </r>
  </si>
  <si>
    <r>
      <rPr>
        <b/>
        <u/>
        <sz val="12"/>
        <color rgb="FF1155CC"/>
        <rFont val="Calibri"/>
        <family val="2"/>
        <scheme val="minor"/>
      </rPr>
      <t>Honduras</t>
    </r>
  </si>
  <si>
    <t>−0.595</t>
  </si>
  <si>
    <t>−0.332</t>
  </si>
  <si>
    <t>−0.480</t>
  </si>
  <si>
    <t>−0.635</t>
  </si>
  <si>
    <t>−0.049</t>
  </si>
  <si>
    <t>−0.257</t>
  </si>
  <si>
    <t>−0.201</t>
  </si>
  <si>
    <r>
      <rPr>
        <b/>
        <u/>
        <sz val="12"/>
        <color rgb="FF1155CC"/>
        <rFont val="Calibri"/>
        <family val="2"/>
        <scheme val="minor"/>
      </rPr>
      <t>Peru</t>
    </r>
  </si>
  <si>
    <t>−0.217</t>
  </si>
  <si>
    <t>−0.154</t>
  </si>
  <si>
    <r>
      <rPr>
        <b/>
        <u/>
        <sz val="12"/>
        <color rgb="FF1155CC"/>
        <rFont val="Calibri"/>
        <family val="2"/>
        <scheme val="minor"/>
      </rPr>
      <t>Turkmenistan</t>
    </r>
  </si>
  <si>
    <t>−0.005</t>
  </si>
  <si>
    <t>−0.010</t>
  </si>
  <si>
    <t>−0.108</t>
  </si>
  <si>
    <r>
      <rPr>
        <b/>
        <u/>
        <sz val="12"/>
        <color rgb="FF1155CC"/>
        <rFont val="Calibri"/>
        <family val="2"/>
        <scheme val="minor"/>
      </rPr>
      <t>Bangladesh</t>
    </r>
  </si>
  <si>
    <r>
      <rPr>
        <b/>
        <u/>
        <sz val="12"/>
        <color rgb="FF1155CC"/>
        <rFont val="Calibri"/>
        <family val="2"/>
        <scheme val="minor"/>
      </rPr>
      <t>Lao PDR</t>
    </r>
  </si>
  <si>
    <t>−2.114</t>
  </si>
  <si>
    <t>−0.219</t>
  </si>
  <si>
    <t>−0.601</t>
  </si>
  <si>
    <r>
      <rPr>
        <b/>
        <u/>
        <sz val="12"/>
        <color rgb="FF1155CC"/>
        <rFont val="Calibri"/>
        <family val="2"/>
        <scheme val="minor"/>
      </rPr>
      <t>Burkina Faso</t>
    </r>
  </si>
  <si>
    <r>
      <rPr>
        <b/>
        <u/>
        <sz val="12"/>
        <color rgb="FF1155CC"/>
        <rFont val="Calibri"/>
        <family val="2"/>
        <scheme val="minor"/>
      </rPr>
      <t>Cambodia</t>
    </r>
  </si>
  <si>
    <t>−0.696</t>
  </si>
  <si>
    <t>−0.776</t>
  </si>
  <si>
    <t>−0.471</t>
  </si>
  <si>
    <t>−0.045</t>
  </si>
  <si>
    <r>
      <rPr>
        <b/>
        <u/>
        <sz val="12"/>
        <color rgb="FF1155CC"/>
        <rFont val="Calibri"/>
        <family val="2"/>
        <scheme val="minor"/>
      </rPr>
      <t>Yemen</t>
    </r>
  </si>
  <si>
    <t>−0.605</t>
  </si>
  <si>
    <t>−1.262</t>
  </si>
  <si>
    <t>−0.995</t>
  </si>
  <si>
    <t>−1.246</t>
  </si>
  <si>
    <t>−0.068</t>
  </si>
  <si>
    <t>−0.499</t>
  </si>
  <si>
    <t>−0.447</t>
  </si>
  <si>
    <t>−1.832</t>
  </si>
  <si>
    <t>−1.976</t>
  </si>
  <si>
    <t>−1.636</t>
  </si>
  <si>
    <t>−0.085</t>
  </si>
  <si>
    <t>−0.272</t>
  </si>
  <si>
    <t>−0.516</t>
  </si>
  <si>
    <t>−0.165</t>
  </si>
  <si>
    <r>
      <rPr>
        <b/>
        <u/>
        <sz val="12"/>
        <color rgb="FF1155CC"/>
        <rFont val="Calibri"/>
        <family val="2"/>
        <scheme val="minor"/>
      </rPr>
      <t>United States</t>
    </r>
  </si>
  <si>
    <r>
      <rPr>
        <b/>
        <u/>
        <sz val="12"/>
        <color rgb="FF1155CC"/>
        <rFont val="Calibri"/>
        <family val="2"/>
        <scheme val="minor"/>
      </rPr>
      <t>Germany</t>
    </r>
  </si>
  <si>
    <r>
      <rPr>
        <b/>
        <u/>
        <sz val="12"/>
        <color rgb="FF1155CC"/>
        <rFont val="Calibri"/>
        <family val="2"/>
        <scheme val="minor"/>
      </rPr>
      <t>Belgium</t>
    </r>
  </si>
  <si>
    <t>−0.648</t>
  </si>
  <si>
    <t>−0.573</t>
  </si>
  <si>
    <t>−0.017</t>
  </si>
  <si>
    <r>
      <rPr>
        <b/>
        <u/>
        <sz val="12"/>
        <color rgb="FF1155CC"/>
        <rFont val="Calibri"/>
        <family val="2"/>
        <scheme val="minor"/>
      </rPr>
      <t>Mexico</t>
    </r>
  </si>
  <si>
    <t>−0.758</t>
  </si>
  <si>
    <r>
      <rPr>
        <b/>
        <u/>
        <sz val="12"/>
        <color rgb="FF1155CC"/>
        <rFont val="Calibri"/>
        <family val="2"/>
        <scheme val="minor"/>
      </rPr>
      <t>Malta</t>
    </r>
  </si>
  <si>
    <t>−0.878</t>
  </si>
  <si>
    <t>−0.336</t>
  </si>
  <si>
    <t>−0.724</t>
  </si>
  <si>
    <t>−0.538</t>
  </si>
  <si>
    <r>
      <rPr>
        <b/>
        <u/>
        <sz val="12"/>
        <color rgb="FF1155CC"/>
        <rFont val="Calibri"/>
        <family val="2"/>
        <scheme val="minor"/>
      </rPr>
      <t>Malaysia</t>
    </r>
  </si>
  <si>
    <r>
      <rPr>
        <b/>
        <u/>
        <sz val="12"/>
        <color rgb="FF1155CC"/>
        <rFont val="Calibri"/>
        <family val="2"/>
        <scheme val="minor"/>
      </rPr>
      <t>Portugal</t>
    </r>
  </si>
  <si>
    <t>−0.316</t>
  </si>
  <si>
    <t>−0.528</t>
  </si>
  <si>
    <t>−0.041</t>
  </si>
  <si>
    <t>−0.786</t>
  </si>
  <si>
    <r>
      <rPr>
        <b/>
        <u/>
        <sz val="12"/>
        <color rgb="FF1155CC"/>
        <rFont val="Calibri"/>
        <family val="2"/>
        <scheme val="minor"/>
      </rPr>
      <t>Peru</t>
    </r>
  </si>
  <si>
    <t>−0.215</t>
  </si>
  <si>
    <t>−0.273</t>
  </si>
  <si>
    <t>−1.828</t>
  </si>
  <si>
    <r>
      <rPr>
        <b/>
        <u/>
        <sz val="12"/>
        <color rgb="FF1155CC"/>
        <rFont val="Calibri"/>
        <family val="2"/>
        <scheme val="minor"/>
      </rPr>
      <t>Gabon</t>
    </r>
  </si>
  <si>
    <r>
      <rPr>
        <b/>
        <u/>
        <sz val="12"/>
        <color rgb="FF1155CC"/>
        <rFont val="Calibri"/>
        <family val="2"/>
        <scheme val="minor"/>
      </rPr>
      <t>Nigeria</t>
    </r>
  </si>
  <si>
    <t>−0.731</t>
  </si>
  <si>
    <t>−0.486</t>
  </si>
  <si>
    <t>−0.737</t>
  </si>
  <si>
    <t>−0.329</t>
  </si>
  <si>
    <r>
      <rPr>
        <b/>
        <u/>
        <sz val="12"/>
        <color rgb="FF1155CC"/>
        <rFont val="Calibri"/>
        <family val="2"/>
        <scheme val="minor"/>
      </rPr>
      <t>Uganda</t>
    </r>
  </si>
  <si>
    <r>
      <rPr>
        <b/>
        <u/>
        <sz val="12"/>
        <color rgb="FF1155CC"/>
        <rFont val="Calibri"/>
        <family val="2"/>
        <scheme val="minor"/>
      </rPr>
      <t>Chad</t>
    </r>
  </si>
  <si>
    <t>−0.067</t>
  </si>
  <si>
    <t>−0.522</t>
  </si>
  <si>
    <t>−1.294</t>
  </si>
  <si>
    <t>−0.470</t>
  </si>
  <si>
    <t>−0.736</t>
  </si>
  <si>
    <t>−1.024</t>
  </si>
  <si>
    <t>−0.618</t>
  </si>
  <si>
    <t>−1.371</t>
  </si>
  <si>
    <t>−1.623</t>
  </si>
  <si>
    <t>−1.180</t>
  </si>
  <si>
    <t>−2.539</t>
  </si>
  <si>
    <t>−2.181</t>
  </si>
  <si>
    <t>−0.590</t>
  </si>
  <si>
    <t>−0.464</t>
  </si>
  <si>
    <r>
      <rPr>
        <b/>
        <u/>
        <sz val="12"/>
        <color rgb="FF1155CC"/>
        <rFont val="Calibri"/>
        <family val="2"/>
        <scheme val="minor"/>
      </rPr>
      <t>Canada</t>
    </r>
  </si>
  <si>
    <t>−0.577</t>
  </si>
  <si>
    <r>
      <rPr>
        <b/>
        <u/>
        <sz val="12"/>
        <color rgb="FF1155CC"/>
        <rFont val="Calibri"/>
        <family val="2"/>
        <scheme val="minor"/>
      </rPr>
      <t>Belgium</t>
    </r>
  </si>
  <si>
    <r>
      <rPr>
        <b/>
        <u/>
        <sz val="12"/>
        <color rgb="FF1155CC"/>
        <rFont val="Calibri"/>
        <family val="2"/>
        <scheme val="minor"/>
      </rPr>
      <t>Ireland</t>
    </r>
  </si>
  <si>
    <t>−0.238</t>
  </si>
  <si>
    <t>−0.411</t>
  </si>
  <si>
    <t>−0.357</t>
  </si>
  <si>
    <t>−0.155</t>
  </si>
  <si>
    <r>
      <rPr>
        <b/>
        <u/>
        <sz val="12"/>
        <color rgb="FF1155CC"/>
        <rFont val="Calibri"/>
        <family val="2"/>
        <scheme val="minor"/>
      </rPr>
      <t>Poland</t>
    </r>
  </si>
  <si>
    <r>
      <rPr>
        <b/>
        <u/>
        <sz val="12"/>
        <color rgb="FF1155CC"/>
        <rFont val="Calibri"/>
        <family val="2"/>
        <scheme val="minor"/>
      </rPr>
      <t>Spain</t>
    </r>
  </si>
  <si>
    <t>−0.785</t>
  </si>
  <si>
    <t>−0.398</t>
  </si>
  <si>
    <t>−0.209</t>
  </si>
  <si>
    <r>
      <rPr>
        <b/>
        <u/>
        <sz val="12"/>
        <color rgb="FF1155CC"/>
        <rFont val="Calibri"/>
        <family val="2"/>
        <scheme val="minor"/>
      </rPr>
      <t>Viet Nam</t>
    </r>
  </si>
  <si>
    <r>
      <rPr>
        <b/>
        <u/>
        <sz val="12"/>
        <color rgb="FF1155CC"/>
        <rFont val="Calibri"/>
        <family val="2"/>
        <scheme val="minor"/>
      </rPr>
      <t>Portugal</t>
    </r>
  </si>
  <si>
    <r>
      <rPr>
        <b/>
        <u/>
        <sz val="12"/>
        <color rgb="FF1155CC"/>
        <rFont val="Calibri"/>
        <family val="2"/>
        <scheme val="minor"/>
      </rPr>
      <t>Ecuador</t>
    </r>
  </si>
  <si>
    <t>−0.140</t>
  </si>
  <si>
    <t>−0.721</t>
  </si>
  <si>
    <t>−1.432</t>
  </si>
  <si>
    <t>−0.058</t>
  </si>
  <si>
    <t>−0.207</t>
  </si>
  <si>
    <r>
      <rPr>
        <b/>
        <u/>
        <sz val="12"/>
        <color rgb="FF1155CC"/>
        <rFont val="Calibri"/>
        <family val="2"/>
        <scheme val="minor"/>
      </rPr>
      <t>Nepal</t>
    </r>
  </si>
  <si>
    <r>
      <rPr>
        <b/>
        <u/>
        <sz val="12"/>
        <color rgb="FF1155CC"/>
        <rFont val="Calibri"/>
        <family val="2"/>
        <scheme val="minor"/>
      </rPr>
      <t>Lao PDR</t>
    </r>
  </si>
  <si>
    <t>−0.367</t>
  </si>
  <si>
    <t>−0.184</t>
  </si>
  <si>
    <r>
      <rPr>
        <b/>
        <u/>
        <sz val="12"/>
        <color rgb="FF1155CC"/>
        <rFont val="Calibri"/>
        <family val="2"/>
        <scheme val="minor"/>
      </rPr>
      <t>Gambia</t>
    </r>
  </si>
  <si>
    <r>
      <rPr>
        <b/>
        <u/>
        <sz val="12"/>
        <color rgb="FF1155CC"/>
        <rFont val="Calibri"/>
        <family val="2"/>
        <scheme val="minor"/>
      </rPr>
      <t>Chad</t>
    </r>
  </si>
  <si>
    <t>−0.802</t>
  </si>
  <si>
    <t>−0.015</t>
  </si>
  <si>
    <t>−1.228</t>
  </si>
  <si>
    <t>−0.718</t>
  </si>
  <si>
    <t>−0.918</t>
  </si>
  <si>
    <t>−0.700</t>
  </si>
  <si>
    <t>−0.285</t>
  </si>
  <si>
    <t>−1.504</t>
  </si>
  <si>
    <t>−1.365</t>
  </si>
  <si>
    <t>−0.692</t>
  </si>
  <si>
    <t>−1.486</t>
  </si>
  <si>
    <t>−1.283</t>
  </si>
  <si>
    <t>−1.073</t>
  </si>
  <si>
    <t>−1.712</t>
  </si>
  <si>
    <t>−2.224</t>
  </si>
  <si>
    <t>−2.319</t>
  </si>
  <si>
    <t>−0.393</t>
  </si>
  <si>
    <t>−0.269</t>
  </si>
  <si>
    <t>−0.715</t>
  </si>
  <si>
    <r>
      <rPr>
        <b/>
        <u/>
        <sz val="12"/>
        <color rgb="FF1155CC"/>
        <rFont val="Calibri"/>
        <family val="2"/>
        <scheme val="minor"/>
      </rPr>
      <t>Ireland</t>
    </r>
  </si>
  <si>
    <t>−0.187</t>
  </si>
  <si>
    <r>
      <rPr>
        <b/>
        <u/>
        <sz val="12"/>
        <color rgb="FF1155CC"/>
        <rFont val="Calibri"/>
        <family val="2"/>
        <scheme val="minor"/>
      </rPr>
      <t>Lithuania</t>
    </r>
  </si>
  <si>
    <r>
      <rPr>
        <b/>
        <u/>
        <sz val="12"/>
        <color rgb="FF1155CC"/>
        <rFont val="Calibri"/>
        <family val="2"/>
        <scheme val="minor"/>
      </rPr>
      <t>Austria</t>
    </r>
  </si>
  <si>
    <t>−0.385</t>
  </si>
  <si>
    <r>
      <rPr>
        <b/>
        <u/>
        <sz val="12"/>
        <color rgb="FF1155CC"/>
        <rFont val="Calibri"/>
        <family val="2"/>
        <scheme val="minor"/>
      </rPr>
      <t>Romania</t>
    </r>
  </si>
  <si>
    <r>
      <rPr>
        <b/>
        <u/>
        <sz val="12"/>
        <color rgb="FF1155CC"/>
        <rFont val="Calibri"/>
        <family val="2"/>
        <scheme val="minor"/>
      </rPr>
      <t>Brazil</t>
    </r>
  </si>
  <si>
    <t>−0.355</t>
  </si>
  <si>
    <t>−0.226</t>
  </si>
  <si>
    <t>Oman</t>
  </si>
  <si>
    <t>−0.656</t>
  </si>
  <si>
    <r>
      <rPr>
        <b/>
        <u/>
        <sz val="12"/>
        <color rgb="FF1155CC"/>
        <rFont val="Calibri"/>
        <family val="2"/>
        <scheme val="minor"/>
      </rPr>
      <t>Paraguay</t>
    </r>
  </si>
  <si>
    <r>
      <rPr>
        <b/>
        <u/>
        <sz val="12"/>
        <color rgb="FF1155CC"/>
        <rFont val="Calibri"/>
        <family val="2"/>
        <scheme val="minor"/>
      </rPr>
      <t>Japan</t>
    </r>
  </si>
  <si>
    <t>−0.412</t>
  </si>
  <si>
    <t>−0.614</t>
  </si>
  <si>
    <r>
      <rPr>
        <b/>
        <u/>
        <sz val="12"/>
        <color rgb="FF1155CC"/>
        <rFont val="Calibri"/>
        <family val="2"/>
        <scheme val="minor"/>
      </rPr>
      <t>Bolivia</t>
    </r>
  </si>
  <si>
    <t>−1.356</t>
  </si>
  <si>
    <t>−0.139</t>
  </si>
  <si>
    <r>
      <rPr>
        <b/>
        <u/>
        <sz val="12"/>
        <color rgb="FF1155CC"/>
        <rFont val="Calibri"/>
        <family val="2"/>
        <scheme val="minor"/>
      </rPr>
      <t>Lao PDR</t>
    </r>
  </si>
  <si>
    <r>
      <rPr>
        <b/>
        <u/>
        <sz val="12"/>
        <color rgb="FF1155CC"/>
        <rFont val="Calibri"/>
        <family val="2"/>
        <scheme val="minor"/>
      </rPr>
      <t>Türkiye</t>
    </r>
  </si>
  <si>
    <t>−0.083</t>
  </si>
  <si>
    <t>−0.377</t>
  </si>
  <si>
    <r>
      <rPr>
        <b/>
        <u/>
        <sz val="12"/>
        <color rgb="FF1155CC"/>
        <rFont val="Calibri"/>
        <family val="2"/>
        <scheme val="minor"/>
      </rPr>
      <t>Morocco</t>
    </r>
  </si>
  <si>
    <r>
      <rPr>
        <b/>
        <u/>
        <sz val="12"/>
        <color rgb="FF1155CC"/>
        <rFont val="Calibri"/>
        <family val="2"/>
        <scheme val="minor"/>
      </rPr>
      <t>Tunisia</t>
    </r>
  </si>
  <si>
    <t>−0.274</t>
  </si>
  <si>
    <t>−0.216</t>
  </si>
  <si>
    <t>−0.751</t>
  </si>
  <si>
    <t>−1.104</t>
  </si>
  <si>
    <r>
      <rPr>
        <b/>
        <u/>
        <sz val="12"/>
        <color rgb="FF1155CC"/>
        <rFont val="Calibri"/>
        <family val="2"/>
        <scheme val="minor"/>
      </rPr>
      <t>Zambia</t>
    </r>
  </si>
  <si>
    <t>−1.094</t>
  </si>
  <si>
    <r>
      <rPr>
        <b/>
        <u/>
        <sz val="12"/>
        <color rgb="FF1155CC"/>
        <rFont val="Calibri"/>
        <family val="2"/>
        <scheme val="minor"/>
      </rPr>
      <t>Ethiopia</t>
    </r>
  </si>
  <si>
    <t>−0.260</t>
  </si>
  <si>
    <t>−0.456</t>
  </si>
  <si>
    <t>−1.093</t>
  </si>
  <si>
    <t>−1.141</t>
  </si>
  <si>
    <t>−1.109</t>
  </si>
  <si>
    <t>−0.532</t>
  </si>
  <si>
    <t>−1.431</t>
  </si>
  <si>
    <t>−0.853</t>
  </si>
  <si>
    <t>−1.743</t>
  </si>
  <si>
    <t>−1.320</t>
  </si>
  <si>
    <t>−2.676</t>
  </si>
  <si>
    <t>−0.225</t>
  </si>
  <si>
    <t>−0.289</t>
  </si>
  <si>
    <t>−0.114</t>
  </si>
  <si>
    <t>−0.632</t>
  </si>
  <si>
    <t>−0.116</t>
  </si>
  <si>
    <r>
      <rPr>
        <b/>
        <u/>
        <sz val="12"/>
        <color rgb="FF1155CC"/>
        <rFont val="Calibri"/>
        <family val="2"/>
        <scheme val="minor"/>
      </rPr>
      <t>Australia</t>
    </r>
  </si>
  <si>
    <r>
      <rPr>
        <b/>
        <u/>
        <sz val="12"/>
        <color rgb="FF1155CC"/>
        <rFont val="Calibri"/>
        <family val="2"/>
        <scheme val="minor"/>
      </rPr>
      <t>Kosovo</t>
    </r>
  </si>
  <si>
    <r>
      <rPr>
        <b/>
        <u/>
        <sz val="12"/>
        <color rgb="FF1155CC"/>
        <rFont val="Calibri"/>
        <family val="2"/>
        <scheme val="minor"/>
      </rPr>
      <t>Germany</t>
    </r>
  </si>
  <si>
    <t>−0.323</t>
  </si>
  <si>
    <t>−0.266</t>
  </si>
  <si>
    <r>
      <rPr>
        <b/>
        <u/>
        <sz val="12"/>
        <color rgb="FF1155CC"/>
        <rFont val="Calibri"/>
        <family val="2"/>
        <scheme val="minor"/>
      </rPr>
      <t>France</t>
    </r>
  </si>
  <si>
    <r>
      <rPr>
        <b/>
        <u/>
        <sz val="12"/>
        <color rgb="FF1155CC"/>
        <rFont val="Calibri"/>
        <family val="2"/>
        <scheme val="minor"/>
      </rPr>
      <t>Singapore</t>
    </r>
  </si>
  <si>
    <t>−0.596</t>
  </si>
  <si>
    <t>−0.132</t>
  </si>
  <si>
    <r>
      <rPr>
        <b/>
        <u/>
        <sz val="12"/>
        <color rgb="FF1155CC"/>
        <rFont val="Calibri"/>
        <family val="2"/>
        <scheme val="minor"/>
      </rPr>
      <t>Slovakia</t>
    </r>
  </si>
  <si>
    <r>
      <rPr>
        <b/>
        <u/>
        <sz val="12"/>
        <color rgb="FF1155CC"/>
        <rFont val="Calibri"/>
        <family val="2"/>
        <scheme val="minor"/>
      </rPr>
      <t>Bahrain</t>
    </r>
  </si>
  <si>
    <r>
      <rPr>
        <b/>
        <u/>
        <sz val="12"/>
        <color rgb="FF1155CC"/>
        <rFont val="Calibri"/>
        <family val="2"/>
        <scheme val="minor"/>
      </rPr>
      <t>Hungary</t>
    </r>
  </si>
  <si>
    <t>−0.022</t>
  </si>
  <si>
    <r>
      <rPr>
        <b/>
        <u/>
        <sz val="12"/>
        <color rgb="FF1155CC"/>
        <rFont val="Calibri"/>
        <family val="2"/>
        <scheme val="minor"/>
      </rPr>
      <t>Mozambique</t>
    </r>
  </si>
  <si>
    <r>
      <rPr>
        <b/>
        <u/>
        <sz val="12"/>
        <color rgb="FF1155CC"/>
        <rFont val="Calibri"/>
        <family val="2"/>
        <scheme val="minor"/>
      </rPr>
      <t>Türkiye</t>
    </r>
  </si>
  <si>
    <t>−0.424</t>
  </si>
  <si>
    <t>−0.028</t>
  </si>
  <si>
    <t>−0.460</t>
  </si>
  <si>
    <t>−0.399</t>
  </si>
  <si>
    <r>
      <rPr>
        <b/>
        <u/>
        <sz val="12"/>
        <color rgb="FF1155CC"/>
        <rFont val="Calibri"/>
        <family val="2"/>
        <scheme val="minor"/>
      </rPr>
      <t>Morocco</t>
    </r>
  </si>
  <si>
    <r>
      <rPr>
        <b/>
        <u/>
        <sz val="12"/>
        <color rgb="FF1155CC"/>
        <rFont val="Calibri"/>
        <family val="2"/>
        <scheme val="minor"/>
      </rPr>
      <t>Guinea</t>
    </r>
  </si>
  <si>
    <t>−0.537</t>
  </si>
  <si>
    <t>−0.236</t>
  </si>
  <si>
    <t>−0.936</t>
  </si>
  <si>
    <t>−0.523</t>
  </si>
  <si>
    <t>−0.485</t>
  </si>
  <si>
    <t>−0.152</t>
  </si>
  <si>
    <r>
      <rPr>
        <b/>
        <u/>
        <sz val="12"/>
        <color rgb="FF1155CC"/>
        <rFont val="Calibri"/>
        <family val="2"/>
        <scheme val="minor"/>
      </rPr>
      <t>Togo</t>
    </r>
  </si>
  <si>
    <r>
      <rPr>
        <b/>
        <u/>
        <sz val="12"/>
        <color rgb="FF1155CC"/>
        <rFont val="Calibri"/>
        <family val="2"/>
        <scheme val="minor"/>
      </rPr>
      <t>Madagascar</t>
    </r>
  </si>
  <si>
    <t>−0.900</t>
  </si>
  <si>
    <t>−0.576</t>
  </si>
  <si>
    <t>−0.958</t>
  </si>
  <si>
    <t>−0.817</t>
  </si>
  <si>
    <t>−1.208</t>
  </si>
  <si>
    <t>−0.506</t>
  </si>
  <si>
    <t>−1.481</t>
  </si>
  <si>
    <t>−0.829</t>
  </si>
  <si>
    <t>−1.067</t>
  </si>
  <si>
    <t>−2.594</t>
  </si>
  <si>
    <t>Region</t>
  </si>
  <si>
    <t>Subregion</t>
  </si>
  <si>
    <t>Intermediate-region</t>
  </si>
  <si>
    <t>name</t>
  </si>
  <si>
    <t>Country code</t>
  </si>
  <si>
    <t>country-code</t>
  </si>
  <si>
    <t>iso_3166-2</t>
  </si>
  <si>
    <t>region</t>
  </si>
  <si>
    <t>sub-region</t>
  </si>
  <si>
    <t>intermediate-region</t>
  </si>
  <si>
    <t xml:space="preserve">source: </t>
  </si>
  <si>
    <t>AF</t>
  </si>
  <si>
    <t>ISO 3166-2:AF</t>
  </si>
  <si>
    <t>Asia</t>
  </si>
  <si>
    <t>Southern Asia</t>
  </si>
  <si>
    <t>https://github.com/lukes/ISO-3166-Countries-with-Regional-Codes/blob/master/all/all.csv</t>
  </si>
  <si>
    <t>Åland Islands</t>
  </si>
  <si>
    <t>AX</t>
  </si>
  <si>
    <t>ISO 3166-2:AX</t>
  </si>
  <si>
    <t>Europe</t>
  </si>
  <si>
    <t>Northern Europe</t>
  </si>
  <si>
    <t>AL</t>
  </si>
  <si>
    <t>ISO 3166-2:AL</t>
  </si>
  <si>
    <t>Southern Europe</t>
  </si>
  <si>
    <t>DZ</t>
  </si>
  <si>
    <t>ISO 3166-2:DZ</t>
  </si>
  <si>
    <t>Africa</t>
  </si>
  <si>
    <t>Northern Africa</t>
  </si>
  <si>
    <t>American Samoa</t>
  </si>
  <si>
    <t>AS</t>
  </si>
  <si>
    <t>ISO 3166-2:AS</t>
  </si>
  <si>
    <t>Oceania</t>
  </si>
  <si>
    <t>Polynesia</t>
  </si>
  <si>
    <t>Andorra</t>
  </si>
  <si>
    <t>AD</t>
  </si>
  <si>
    <t>ISO 3166-2:AD</t>
  </si>
  <si>
    <t>AO</t>
  </si>
  <si>
    <t>ISO 3166-2:AO</t>
  </si>
  <si>
    <t>Sub-Saharan Africa</t>
  </si>
  <si>
    <t>Middle Africa</t>
  </si>
  <si>
    <t>Anguilla</t>
  </si>
  <si>
    <t>AI</t>
  </si>
  <si>
    <t>ISO 3166-2:AI</t>
  </si>
  <si>
    <t>Americas</t>
  </si>
  <si>
    <t>Latin America and the Caribbean</t>
  </si>
  <si>
    <t>Caribbean</t>
  </si>
  <si>
    <t>Antarctica</t>
  </si>
  <si>
    <t>AQ</t>
  </si>
  <si>
    <t>ISO 3166-2:AQ</t>
  </si>
  <si>
    <t>Antigua and Barbuda</t>
  </si>
  <si>
    <t>AG</t>
  </si>
  <si>
    <t>ISO 3166-2:AG</t>
  </si>
  <si>
    <t>AR</t>
  </si>
  <si>
    <t>ISO 3166-2:AR</t>
  </si>
  <si>
    <t>South America</t>
  </si>
  <si>
    <t>AM</t>
  </si>
  <si>
    <t>ISO 3166-2:AM</t>
  </si>
  <si>
    <t>Western Asia</t>
  </si>
  <si>
    <t>Aruba</t>
  </si>
  <si>
    <t>AW</t>
  </si>
  <si>
    <t>ISO 3166-2:AW</t>
  </si>
  <si>
    <t>AU</t>
  </si>
  <si>
    <t>ISO 3166-2:AU</t>
  </si>
  <si>
    <t>Australia and New Zealand</t>
  </si>
  <si>
    <t>AT</t>
  </si>
  <si>
    <t>ISO 3166-2:AT</t>
  </si>
  <si>
    <t>Western Europe</t>
  </si>
  <si>
    <t>AZ</t>
  </si>
  <si>
    <t>ISO 3166-2:AZ</t>
  </si>
  <si>
    <t>Bahamas</t>
  </si>
  <si>
    <t>BS</t>
  </si>
  <si>
    <t>ISO 3166-2:BS</t>
  </si>
  <si>
    <t>BH</t>
  </si>
  <si>
    <t>ISO 3166-2:BH</t>
  </si>
  <si>
    <t>BD</t>
  </si>
  <si>
    <t>ISO 3166-2:BD</t>
  </si>
  <si>
    <t>Barbados</t>
  </si>
  <si>
    <t>BB</t>
  </si>
  <si>
    <t>ISO 3166-2:BB</t>
  </si>
  <si>
    <t>BY</t>
  </si>
  <si>
    <t>ISO 3166-2:BY</t>
  </si>
  <si>
    <t>Eastern Europe</t>
  </si>
  <si>
    <t>BE</t>
  </si>
  <si>
    <t>ISO 3166-2:BE</t>
  </si>
  <si>
    <t>BZ</t>
  </si>
  <si>
    <t>ISO 3166-2:BZ</t>
  </si>
  <si>
    <t>Central America</t>
  </si>
  <si>
    <t>BJ</t>
  </si>
  <si>
    <t>ISO 3166-2:BJ</t>
  </si>
  <si>
    <t>Western Africa</t>
  </si>
  <si>
    <t>Bermuda</t>
  </si>
  <si>
    <t>BM</t>
  </si>
  <si>
    <t>ISO 3166-2:BM</t>
  </si>
  <si>
    <t>Northern America</t>
  </si>
  <si>
    <t>BT</t>
  </si>
  <si>
    <t>ISO 3166-2:BT</t>
  </si>
  <si>
    <t>Bolivia, Plurinational State of</t>
  </si>
  <si>
    <t>BO</t>
  </si>
  <si>
    <t>ISO 3166-2:BO</t>
  </si>
  <si>
    <t>Bonaire, Sint Eustatius and Saba</t>
  </si>
  <si>
    <t>BQ</t>
  </si>
  <si>
    <t>ISO 3166-2:BQ</t>
  </si>
  <si>
    <t>BA</t>
  </si>
  <si>
    <t>ISO 3166-2:BA</t>
  </si>
  <si>
    <t>BW</t>
  </si>
  <si>
    <t>ISO 3166-2:BW</t>
  </si>
  <si>
    <t>Southern Africa</t>
  </si>
  <si>
    <t>Bouvet Island</t>
  </si>
  <si>
    <t>BV</t>
  </si>
  <si>
    <t>ISO 3166-2:BV</t>
  </si>
  <si>
    <t>BR</t>
  </si>
  <si>
    <t>ISO 3166-2:BR</t>
  </si>
  <si>
    <t>British Indian Ocean Territory</t>
  </si>
  <si>
    <t>IO</t>
  </si>
  <si>
    <t>ISO 3166-2:IO</t>
  </si>
  <si>
    <t>Eastern Africa</t>
  </si>
  <si>
    <t>Brunei Darussalam</t>
  </si>
  <si>
    <t>BN</t>
  </si>
  <si>
    <t>ISO 3166-2:BN</t>
  </si>
  <si>
    <t>South-eastern Asia</t>
  </si>
  <si>
    <t>BG</t>
  </si>
  <si>
    <t>ISO 3166-2:BG</t>
  </si>
  <si>
    <t>BF</t>
  </si>
  <si>
    <t>ISO 3166-2:BF</t>
  </si>
  <si>
    <t>BI</t>
  </si>
  <si>
    <t>ISO 3166-2:BI</t>
  </si>
  <si>
    <t>Cabo Verde</t>
  </si>
  <si>
    <t>CV</t>
  </si>
  <si>
    <t>ISO 3166-2:CV</t>
  </si>
  <si>
    <t>KH</t>
  </si>
  <si>
    <t>ISO 3166-2:KH</t>
  </si>
  <si>
    <t>CM</t>
  </si>
  <si>
    <t>ISO 3166-2:CM</t>
  </si>
  <si>
    <t>CA</t>
  </si>
  <si>
    <t>ISO 3166-2:CA</t>
  </si>
  <si>
    <t>Cayman Islands</t>
  </si>
  <si>
    <t>KY</t>
  </si>
  <si>
    <t>ISO 3166-2:KY</t>
  </si>
  <si>
    <t>CF</t>
  </si>
  <si>
    <t>ISO 3166-2:CF</t>
  </si>
  <si>
    <t>TD</t>
  </si>
  <si>
    <t>ISO 3166-2:TD</t>
  </si>
  <si>
    <t>CL</t>
  </si>
  <si>
    <t>ISO 3166-2:CL</t>
  </si>
  <si>
    <t>CN</t>
  </si>
  <si>
    <t>ISO 3166-2:CN</t>
  </si>
  <si>
    <t>Eastern Asia</t>
  </si>
  <si>
    <t>Christmas Island</t>
  </si>
  <si>
    <t>CX</t>
  </si>
  <si>
    <t>ISO 3166-2:CX</t>
  </si>
  <si>
    <t>Cocos (Keeling) Islands</t>
  </si>
  <si>
    <t>CC</t>
  </si>
  <si>
    <t>ISO 3166-2:CC</t>
  </si>
  <si>
    <t>CO</t>
  </si>
  <si>
    <t>ISO 3166-2:CO</t>
  </si>
  <si>
    <t>KM</t>
  </si>
  <si>
    <t>ISO 3166-2:KM</t>
  </si>
  <si>
    <t>CG</t>
  </si>
  <si>
    <t>ISO 3166-2:CG</t>
  </si>
  <si>
    <t>Congo, Democratic Republic of the</t>
  </si>
  <si>
    <t>CD</t>
  </si>
  <si>
    <t>ISO 3166-2:CD</t>
  </si>
  <si>
    <t>Cook Islands</t>
  </si>
  <si>
    <t>CK</t>
  </si>
  <si>
    <t>ISO 3166-2:CK</t>
  </si>
  <si>
    <t>CR</t>
  </si>
  <si>
    <t>ISO 3166-2:CR</t>
  </si>
  <si>
    <t>Côte d'Ivoire</t>
  </si>
  <si>
    <t>CI</t>
  </si>
  <si>
    <t>ISO 3166-2:CI</t>
  </si>
  <si>
    <t>HR</t>
  </si>
  <si>
    <t>ISO 3166-2:HR</t>
  </si>
  <si>
    <t>Cuba</t>
  </si>
  <si>
    <t>CU</t>
  </si>
  <si>
    <t>ISO 3166-2:CU</t>
  </si>
  <si>
    <t>Curaçao</t>
  </si>
  <si>
    <t>CW</t>
  </si>
  <si>
    <t>ISO 3166-2:CW</t>
  </si>
  <si>
    <t>CY</t>
  </si>
  <si>
    <t>ISO 3166-2:CY</t>
  </si>
  <si>
    <t>CZ</t>
  </si>
  <si>
    <t>ISO 3166-2:CZ</t>
  </si>
  <si>
    <t>DK</t>
  </si>
  <si>
    <t>ISO 3166-2:DK</t>
  </si>
  <si>
    <t>Djibouti</t>
  </si>
  <si>
    <t>DJ</t>
  </si>
  <si>
    <t>ISO 3166-2:DJ</t>
  </si>
  <si>
    <t>Dominica</t>
  </si>
  <si>
    <t>DM</t>
  </si>
  <si>
    <t>ISO 3166-2:DM</t>
  </si>
  <si>
    <t>DO</t>
  </si>
  <si>
    <t>ISO 3166-2:DO</t>
  </si>
  <si>
    <t>EC</t>
  </si>
  <si>
    <t>ISO 3166-2:EC</t>
  </si>
  <si>
    <t>EG</t>
  </si>
  <si>
    <t>ISO 3166-2:EG</t>
  </si>
  <si>
    <t>SV</t>
  </si>
  <si>
    <t>ISO 3166-2:SV</t>
  </si>
  <si>
    <t>Equatorial Guinea</t>
  </si>
  <si>
    <t>GQ</t>
  </si>
  <si>
    <t>ISO 3166-2:GQ</t>
  </si>
  <si>
    <t>Eritrea</t>
  </si>
  <si>
    <t>ER</t>
  </si>
  <si>
    <t>ISO 3166-2:ER</t>
  </si>
  <si>
    <t>EE</t>
  </si>
  <si>
    <t>ISO 3166-2:EE</t>
  </si>
  <si>
    <t>SZ</t>
  </si>
  <si>
    <t>ISO 3166-2:SZ</t>
  </si>
  <si>
    <t>ET</t>
  </si>
  <si>
    <t>ISO 3166-2:ET</t>
  </si>
  <si>
    <t>Falkland Islands (Malvinas)</t>
  </si>
  <si>
    <t>FK</t>
  </si>
  <si>
    <t>ISO 3166-2:FK</t>
  </si>
  <si>
    <t>Faroe Islands</t>
  </si>
  <si>
    <t>FO</t>
  </si>
  <si>
    <t>ISO 3166-2:FO</t>
  </si>
  <si>
    <t>Fiji</t>
  </si>
  <si>
    <t>FJ</t>
  </si>
  <si>
    <t>ISO 3166-2:FJ</t>
  </si>
  <si>
    <t>Melanesia</t>
  </si>
  <si>
    <t>FI</t>
  </si>
  <si>
    <t>ISO 3166-2:FI</t>
  </si>
  <si>
    <t>FR</t>
  </si>
  <si>
    <t>ISO 3166-2:FR</t>
  </si>
  <si>
    <t>French Guiana</t>
  </si>
  <si>
    <t>GF</t>
  </si>
  <si>
    <t>ISO 3166-2:GF</t>
  </si>
  <si>
    <t>French Polynesia</t>
  </si>
  <si>
    <t>PF</t>
  </si>
  <si>
    <t>ISO 3166-2:PF</t>
  </si>
  <si>
    <t>French Southern Territories</t>
  </si>
  <si>
    <t>TF</t>
  </si>
  <si>
    <t>ISO 3166-2:TF</t>
  </si>
  <si>
    <t>GA</t>
  </si>
  <si>
    <t>ISO 3166-2:GA</t>
  </si>
  <si>
    <t>GM</t>
  </si>
  <si>
    <t>ISO 3166-2:GM</t>
  </si>
  <si>
    <t>GE</t>
  </si>
  <si>
    <t>ISO 3166-2:GE</t>
  </si>
  <si>
    <t>DE</t>
  </si>
  <si>
    <t>ISO 3166-2:DE</t>
  </si>
  <si>
    <t>GH</t>
  </si>
  <si>
    <t>ISO 3166-2:GH</t>
  </si>
  <si>
    <t>Gibraltar</t>
  </si>
  <si>
    <t>GI</t>
  </si>
  <si>
    <t>ISO 3166-2:GI</t>
  </si>
  <si>
    <t>GR</t>
  </si>
  <si>
    <t>ISO 3166-2:GR</t>
  </si>
  <si>
    <t>Greenland</t>
  </si>
  <si>
    <t>GL</t>
  </si>
  <si>
    <t>ISO 3166-2:GL</t>
  </si>
  <si>
    <t>Grenada</t>
  </si>
  <si>
    <t>GD</t>
  </si>
  <si>
    <t>ISO 3166-2:GD</t>
  </si>
  <si>
    <t>Guadeloupe</t>
  </si>
  <si>
    <t>GP</t>
  </si>
  <si>
    <t>ISO 3166-2:GP</t>
  </si>
  <si>
    <t>Guam</t>
  </si>
  <si>
    <t>GU</t>
  </si>
  <si>
    <t>ISO 3166-2:GU</t>
  </si>
  <si>
    <t>Micronesia</t>
  </si>
  <si>
    <t>GT</t>
  </si>
  <si>
    <t>ISO 3166-2:GT</t>
  </si>
  <si>
    <t>Guernsey</t>
  </si>
  <si>
    <t>GG</t>
  </si>
  <si>
    <t>ISO 3166-2:GG</t>
  </si>
  <si>
    <t>GN</t>
  </si>
  <si>
    <t>ISO 3166-2:GN</t>
  </si>
  <si>
    <t>Guinea-Bissau</t>
  </si>
  <si>
    <t>GW</t>
  </si>
  <si>
    <t>ISO 3166-2:GW</t>
  </si>
  <si>
    <t>Guyana</t>
  </si>
  <si>
    <t>GY</t>
  </si>
  <si>
    <t>ISO 3166-2:GY</t>
  </si>
  <si>
    <t>HT</t>
  </si>
  <si>
    <t>ISO 3166-2:HT</t>
  </si>
  <si>
    <t>Heard Island and McDonald Islands</t>
  </si>
  <si>
    <t>HM</t>
  </si>
  <si>
    <t>ISO 3166-2:HM</t>
  </si>
  <si>
    <t>Holy See</t>
  </si>
  <si>
    <t>VA</t>
  </si>
  <si>
    <t>ISO 3166-2:VA</t>
  </si>
  <si>
    <t>HN</t>
  </si>
  <si>
    <t>ISO 3166-2:HN</t>
  </si>
  <si>
    <t>Hong Kong</t>
  </si>
  <si>
    <t>HK</t>
  </si>
  <si>
    <t>ISO 3166-2:HK</t>
  </si>
  <si>
    <t>HU</t>
  </si>
  <si>
    <t>ISO 3166-2:HU</t>
  </si>
  <si>
    <t>IS</t>
  </si>
  <si>
    <t>ISO 3166-2:IS</t>
  </si>
  <si>
    <t>IN</t>
  </si>
  <si>
    <t>ISO 3166-2:IN</t>
  </si>
  <si>
    <t>ID</t>
  </si>
  <si>
    <t>ISO 3166-2:ID</t>
  </si>
  <si>
    <t>Iran, Islamic Republic of</t>
  </si>
  <si>
    <t>IR</t>
  </si>
  <si>
    <t>ISO 3166-2:IR</t>
  </si>
  <si>
    <t>IQ</t>
  </si>
  <si>
    <t>ISO 3166-2:IQ</t>
  </si>
  <si>
    <t>IE</t>
  </si>
  <si>
    <t>ISO 3166-2:IE</t>
  </si>
  <si>
    <t>Isle of Man</t>
  </si>
  <si>
    <t>IM</t>
  </si>
  <si>
    <t>ISO 3166-2:IM</t>
  </si>
  <si>
    <t>IL</t>
  </si>
  <si>
    <t>ISO 3166-2:IL</t>
  </si>
  <si>
    <t>IT</t>
  </si>
  <si>
    <t>ISO 3166-2:IT</t>
  </si>
  <si>
    <t>JM</t>
  </si>
  <si>
    <t>ISO 3166-2:JM</t>
  </si>
  <si>
    <t>JP</t>
  </si>
  <si>
    <t>ISO 3166-2:JP</t>
  </si>
  <si>
    <t>Jersey</t>
  </si>
  <si>
    <t>JE</t>
  </si>
  <si>
    <t>ISO 3166-2:JE</t>
  </si>
  <si>
    <t>JO</t>
  </si>
  <si>
    <t>ISO 3166-2:JO</t>
  </si>
  <si>
    <t>KZ</t>
  </si>
  <si>
    <t>ISO 3166-2:KZ</t>
  </si>
  <si>
    <t>Central Asia</t>
  </si>
  <si>
    <t>KE</t>
  </si>
  <si>
    <t>ISO 3166-2:KE</t>
  </si>
  <si>
    <t>Kiribati</t>
  </si>
  <si>
    <t>KI</t>
  </si>
  <si>
    <t>ISO 3166-2:KI</t>
  </si>
  <si>
    <t>Korea, Democratic People's Republic of</t>
  </si>
  <si>
    <t>KP</t>
  </si>
  <si>
    <t>ISO 3166-2:KP</t>
  </si>
  <si>
    <t>Korea, Republic of</t>
  </si>
  <si>
    <t>KR</t>
  </si>
  <si>
    <t>ISO 3166-2:KR</t>
  </si>
  <si>
    <t>KW</t>
  </si>
  <si>
    <t>ISO 3166-2:KW</t>
  </si>
  <si>
    <t>KG</t>
  </si>
  <si>
    <t>ISO 3166-2:KG</t>
  </si>
  <si>
    <t>Lao People's Democratic Republic</t>
  </si>
  <si>
    <t>LA</t>
  </si>
  <si>
    <t>ISO 3166-2:LA</t>
  </si>
  <si>
    <t>LV</t>
  </si>
  <si>
    <t>ISO 3166-2:LV</t>
  </si>
  <si>
    <t>LB</t>
  </si>
  <si>
    <t>ISO 3166-2:LB</t>
  </si>
  <si>
    <t>LS</t>
  </si>
  <si>
    <t>ISO 3166-2:LS</t>
  </si>
  <si>
    <t>LR</t>
  </si>
  <si>
    <t>ISO 3166-2:LR</t>
  </si>
  <si>
    <t>LY</t>
  </si>
  <si>
    <t>ISO 3166-2:LY</t>
  </si>
  <si>
    <t>Liechtenstein</t>
  </si>
  <si>
    <t>LI</t>
  </si>
  <si>
    <t>ISO 3166-2:LI</t>
  </si>
  <si>
    <t>LT</t>
  </si>
  <si>
    <t>ISO 3166-2:LT</t>
  </si>
  <si>
    <t>LU</t>
  </si>
  <si>
    <t>ISO 3166-2:LU</t>
  </si>
  <si>
    <t>Macao</t>
  </si>
  <si>
    <t>MO</t>
  </si>
  <si>
    <t>ISO 3166-2:MO</t>
  </si>
  <si>
    <t>MG</t>
  </si>
  <si>
    <t>ISO 3166-2:MG</t>
  </si>
  <si>
    <t>MW</t>
  </si>
  <si>
    <t>ISO 3166-2:MW</t>
  </si>
  <si>
    <t>MY</t>
  </si>
  <si>
    <t>ISO 3166-2:MY</t>
  </si>
  <si>
    <t>MV</t>
  </si>
  <si>
    <t>ISO 3166-2:MV</t>
  </si>
  <si>
    <t>ML</t>
  </si>
  <si>
    <t>ISO 3166-2:ML</t>
  </si>
  <si>
    <t>MT</t>
  </si>
  <si>
    <t>ISO 3166-2:MT</t>
  </si>
  <si>
    <t>Marshall Islands</t>
  </si>
  <si>
    <t>MH</t>
  </si>
  <si>
    <t>ISO 3166-2:MH</t>
  </si>
  <si>
    <t>Martinique</t>
  </si>
  <si>
    <t>MQ</t>
  </si>
  <si>
    <t>ISO 3166-2:MQ</t>
  </si>
  <si>
    <t>MR</t>
  </si>
  <si>
    <t>ISO 3166-2:MR</t>
  </si>
  <si>
    <t>MU</t>
  </si>
  <si>
    <t>ISO 3166-2:MU</t>
  </si>
  <si>
    <t>Mayotte</t>
  </si>
  <si>
    <t>YT</t>
  </si>
  <si>
    <t>ISO 3166-2:YT</t>
  </si>
  <si>
    <t>MX</t>
  </si>
  <si>
    <t>ISO 3166-2:MX</t>
  </si>
  <si>
    <t>Micronesia, Federated States of</t>
  </si>
  <si>
    <t>FM</t>
  </si>
  <si>
    <t>ISO 3166-2:FM</t>
  </si>
  <si>
    <t>Moldova, Republic of</t>
  </si>
  <si>
    <t>MD</t>
  </si>
  <si>
    <t>ISO 3166-2:MD</t>
  </si>
  <si>
    <t>Monaco</t>
  </si>
  <si>
    <t>MC</t>
  </si>
  <si>
    <t>ISO 3166-2:MC</t>
  </si>
  <si>
    <t>MN</t>
  </si>
  <si>
    <t>ISO 3166-2:MN</t>
  </si>
  <si>
    <t>ME</t>
  </si>
  <si>
    <t>ISO 3166-2:ME</t>
  </si>
  <si>
    <t>Montserrat</t>
  </si>
  <si>
    <t>MS</t>
  </si>
  <si>
    <t>ISO 3166-2:MS</t>
  </si>
  <si>
    <t>MA</t>
  </si>
  <si>
    <t>ISO 3166-2:MA</t>
  </si>
  <si>
    <t>MZ</t>
  </si>
  <si>
    <t>ISO 3166-2:MZ</t>
  </si>
  <si>
    <t>MM</t>
  </si>
  <si>
    <t>ISO 3166-2:MM</t>
  </si>
  <si>
    <t>NA</t>
  </si>
  <si>
    <t>ISO 3166-2:NA</t>
  </si>
  <si>
    <t>Nauru</t>
  </si>
  <si>
    <t>NR</t>
  </si>
  <si>
    <t>ISO 3166-2:NR</t>
  </si>
  <si>
    <t>NP</t>
  </si>
  <si>
    <t>ISO 3166-2:NP</t>
  </si>
  <si>
    <t>Netherlands, Kingdom of the</t>
  </si>
  <si>
    <t>NL</t>
  </si>
  <si>
    <t>ISO 3166-2:NL</t>
  </si>
  <si>
    <t>New Caledonia</t>
  </si>
  <si>
    <t>NC</t>
  </si>
  <si>
    <t>ISO 3166-2:NC</t>
  </si>
  <si>
    <t>NZ</t>
  </si>
  <si>
    <t>ISO 3166-2:NZ</t>
  </si>
  <si>
    <t>NI</t>
  </si>
  <si>
    <t>ISO 3166-2:NI</t>
  </si>
  <si>
    <t>NE</t>
  </si>
  <si>
    <t>ISO 3166-2:NE</t>
  </si>
  <si>
    <t>NG</t>
  </si>
  <si>
    <t>ISO 3166-2:NG</t>
  </si>
  <si>
    <t>Niue</t>
  </si>
  <si>
    <t>NU</t>
  </si>
  <si>
    <t>ISO 3166-2:NU</t>
  </si>
  <si>
    <t>Norfolk Island</t>
  </si>
  <si>
    <t>NF</t>
  </si>
  <si>
    <t>ISO 3166-2:NF</t>
  </si>
  <si>
    <t>MK</t>
  </si>
  <si>
    <t>ISO 3166-2:MK</t>
  </si>
  <si>
    <t>Northern Mariana Islands</t>
  </si>
  <si>
    <t>MP</t>
  </si>
  <si>
    <t>ISO 3166-2:MP</t>
  </si>
  <si>
    <t>NO</t>
  </si>
  <si>
    <t>ISO 3166-2:NO</t>
  </si>
  <si>
    <t>OM</t>
  </si>
  <si>
    <t>ISO 3166-2:OM</t>
  </si>
  <si>
    <t>PK</t>
  </si>
  <si>
    <t>ISO 3166-2:PK</t>
  </si>
  <si>
    <t>Palau</t>
  </si>
  <si>
    <t>PW</t>
  </si>
  <si>
    <t>ISO 3166-2:PW</t>
  </si>
  <si>
    <t>Palestine, State of</t>
  </si>
  <si>
    <t>PS</t>
  </si>
  <si>
    <t>ISO 3166-2:PS</t>
  </si>
  <si>
    <t>PA</t>
  </si>
  <si>
    <t>ISO 3166-2:PA</t>
  </si>
  <si>
    <t>Papua New Guinea</t>
  </si>
  <si>
    <t>PG</t>
  </si>
  <si>
    <t>ISO 3166-2:PG</t>
  </si>
  <si>
    <t>PY</t>
  </si>
  <si>
    <t>ISO 3166-2:PY</t>
  </si>
  <si>
    <t>PE</t>
  </si>
  <si>
    <t>ISO 3166-2:PE</t>
  </si>
  <si>
    <t>PH</t>
  </si>
  <si>
    <t>ISO 3166-2:PH</t>
  </si>
  <si>
    <t>Pitcairn</t>
  </si>
  <si>
    <t>PN</t>
  </si>
  <si>
    <t>ISO 3166-2:PN</t>
  </si>
  <si>
    <t>PL</t>
  </si>
  <si>
    <t>ISO 3166-2:PL</t>
  </si>
  <si>
    <t>PT</t>
  </si>
  <si>
    <t>ISO 3166-2:PT</t>
  </si>
  <si>
    <t>Puerto Rico</t>
  </si>
  <si>
    <t>PR</t>
  </si>
  <si>
    <t>ISO 3166-2:PR</t>
  </si>
  <si>
    <t>QA</t>
  </si>
  <si>
    <t>ISO 3166-2:QA</t>
  </si>
  <si>
    <t>Réunion</t>
  </si>
  <si>
    <t>RE</t>
  </si>
  <si>
    <t>ISO 3166-2:RE</t>
  </si>
  <si>
    <t>RO</t>
  </si>
  <si>
    <t>ISO 3166-2:RO</t>
  </si>
  <si>
    <t>RU</t>
  </si>
  <si>
    <t>ISO 3166-2:RU</t>
  </si>
  <si>
    <t>RW</t>
  </si>
  <si>
    <t>ISO 3166-2:RW</t>
  </si>
  <si>
    <t>Saint Barthélemy</t>
  </si>
  <si>
    <t>BL</t>
  </si>
  <si>
    <t>ISO 3166-2:BL</t>
  </si>
  <si>
    <t>Saint Helena, Ascension and Tristan da Cunha</t>
  </si>
  <si>
    <t>SH</t>
  </si>
  <si>
    <t>ISO 3166-2:SH</t>
  </si>
  <si>
    <t>Saint Kitts and Nevis</t>
  </si>
  <si>
    <t>KN</t>
  </si>
  <si>
    <t>ISO 3166-2:KN</t>
  </si>
  <si>
    <t>Saint Lucia</t>
  </si>
  <si>
    <t>LC</t>
  </si>
  <si>
    <t>ISO 3166-2:LC</t>
  </si>
  <si>
    <t>Saint Martin (French part)</t>
  </si>
  <si>
    <t>MF</t>
  </si>
  <si>
    <t>ISO 3166-2:MF</t>
  </si>
  <si>
    <t>Saint Pierre and Miquelon</t>
  </si>
  <si>
    <t>PM</t>
  </si>
  <si>
    <t>ISO 3166-2:PM</t>
  </si>
  <si>
    <t>Saint Vincent and the Grenadines</t>
  </si>
  <si>
    <t>VC</t>
  </si>
  <si>
    <t>ISO 3166-2:VC</t>
  </si>
  <si>
    <t>Samoa</t>
  </si>
  <si>
    <t>WS</t>
  </si>
  <si>
    <t>ISO 3166-2:WS</t>
  </si>
  <si>
    <t>San Marino</t>
  </si>
  <si>
    <t>SM</t>
  </si>
  <si>
    <t>ISO 3166-2:SM</t>
  </si>
  <si>
    <t>Sao Tome and Principe</t>
  </si>
  <si>
    <t>ST</t>
  </si>
  <si>
    <t>ISO 3166-2:ST</t>
  </si>
  <si>
    <t>SA</t>
  </si>
  <si>
    <t>ISO 3166-2:SA</t>
  </si>
  <si>
    <t>SN</t>
  </si>
  <si>
    <t>ISO 3166-2:SN</t>
  </si>
  <si>
    <t>RS</t>
  </si>
  <si>
    <t>ISO 3166-2:RS</t>
  </si>
  <si>
    <t>Seychelles</t>
  </si>
  <si>
    <t>SC</t>
  </si>
  <si>
    <t>ISO 3166-2:SC</t>
  </si>
  <si>
    <t>SL</t>
  </si>
  <si>
    <t>ISO 3166-2:SL</t>
  </si>
  <si>
    <t>SG</t>
  </si>
  <si>
    <t>ISO 3166-2:SG</t>
  </si>
  <si>
    <t>Sint Maarten (Dutch part)</t>
  </si>
  <si>
    <t>SX</t>
  </si>
  <si>
    <t>ISO 3166-2:SX</t>
  </si>
  <si>
    <t>SK</t>
  </si>
  <si>
    <t>ISO 3166-2:SK</t>
  </si>
  <si>
    <t>SI</t>
  </si>
  <si>
    <t>ISO 3166-2:SI</t>
  </si>
  <si>
    <t>Solomon Islands</t>
  </si>
  <si>
    <t>SB</t>
  </si>
  <si>
    <t>ISO 3166-2:SB</t>
  </si>
  <si>
    <t>SO</t>
  </si>
  <si>
    <t>ISO 3166-2:SO</t>
  </si>
  <si>
    <t>ZA</t>
  </si>
  <si>
    <t>ISO 3166-2:ZA</t>
  </si>
  <si>
    <t>South Georgia and the South Sandwich Islands</t>
  </si>
  <si>
    <t>GS</t>
  </si>
  <si>
    <t>ISO 3166-2:GS</t>
  </si>
  <si>
    <t>SS</t>
  </si>
  <si>
    <t>ISO 3166-2:SS</t>
  </si>
  <si>
    <t>ES</t>
  </si>
  <si>
    <t>ISO 3166-2:ES</t>
  </si>
  <si>
    <t>LK</t>
  </si>
  <si>
    <t>ISO 3166-2:LK</t>
  </si>
  <si>
    <t>SD</t>
  </si>
  <si>
    <t>ISO 3166-2:SD</t>
  </si>
  <si>
    <t>SR</t>
  </si>
  <si>
    <t>ISO 3166-2:SR</t>
  </si>
  <si>
    <t>Svalbard and Jan Mayen</t>
  </si>
  <si>
    <t>SJ</t>
  </si>
  <si>
    <t>ISO 3166-2:SJ</t>
  </si>
  <si>
    <t>SE</t>
  </si>
  <si>
    <t>ISO 3166-2:SE</t>
  </si>
  <si>
    <t>CH</t>
  </si>
  <si>
    <t>ISO 3166-2:CH</t>
  </si>
  <si>
    <t>Syrian Arab Republic</t>
  </si>
  <si>
    <t>SY</t>
  </si>
  <si>
    <t>ISO 3166-2:SY</t>
  </si>
  <si>
    <t>Taiwan, Province of China</t>
  </si>
  <si>
    <t>TW</t>
  </si>
  <si>
    <t>ISO 3166-2:TW</t>
  </si>
  <si>
    <t>TJ</t>
  </si>
  <si>
    <t>ISO 3166-2:TJ</t>
  </si>
  <si>
    <t>Tanzania, United Republic of</t>
  </si>
  <si>
    <t>TZ</t>
  </si>
  <si>
    <t>ISO 3166-2:TZ</t>
  </si>
  <si>
    <t>TH</t>
  </si>
  <si>
    <t>ISO 3166-2:TH</t>
  </si>
  <si>
    <t>Timor-Leste</t>
  </si>
  <si>
    <t>TL</t>
  </si>
  <si>
    <t>ISO 3166-2:TL</t>
  </si>
  <si>
    <t>TG</t>
  </si>
  <si>
    <t>ISO 3166-2:TG</t>
  </si>
  <si>
    <t>Tokelau</t>
  </si>
  <si>
    <t>TK</t>
  </si>
  <si>
    <t>ISO 3166-2:TK</t>
  </si>
  <si>
    <t>Tonga</t>
  </si>
  <si>
    <t>TO</t>
  </si>
  <si>
    <t>ISO 3166-2:TO</t>
  </si>
  <si>
    <t>TT</t>
  </si>
  <si>
    <t>ISO 3166-2:TT</t>
  </si>
  <si>
    <t>TN</t>
  </si>
  <si>
    <t>ISO 3166-2:TN</t>
  </si>
  <si>
    <t>TR</t>
  </si>
  <si>
    <t>ISO 3166-2:TR</t>
  </si>
  <si>
    <t>TM</t>
  </si>
  <si>
    <t>ISO 3166-2:TM</t>
  </si>
  <si>
    <t>Turks and Caicos Islands</t>
  </si>
  <si>
    <t>TC</t>
  </si>
  <si>
    <t>ISO 3166-2:TC</t>
  </si>
  <si>
    <t>Tuvalu</t>
  </si>
  <si>
    <t>TV</t>
  </si>
  <si>
    <t>ISO 3166-2:TV</t>
  </si>
  <si>
    <t>UG</t>
  </si>
  <si>
    <t>ISO 3166-2:UG</t>
  </si>
  <si>
    <t>UA</t>
  </si>
  <si>
    <t>ISO 3166-2:UA</t>
  </si>
  <si>
    <t>AE</t>
  </si>
  <si>
    <t>ISO 3166-2:AE</t>
  </si>
  <si>
    <t>United Kingdom of Great Britain and Northern Ireland</t>
  </si>
  <si>
    <t>GB</t>
  </si>
  <si>
    <t>ISO 3166-2:GB</t>
  </si>
  <si>
    <t>United States of America</t>
  </si>
  <si>
    <t>US</t>
  </si>
  <si>
    <t>ISO 3166-2:US</t>
  </si>
  <si>
    <t>United States Minor Outlying Islands</t>
  </si>
  <si>
    <t>UM</t>
  </si>
  <si>
    <t>ISO 3166-2:UM</t>
  </si>
  <si>
    <t>UY</t>
  </si>
  <si>
    <t>ISO 3166-2:UY</t>
  </si>
  <si>
    <t>UZ</t>
  </si>
  <si>
    <t>ISO 3166-2:UZ</t>
  </si>
  <si>
    <t>Vanuatu</t>
  </si>
  <si>
    <t>VU</t>
  </si>
  <si>
    <t>ISO 3166-2:VU</t>
  </si>
  <si>
    <t>Venezuela, Bolivarian Republic of</t>
  </si>
  <si>
    <t>VE</t>
  </si>
  <si>
    <t>ISO 3166-2:VE</t>
  </si>
  <si>
    <t>VN</t>
  </si>
  <si>
    <t>ISO 3166-2:VN</t>
  </si>
  <si>
    <t>Virgin Islands (British)</t>
  </si>
  <si>
    <t>VG</t>
  </si>
  <si>
    <t>ISO 3166-2:VG</t>
  </si>
  <si>
    <t>Virgin Islands (U.S.)</t>
  </si>
  <si>
    <t>VI</t>
  </si>
  <si>
    <t>ISO 3166-2:VI</t>
  </si>
  <si>
    <t>Wallis and Futuna</t>
  </si>
  <si>
    <t>WF</t>
  </si>
  <si>
    <t>ISO 3166-2:WF</t>
  </si>
  <si>
    <t>Western Sahara</t>
  </si>
  <si>
    <t>EH</t>
  </si>
  <si>
    <t>ISO 3166-2:EH</t>
  </si>
  <si>
    <t>YE</t>
  </si>
  <si>
    <t>ISO 3166-2:YE</t>
  </si>
  <si>
    <t>ZM</t>
  </si>
  <si>
    <t>ISO 3166-2:ZM</t>
  </si>
  <si>
    <t>ZW</t>
  </si>
  <si>
    <t>ISO 3166-2:ZW</t>
  </si>
  <si>
    <t>Date</t>
  </si>
  <si>
    <t>Happiness Rating (110)</t>
  </si>
  <si>
    <t>Practiced Fiddle?</t>
  </si>
  <si>
    <t>Practiced a Language?</t>
  </si>
  <si>
    <t>Slept 8 Hours?</t>
  </si>
  <si>
    <t>Meditated?</t>
  </si>
  <si>
    <t>Exercised?</t>
  </si>
  <si>
    <t>Yes</t>
  </si>
  <si>
    <t>No</t>
  </si>
  <si>
    <t>Habit</t>
  </si>
  <si>
    <t>Happiness Score (avg)</t>
  </si>
  <si>
    <t>Days Practiced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</si>
</sst>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7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u/>
      <sz val="12"/>
      <color rgb="FF0000FF"/>
      <name val="Calibri"/>
      <family val="2"/>
    </font>
    <font>
      <sz val="12"/>
      <color rgb="FF000000"/>
      <name val="Calibri"/>
      <family val="2"/>
      <scheme val="minor"/>
    </font>
    <font>
      <sz val="12"/>
      <color rgb="FF000000"/>
      <name val="Arial"/>
      <family val="2"/>
    </font>
    <font>
      <b/>
      <sz val="12"/>
      <color theme="1"/>
      <name val="Proxima-nova"/>
    </font>
    <font>
      <sz val="12"/>
      <color theme="1"/>
      <name val="Proxima-nova"/>
    </font>
    <font>
      <sz val="12"/>
      <color rgb="FF000000"/>
      <name val="Proxima-nova"/>
    </font>
    <font>
      <u/>
      <sz val="12"/>
      <color rgb="FF000000"/>
      <name val="Proxima-nova"/>
    </font>
    <font>
      <sz val="12"/>
      <color rgb="FFFF0000"/>
      <name val="Proxima-nova"/>
    </font>
    <font>
      <sz val="12"/>
      <color theme="1"/>
      <name val="Arial"/>
      <family val="2"/>
    </font>
    <font>
      <sz val="12"/>
      <color rgb="FF000000"/>
      <name val="Calibri"/>
      <family val="2"/>
      <scheme val="minor"/>
    </font>
    <font>
      <b/>
      <u/>
      <sz val="12"/>
      <color rgb="FF0000FF"/>
      <name val="Arial"/>
      <family val="2"/>
    </font>
    <font>
      <sz val="12"/>
      <color theme="1"/>
      <name val="Calibri"/>
      <family val="2"/>
    </font>
    <font>
      <b/>
      <sz val="8"/>
      <color rgb="FF000000"/>
      <name val="&quot;Helvetica Neue&quot;"/>
    </font>
    <font>
      <sz val="8"/>
      <color rgb="FF000000"/>
      <name val="&quot;Helvetica Neue&quot;"/>
    </font>
    <font>
      <b/>
      <u/>
      <sz val="12"/>
      <color rgb="FF1155CC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4" fillId="3" borderId="1" xfId="0" applyFont="1" applyFill="1" applyBorder="1" applyAlignment="1">
      <alignment vertical="top"/>
    </xf>
    <xf numFmtId="0" fontId="14" fillId="4" borderId="1" xfId="0" applyFont="1" applyFill="1" applyBorder="1" applyAlignment="1">
      <alignment vertical="top"/>
    </xf>
    <xf numFmtId="0" fontId="15" fillId="0" borderId="1" xfId="0" applyFont="1" applyBorder="1" applyAlignment="1">
      <alignment vertical="top"/>
    </xf>
    <xf numFmtId="0" fontId="11" fillId="0" borderId="1" xfId="0" applyFont="1" applyBorder="1" applyAlignment="1">
      <alignment vertical="top"/>
    </xf>
    <xf numFmtId="0" fontId="10" fillId="0" borderId="0" xfId="0" applyFont="1"/>
    <xf numFmtId="164" fontId="10" fillId="0" borderId="0" xfId="0" applyNumberFormat="1" applyFont="1" applyAlignment="1">
      <alignment horizontal="right"/>
    </xf>
    <xf numFmtId="0" fontId="1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lookerstudio.google.com/u/0/reporting/d5e423dc-24b2-422f-8fd0-6e90f5622991/page/G78tF/edit" TargetMode="External"/><Relationship Id="rId1" Type="http://schemas.openxmlformats.org/officeDocument/2006/relationships/hyperlink" Target="https://data.worldhappiness.report/table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ta.worldhappiness.report/country/TCD" TargetMode="External"/><Relationship Id="rId21" Type="http://schemas.openxmlformats.org/officeDocument/2006/relationships/hyperlink" Target="https://data.worldhappiness.report/country/BEL" TargetMode="External"/><Relationship Id="rId42" Type="http://schemas.openxmlformats.org/officeDocument/2006/relationships/hyperlink" Target="https://data.worldhappiness.report/country/VNM" TargetMode="External"/><Relationship Id="rId63" Type="http://schemas.openxmlformats.org/officeDocument/2006/relationships/hyperlink" Target="https://data.worldhappiness.report/country/ETH" TargetMode="External"/><Relationship Id="rId84" Type="http://schemas.openxmlformats.org/officeDocument/2006/relationships/hyperlink" Target="https://data.worldhappiness.report/country/EST" TargetMode="External"/><Relationship Id="rId138" Type="http://schemas.openxmlformats.org/officeDocument/2006/relationships/hyperlink" Target="https://data.worldhappiness.report/country/BHR" TargetMode="External"/><Relationship Id="rId107" Type="http://schemas.openxmlformats.org/officeDocument/2006/relationships/hyperlink" Target="https://data.worldhappiness.report/country/BEL" TargetMode="External"/><Relationship Id="rId11" Type="http://schemas.openxmlformats.org/officeDocument/2006/relationships/hyperlink" Target="https://data.worldhappiness.report/country/COL" TargetMode="External"/><Relationship Id="rId32" Type="http://schemas.openxmlformats.org/officeDocument/2006/relationships/hyperlink" Target="https://data.worldhappiness.report/country/COD" TargetMode="External"/><Relationship Id="rId53" Type="http://schemas.openxmlformats.org/officeDocument/2006/relationships/hyperlink" Target="https://data.worldhappiness.report/country/ARG" TargetMode="External"/><Relationship Id="rId74" Type="http://schemas.openxmlformats.org/officeDocument/2006/relationships/hyperlink" Target="https://data.worldhappiness.report/country/NER" TargetMode="External"/><Relationship Id="rId128" Type="http://schemas.openxmlformats.org/officeDocument/2006/relationships/hyperlink" Target="https://data.worldhappiness.report/country/MAR" TargetMode="External"/><Relationship Id="rId5" Type="http://schemas.openxmlformats.org/officeDocument/2006/relationships/hyperlink" Target="https://data.worldhappiness.report/country/GAB" TargetMode="External"/><Relationship Id="rId90" Type="http://schemas.openxmlformats.org/officeDocument/2006/relationships/hyperlink" Target="https://data.worldhappiness.report/country/LAO" TargetMode="External"/><Relationship Id="rId95" Type="http://schemas.openxmlformats.org/officeDocument/2006/relationships/hyperlink" Target="https://data.worldhappiness.report/country/DEU" TargetMode="External"/><Relationship Id="rId22" Type="http://schemas.openxmlformats.org/officeDocument/2006/relationships/hyperlink" Target="https://data.worldhappiness.report/country/LUX" TargetMode="External"/><Relationship Id="rId27" Type="http://schemas.openxmlformats.org/officeDocument/2006/relationships/hyperlink" Target="https://data.worldhappiness.report/country/PAK" TargetMode="External"/><Relationship Id="rId43" Type="http://schemas.openxmlformats.org/officeDocument/2006/relationships/hyperlink" Target="https://data.worldhappiness.report/country/BTN" TargetMode="External"/><Relationship Id="rId48" Type="http://schemas.openxmlformats.org/officeDocument/2006/relationships/hyperlink" Target="https://data.worldhappiness.report/country/IRL" TargetMode="External"/><Relationship Id="rId64" Type="http://schemas.openxmlformats.org/officeDocument/2006/relationships/hyperlink" Target="https://data.worldhappiness.report/country/MDG" TargetMode="External"/><Relationship Id="rId69" Type="http://schemas.openxmlformats.org/officeDocument/2006/relationships/hyperlink" Target="https://data.worldhappiness.report/country/JAM" TargetMode="External"/><Relationship Id="rId113" Type="http://schemas.openxmlformats.org/officeDocument/2006/relationships/hyperlink" Target="https://data.worldhappiness.report/country/ECU" TargetMode="External"/><Relationship Id="rId118" Type="http://schemas.openxmlformats.org/officeDocument/2006/relationships/hyperlink" Target="https://data.worldhappiness.report/country/IRL" TargetMode="External"/><Relationship Id="rId134" Type="http://schemas.openxmlformats.org/officeDocument/2006/relationships/hyperlink" Target="https://data.worldhappiness.report/country/DEU" TargetMode="External"/><Relationship Id="rId139" Type="http://schemas.openxmlformats.org/officeDocument/2006/relationships/hyperlink" Target="https://data.worldhappiness.report/country/HUN" TargetMode="External"/><Relationship Id="rId80" Type="http://schemas.openxmlformats.org/officeDocument/2006/relationships/hyperlink" Target="https://data.worldhappiness.report/country/CAN" TargetMode="External"/><Relationship Id="rId85" Type="http://schemas.openxmlformats.org/officeDocument/2006/relationships/hyperlink" Target="https://data.worldhappiness.report/country/JPN" TargetMode="External"/><Relationship Id="rId12" Type="http://schemas.openxmlformats.org/officeDocument/2006/relationships/hyperlink" Target="https://data.worldhappiness.report/country/LVA" TargetMode="External"/><Relationship Id="rId17" Type="http://schemas.openxmlformats.org/officeDocument/2006/relationships/hyperlink" Target="https://data.worldhappiness.report/country/MMR" TargetMode="External"/><Relationship Id="rId33" Type="http://schemas.openxmlformats.org/officeDocument/2006/relationships/hyperlink" Target="https://data.worldhappiness.report/country/IND" TargetMode="External"/><Relationship Id="rId38" Type="http://schemas.openxmlformats.org/officeDocument/2006/relationships/hyperlink" Target="https://data.worldhappiness.report/country/ITA" TargetMode="External"/><Relationship Id="rId59" Type="http://schemas.openxmlformats.org/officeDocument/2006/relationships/hyperlink" Target="https://data.worldhappiness.report/country/SWZ" TargetMode="External"/><Relationship Id="rId103" Type="http://schemas.openxmlformats.org/officeDocument/2006/relationships/hyperlink" Target="https://data.worldhappiness.report/country/NGA" TargetMode="External"/><Relationship Id="rId108" Type="http://schemas.openxmlformats.org/officeDocument/2006/relationships/hyperlink" Target="https://data.worldhappiness.report/country/IRL" TargetMode="External"/><Relationship Id="rId124" Type="http://schemas.openxmlformats.org/officeDocument/2006/relationships/hyperlink" Target="https://data.worldhappiness.report/country/JPN" TargetMode="External"/><Relationship Id="rId129" Type="http://schemas.openxmlformats.org/officeDocument/2006/relationships/hyperlink" Target="https://data.worldhappiness.report/country/TUN" TargetMode="External"/><Relationship Id="rId54" Type="http://schemas.openxmlformats.org/officeDocument/2006/relationships/hyperlink" Target="https://data.worldhappiness.report/country/KGZ" TargetMode="External"/><Relationship Id="rId70" Type="http://schemas.openxmlformats.org/officeDocument/2006/relationships/hyperlink" Target="https://data.worldhappiness.report/country/LTU" TargetMode="External"/><Relationship Id="rId75" Type="http://schemas.openxmlformats.org/officeDocument/2006/relationships/hyperlink" Target="https://data.worldhappiness.report/country/TKM" TargetMode="External"/><Relationship Id="rId91" Type="http://schemas.openxmlformats.org/officeDocument/2006/relationships/hyperlink" Target="https://data.worldhappiness.report/country/BFA" TargetMode="External"/><Relationship Id="rId96" Type="http://schemas.openxmlformats.org/officeDocument/2006/relationships/hyperlink" Target="https://data.worldhappiness.report/country/BEL" TargetMode="External"/><Relationship Id="rId140" Type="http://schemas.openxmlformats.org/officeDocument/2006/relationships/hyperlink" Target="https://data.worldhappiness.report/country/MOZ" TargetMode="External"/><Relationship Id="rId145" Type="http://schemas.openxmlformats.org/officeDocument/2006/relationships/hyperlink" Target="https://data.worldhappiness.report/country/MDG" TargetMode="External"/><Relationship Id="rId1" Type="http://schemas.openxmlformats.org/officeDocument/2006/relationships/hyperlink" Target="https://data.worldhappiness.report/country/BEL" TargetMode="External"/><Relationship Id="rId6" Type="http://schemas.openxmlformats.org/officeDocument/2006/relationships/hyperlink" Target="https://data.worldhappiness.report/country/MLI" TargetMode="External"/><Relationship Id="rId23" Type="http://schemas.openxmlformats.org/officeDocument/2006/relationships/hyperlink" Target="https://data.worldhappiness.report/country/MYS" TargetMode="External"/><Relationship Id="rId28" Type="http://schemas.openxmlformats.org/officeDocument/2006/relationships/hyperlink" Target="https://data.worldhappiness.report/country/MNG" TargetMode="External"/><Relationship Id="rId49" Type="http://schemas.openxmlformats.org/officeDocument/2006/relationships/hyperlink" Target="https://data.worldhappiness.report/country/DEU" TargetMode="External"/><Relationship Id="rId114" Type="http://schemas.openxmlformats.org/officeDocument/2006/relationships/hyperlink" Target="https://data.worldhappiness.report/country/NPL" TargetMode="External"/><Relationship Id="rId119" Type="http://schemas.openxmlformats.org/officeDocument/2006/relationships/hyperlink" Target="https://data.worldhappiness.report/country/LTU" TargetMode="External"/><Relationship Id="rId44" Type="http://schemas.openxmlformats.org/officeDocument/2006/relationships/hyperlink" Target="https://data.worldhappiness.report/country/NAM" TargetMode="External"/><Relationship Id="rId60" Type="http://schemas.openxmlformats.org/officeDocument/2006/relationships/hyperlink" Target="https://data.worldhappiness.report/country/MMR" TargetMode="External"/><Relationship Id="rId65" Type="http://schemas.openxmlformats.org/officeDocument/2006/relationships/hyperlink" Target="https://data.worldhappiness.report/country/EGY" TargetMode="External"/><Relationship Id="rId81" Type="http://schemas.openxmlformats.org/officeDocument/2006/relationships/hyperlink" Target="https://data.worldhappiness.report/country/USA" TargetMode="External"/><Relationship Id="rId86" Type="http://schemas.openxmlformats.org/officeDocument/2006/relationships/hyperlink" Target="https://data.worldhappiness.report/country/HND" TargetMode="External"/><Relationship Id="rId130" Type="http://schemas.openxmlformats.org/officeDocument/2006/relationships/hyperlink" Target="https://data.worldhappiness.report/country/ZMB" TargetMode="External"/><Relationship Id="rId135" Type="http://schemas.openxmlformats.org/officeDocument/2006/relationships/hyperlink" Target="https://data.worldhappiness.report/country/FRA" TargetMode="External"/><Relationship Id="rId13" Type="http://schemas.openxmlformats.org/officeDocument/2006/relationships/hyperlink" Target="https://data.worldhappiness.report/country/KOR" TargetMode="External"/><Relationship Id="rId18" Type="http://schemas.openxmlformats.org/officeDocument/2006/relationships/hyperlink" Target="https://data.worldhappiness.report/country/UKR" TargetMode="External"/><Relationship Id="rId39" Type="http://schemas.openxmlformats.org/officeDocument/2006/relationships/hyperlink" Target="https://data.worldhappiness.report/country/KOR" TargetMode="External"/><Relationship Id="rId109" Type="http://schemas.openxmlformats.org/officeDocument/2006/relationships/hyperlink" Target="https://data.worldhappiness.report/country/POL" TargetMode="External"/><Relationship Id="rId34" Type="http://schemas.openxmlformats.org/officeDocument/2006/relationships/hyperlink" Target="https://data.worldhappiness.report/country/GBR" TargetMode="External"/><Relationship Id="rId50" Type="http://schemas.openxmlformats.org/officeDocument/2006/relationships/hyperlink" Target="https://data.worldhappiness.report/country/XKX" TargetMode="External"/><Relationship Id="rId55" Type="http://schemas.openxmlformats.org/officeDocument/2006/relationships/hyperlink" Target="https://data.worldhappiness.report/country/CHN" TargetMode="External"/><Relationship Id="rId76" Type="http://schemas.openxmlformats.org/officeDocument/2006/relationships/hyperlink" Target="https://data.worldhappiness.report/country/MOZ" TargetMode="External"/><Relationship Id="rId97" Type="http://schemas.openxmlformats.org/officeDocument/2006/relationships/hyperlink" Target="https://data.worldhappiness.report/country/MEX" TargetMode="External"/><Relationship Id="rId104" Type="http://schemas.openxmlformats.org/officeDocument/2006/relationships/hyperlink" Target="https://data.worldhappiness.report/country/UGA" TargetMode="External"/><Relationship Id="rId120" Type="http://schemas.openxmlformats.org/officeDocument/2006/relationships/hyperlink" Target="https://data.worldhappiness.report/country/AUT" TargetMode="External"/><Relationship Id="rId125" Type="http://schemas.openxmlformats.org/officeDocument/2006/relationships/hyperlink" Target="https://data.worldhappiness.report/country/BOL" TargetMode="External"/><Relationship Id="rId141" Type="http://schemas.openxmlformats.org/officeDocument/2006/relationships/hyperlink" Target="https://data.worldhappiness.report/country/TUR" TargetMode="External"/><Relationship Id="rId7" Type="http://schemas.openxmlformats.org/officeDocument/2006/relationships/hyperlink" Target="https://data.worldhappiness.report/country/IRL" TargetMode="External"/><Relationship Id="rId71" Type="http://schemas.openxmlformats.org/officeDocument/2006/relationships/hyperlink" Target="https://data.worldhappiness.report/country/JPN" TargetMode="External"/><Relationship Id="rId92" Type="http://schemas.openxmlformats.org/officeDocument/2006/relationships/hyperlink" Target="https://data.worldhappiness.report/country/KHM" TargetMode="External"/><Relationship Id="rId2" Type="http://schemas.openxmlformats.org/officeDocument/2006/relationships/hyperlink" Target="https://data.worldhappiness.report/country/QAT" TargetMode="External"/><Relationship Id="rId29" Type="http://schemas.openxmlformats.org/officeDocument/2006/relationships/hyperlink" Target="https://data.worldhappiness.report/country/VNM" TargetMode="External"/><Relationship Id="rId24" Type="http://schemas.openxmlformats.org/officeDocument/2006/relationships/hyperlink" Target="https://data.worldhappiness.report/country/ESP" TargetMode="External"/><Relationship Id="rId40" Type="http://schemas.openxmlformats.org/officeDocument/2006/relationships/hyperlink" Target="https://data.worldhappiness.report/country/EST" TargetMode="External"/><Relationship Id="rId45" Type="http://schemas.openxmlformats.org/officeDocument/2006/relationships/hyperlink" Target="https://data.worldhappiness.report/country/NER" TargetMode="External"/><Relationship Id="rId66" Type="http://schemas.openxmlformats.org/officeDocument/2006/relationships/hyperlink" Target="https://data.worldhappiness.report/country/SLE" TargetMode="External"/><Relationship Id="rId87" Type="http://schemas.openxmlformats.org/officeDocument/2006/relationships/hyperlink" Target="https://data.worldhappiness.report/country/PER" TargetMode="External"/><Relationship Id="rId110" Type="http://schemas.openxmlformats.org/officeDocument/2006/relationships/hyperlink" Target="https://data.worldhappiness.report/country/ESP" TargetMode="External"/><Relationship Id="rId115" Type="http://schemas.openxmlformats.org/officeDocument/2006/relationships/hyperlink" Target="https://data.worldhappiness.report/country/LAO" TargetMode="External"/><Relationship Id="rId131" Type="http://schemas.openxmlformats.org/officeDocument/2006/relationships/hyperlink" Target="https://data.worldhappiness.report/country/ETH" TargetMode="External"/><Relationship Id="rId136" Type="http://schemas.openxmlformats.org/officeDocument/2006/relationships/hyperlink" Target="https://data.worldhappiness.report/country/SGP" TargetMode="External"/><Relationship Id="rId61" Type="http://schemas.openxmlformats.org/officeDocument/2006/relationships/hyperlink" Target="https://data.worldhappiness.report/country/COM" TargetMode="External"/><Relationship Id="rId82" Type="http://schemas.openxmlformats.org/officeDocument/2006/relationships/hyperlink" Target="https://data.worldhappiness.report/country/GBR" TargetMode="External"/><Relationship Id="rId19" Type="http://schemas.openxmlformats.org/officeDocument/2006/relationships/hyperlink" Target="https://data.worldhappiness.report/country/UGA" TargetMode="External"/><Relationship Id="rId14" Type="http://schemas.openxmlformats.org/officeDocument/2006/relationships/hyperlink" Target="https://data.worldhappiness.report/country/HUN" TargetMode="External"/><Relationship Id="rId30" Type="http://schemas.openxmlformats.org/officeDocument/2006/relationships/hyperlink" Target="https://data.worldhappiness.report/country/SLE" TargetMode="External"/><Relationship Id="rId35" Type="http://schemas.openxmlformats.org/officeDocument/2006/relationships/hyperlink" Target="https://data.worldhappiness.report/country/IRL" TargetMode="External"/><Relationship Id="rId56" Type="http://schemas.openxmlformats.org/officeDocument/2006/relationships/hyperlink" Target="https://data.worldhappiness.report/country/TKM" TargetMode="External"/><Relationship Id="rId77" Type="http://schemas.openxmlformats.org/officeDocument/2006/relationships/hyperlink" Target="https://data.worldhappiness.report/country/NGA" TargetMode="External"/><Relationship Id="rId100" Type="http://schemas.openxmlformats.org/officeDocument/2006/relationships/hyperlink" Target="https://data.worldhappiness.report/country/PRT" TargetMode="External"/><Relationship Id="rId105" Type="http://schemas.openxmlformats.org/officeDocument/2006/relationships/hyperlink" Target="https://data.worldhappiness.report/country/TCD" TargetMode="External"/><Relationship Id="rId126" Type="http://schemas.openxmlformats.org/officeDocument/2006/relationships/hyperlink" Target="https://data.worldhappiness.report/country/LAO" TargetMode="External"/><Relationship Id="rId8" Type="http://schemas.openxmlformats.org/officeDocument/2006/relationships/hyperlink" Target="https://data.worldhappiness.report/country/DEU" TargetMode="External"/><Relationship Id="rId51" Type="http://schemas.openxmlformats.org/officeDocument/2006/relationships/hyperlink" Target="https://data.worldhappiness.report/country/PAN" TargetMode="External"/><Relationship Id="rId72" Type="http://schemas.openxmlformats.org/officeDocument/2006/relationships/hyperlink" Target="https://data.worldhappiness.report/country/ARG" TargetMode="External"/><Relationship Id="rId93" Type="http://schemas.openxmlformats.org/officeDocument/2006/relationships/hyperlink" Target="https://data.worldhappiness.report/country/YEM" TargetMode="External"/><Relationship Id="rId98" Type="http://schemas.openxmlformats.org/officeDocument/2006/relationships/hyperlink" Target="https://data.worldhappiness.report/country/MLT" TargetMode="External"/><Relationship Id="rId121" Type="http://schemas.openxmlformats.org/officeDocument/2006/relationships/hyperlink" Target="https://data.worldhappiness.report/country/ROU" TargetMode="External"/><Relationship Id="rId142" Type="http://schemas.openxmlformats.org/officeDocument/2006/relationships/hyperlink" Target="https://data.worldhappiness.report/country/MAR" TargetMode="External"/><Relationship Id="rId3" Type="http://schemas.openxmlformats.org/officeDocument/2006/relationships/hyperlink" Target="https://data.worldhappiness.report/country/ESP" TargetMode="External"/><Relationship Id="rId25" Type="http://schemas.openxmlformats.org/officeDocument/2006/relationships/hyperlink" Target="https://data.worldhappiness.report/country/JPN" TargetMode="External"/><Relationship Id="rId46" Type="http://schemas.openxmlformats.org/officeDocument/2006/relationships/hyperlink" Target="https://data.worldhappiness.report/country/TCD" TargetMode="External"/><Relationship Id="rId67" Type="http://schemas.openxmlformats.org/officeDocument/2006/relationships/hyperlink" Target="https://data.worldhappiness.report/country/CZE" TargetMode="External"/><Relationship Id="rId116" Type="http://schemas.openxmlformats.org/officeDocument/2006/relationships/hyperlink" Target="https://data.worldhappiness.report/country/GMB" TargetMode="External"/><Relationship Id="rId137" Type="http://schemas.openxmlformats.org/officeDocument/2006/relationships/hyperlink" Target="https://data.worldhappiness.report/country/SVK" TargetMode="External"/><Relationship Id="rId20" Type="http://schemas.openxmlformats.org/officeDocument/2006/relationships/hyperlink" Target="https://data.worldhappiness.report/country/DEU" TargetMode="External"/><Relationship Id="rId41" Type="http://schemas.openxmlformats.org/officeDocument/2006/relationships/hyperlink" Target="https://data.worldhappiness.report/country/HRV" TargetMode="External"/><Relationship Id="rId62" Type="http://schemas.openxmlformats.org/officeDocument/2006/relationships/hyperlink" Target="https://data.worldhappiness.report/country/TGO" TargetMode="External"/><Relationship Id="rId83" Type="http://schemas.openxmlformats.org/officeDocument/2006/relationships/hyperlink" Target="https://data.worldhappiness.report/country/SVK" TargetMode="External"/><Relationship Id="rId88" Type="http://schemas.openxmlformats.org/officeDocument/2006/relationships/hyperlink" Target="https://data.worldhappiness.report/country/TKM" TargetMode="External"/><Relationship Id="rId111" Type="http://schemas.openxmlformats.org/officeDocument/2006/relationships/hyperlink" Target="https://data.worldhappiness.report/country/VNM" TargetMode="External"/><Relationship Id="rId132" Type="http://schemas.openxmlformats.org/officeDocument/2006/relationships/hyperlink" Target="https://data.worldhappiness.report/country/AUS" TargetMode="External"/><Relationship Id="rId15" Type="http://schemas.openxmlformats.org/officeDocument/2006/relationships/hyperlink" Target="https://data.worldhappiness.report/country/NGA" TargetMode="External"/><Relationship Id="rId36" Type="http://schemas.openxmlformats.org/officeDocument/2006/relationships/hyperlink" Target="https://data.worldhappiness.report/country/DEU" TargetMode="External"/><Relationship Id="rId57" Type="http://schemas.openxmlformats.org/officeDocument/2006/relationships/hyperlink" Target="https://data.worldhappiness.report/country/GMB" TargetMode="External"/><Relationship Id="rId106" Type="http://schemas.openxmlformats.org/officeDocument/2006/relationships/hyperlink" Target="https://data.worldhappiness.report/country/CAN" TargetMode="External"/><Relationship Id="rId127" Type="http://schemas.openxmlformats.org/officeDocument/2006/relationships/hyperlink" Target="https://data.worldhappiness.report/country/TUR" TargetMode="External"/><Relationship Id="rId10" Type="http://schemas.openxmlformats.org/officeDocument/2006/relationships/hyperlink" Target="https://data.worldhappiness.report/country/QAT" TargetMode="External"/><Relationship Id="rId31" Type="http://schemas.openxmlformats.org/officeDocument/2006/relationships/hyperlink" Target="https://data.worldhappiness.report/country/COG" TargetMode="External"/><Relationship Id="rId52" Type="http://schemas.openxmlformats.org/officeDocument/2006/relationships/hyperlink" Target="https://data.worldhappiness.report/country/THA" TargetMode="External"/><Relationship Id="rId73" Type="http://schemas.openxmlformats.org/officeDocument/2006/relationships/hyperlink" Target="https://data.worldhappiness.report/country/HKG" TargetMode="External"/><Relationship Id="rId78" Type="http://schemas.openxmlformats.org/officeDocument/2006/relationships/hyperlink" Target="https://data.worldhappiness.report/country/MRT" TargetMode="External"/><Relationship Id="rId94" Type="http://schemas.openxmlformats.org/officeDocument/2006/relationships/hyperlink" Target="https://data.worldhappiness.report/country/USA" TargetMode="External"/><Relationship Id="rId99" Type="http://schemas.openxmlformats.org/officeDocument/2006/relationships/hyperlink" Target="https://data.worldhappiness.report/country/MYS" TargetMode="External"/><Relationship Id="rId101" Type="http://schemas.openxmlformats.org/officeDocument/2006/relationships/hyperlink" Target="https://data.worldhappiness.report/country/PER" TargetMode="External"/><Relationship Id="rId122" Type="http://schemas.openxmlformats.org/officeDocument/2006/relationships/hyperlink" Target="https://data.worldhappiness.report/country/BRA" TargetMode="External"/><Relationship Id="rId143" Type="http://schemas.openxmlformats.org/officeDocument/2006/relationships/hyperlink" Target="https://data.worldhappiness.report/country/GIN" TargetMode="External"/><Relationship Id="rId4" Type="http://schemas.openxmlformats.org/officeDocument/2006/relationships/hyperlink" Target="https://data.worldhappiness.report/country/MDA" TargetMode="External"/><Relationship Id="rId9" Type="http://schemas.openxmlformats.org/officeDocument/2006/relationships/hyperlink" Target="https://data.worldhappiness.report/country/BEL" TargetMode="External"/><Relationship Id="rId26" Type="http://schemas.openxmlformats.org/officeDocument/2006/relationships/hyperlink" Target="https://data.worldhappiness.report/country/MUS" TargetMode="External"/><Relationship Id="rId47" Type="http://schemas.openxmlformats.org/officeDocument/2006/relationships/hyperlink" Target="https://data.worldhappiness.report/country/CRI" TargetMode="External"/><Relationship Id="rId68" Type="http://schemas.openxmlformats.org/officeDocument/2006/relationships/hyperlink" Target="https://data.worldhappiness.report/country/USA" TargetMode="External"/><Relationship Id="rId89" Type="http://schemas.openxmlformats.org/officeDocument/2006/relationships/hyperlink" Target="https://data.worldhappiness.report/country/BGD" TargetMode="External"/><Relationship Id="rId112" Type="http://schemas.openxmlformats.org/officeDocument/2006/relationships/hyperlink" Target="https://data.worldhappiness.report/country/PRT" TargetMode="External"/><Relationship Id="rId133" Type="http://schemas.openxmlformats.org/officeDocument/2006/relationships/hyperlink" Target="https://data.worldhappiness.report/country/XKX" TargetMode="External"/><Relationship Id="rId16" Type="http://schemas.openxmlformats.org/officeDocument/2006/relationships/hyperlink" Target="https://data.worldhappiness.report/country/MOZ" TargetMode="External"/><Relationship Id="rId37" Type="http://schemas.openxmlformats.org/officeDocument/2006/relationships/hyperlink" Target="https://data.worldhappiness.report/country/SLV" TargetMode="External"/><Relationship Id="rId58" Type="http://schemas.openxmlformats.org/officeDocument/2006/relationships/hyperlink" Target="https://data.worldhappiness.report/country/MLI" TargetMode="External"/><Relationship Id="rId79" Type="http://schemas.openxmlformats.org/officeDocument/2006/relationships/hyperlink" Target="https://data.worldhappiness.report/country/MDG" TargetMode="External"/><Relationship Id="rId102" Type="http://schemas.openxmlformats.org/officeDocument/2006/relationships/hyperlink" Target="https://data.worldhappiness.report/country/GAB" TargetMode="External"/><Relationship Id="rId123" Type="http://schemas.openxmlformats.org/officeDocument/2006/relationships/hyperlink" Target="https://data.worldhappiness.report/country/PRY" TargetMode="External"/><Relationship Id="rId144" Type="http://schemas.openxmlformats.org/officeDocument/2006/relationships/hyperlink" Target="https://data.worldhappiness.report/country/TGO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lukes/ISO-3166-Countries-with-Regional-Codes/blob/master/all/all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7"/>
  <sheetViews>
    <sheetView tabSelected="1" workbookViewId="0">
      <selection activeCell="A7" sqref="A7"/>
    </sheetView>
  </sheetViews>
  <sheetFormatPr baseColWidth="10" defaultColWidth="11.1640625" defaultRowHeight="15" customHeight="1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2" t="s">
        <v>7</v>
      </c>
    </row>
    <row r="3" spans="1:5">
      <c r="A3" s="1" t="s">
        <v>8</v>
      </c>
      <c r="B3" s="1" t="s">
        <v>9</v>
      </c>
      <c r="D3" s="1" t="s">
        <v>10</v>
      </c>
      <c r="E3" s="1" t="s">
        <v>11</v>
      </c>
    </row>
    <row r="5" spans="1:5">
      <c r="A5" s="2" t="s">
        <v>12</v>
      </c>
    </row>
    <row r="7" spans="1:5">
      <c r="A7" s="2"/>
    </row>
  </sheetData>
  <hyperlinks>
    <hyperlink ref="C2" r:id="rId1" xr:uid="{00000000-0004-0000-0000-000000000000}"/>
    <hyperlink ref="A5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2346"/>
  <sheetViews>
    <sheetView workbookViewId="0"/>
  </sheetViews>
  <sheetFormatPr baseColWidth="10" defaultColWidth="11.1640625" defaultRowHeight="15" customHeight="1"/>
  <cols>
    <col min="2" max="2" width="14.1640625" customWidth="1"/>
  </cols>
  <sheetData>
    <row r="1" spans="1:17" ht="16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ht="15.75" customHeight="1">
      <c r="A2" s="1">
        <v>2015</v>
      </c>
      <c r="B2" s="1">
        <v>1</v>
      </c>
      <c r="C2" s="1" t="s">
        <v>30</v>
      </c>
      <c r="D2" s="1">
        <v>7.5259999999999998</v>
      </c>
      <c r="E2" s="1" t="s">
        <v>31</v>
      </c>
      <c r="F2" s="1">
        <v>13</v>
      </c>
      <c r="G2" s="1">
        <v>5</v>
      </c>
      <c r="H2" s="1">
        <v>10</v>
      </c>
      <c r="I2" s="1">
        <v>21</v>
      </c>
      <c r="J2" s="1">
        <v>6</v>
      </c>
      <c r="K2" s="1">
        <v>14</v>
      </c>
      <c r="L2" s="1">
        <v>4</v>
      </c>
      <c r="M2" s="1">
        <v>11</v>
      </c>
      <c r="N2" s="1">
        <v>38</v>
      </c>
      <c r="O2" s="1">
        <v>14</v>
      </c>
      <c r="P2" s="1">
        <v>52</v>
      </c>
      <c r="Q2" s="1">
        <v>58</v>
      </c>
    </row>
    <row r="3" spans="1:17" ht="15.75" customHeight="1">
      <c r="A3" s="1">
        <v>2015</v>
      </c>
      <c r="B3" s="1">
        <v>2</v>
      </c>
      <c r="C3" s="1" t="s">
        <v>32</v>
      </c>
      <c r="D3" s="1">
        <v>7.5090000000000003</v>
      </c>
      <c r="E3" s="1" t="s">
        <v>33</v>
      </c>
      <c r="F3" s="1">
        <v>35</v>
      </c>
      <c r="G3" s="1">
        <v>13</v>
      </c>
      <c r="H3" s="1">
        <v>6</v>
      </c>
      <c r="I3" s="1">
        <v>12</v>
      </c>
      <c r="J3" s="1">
        <v>12</v>
      </c>
      <c r="K3" s="1">
        <v>23</v>
      </c>
      <c r="L3" s="1">
        <v>5</v>
      </c>
      <c r="M3" s="1">
        <v>17</v>
      </c>
      <c r="N3" s="1">
        <v>8</v>
      </c>
      <c r="O3" s="1">
        <v>23</v>
      </c>
      <c r="P3" s="1">
        <v>28</v>
      </c>
      <c r="Q3" s="1">
        <v>63</v>
      </c>
    </row>
    <row r="4" spans="1:17" ht="15.75" customHeight="1">
      <c r="A4" s="1">
        <v>2015</v>
      </c>
      <c r="B4" s="1">
        <v>3</v>
      </c>
      <c r="C4" s="1" t="s">
        <v>34</v>
      </c>
      <c r="D4" s="1">
        <v>7.5010000000000003</v>
      </c>
      <c r="E4" s="1">
        <v>0.14599999999999999</v>
      </c>
      <c r="F4" s="1">
        <v>21</v>
      </c>
      <c r="G4" s="1">
        <v>2</v>
      </c>
      <c r="H4" s="1">
        <v>12</v>
      </c>
      <c r="I4" s="1">
        <v>4</v>
      </c>
      <c r="J4" s="1">
        <v>7</v>
      </c>
      <c r="K4" s="1">
        <v>6</v>
      </c>
      <c r="L4" s="1">
        <v>27</v>
      </c>
      <c r="M4" s="1">
        <v>18</v>
      </c>
      <c r="N4" s="1">
        <v>16</v>
      </c>
      <c r="O4" s="1">
        <v>6</v>
      </c>
      <c r="P4" s="1">
        <v>46</v>
      </c>
      <c r="Q4" s="1">
        <v>75</v>
      </c>
    </row>
    <row r="5" spans="1:17" ht="15.75" customHeight="1">
      <c r="A5" s="1">
        <v>2015</v>
      </c>
      <c r="B5" s="1">
        <v>4</v>
      </c>
      <c r="C5" s="1" t="s">
        <v>35</v>
      </c>
      <c r="D5" s="1">
        <v>7.4980000000000002</v>
      </c>
      <c r="E5" s="1" t="s">
        <v>36</v>
      </c>
      <c r="F5" s="1">
        <v>19</v>
      </c>
      <c r="G5" s="1">
        <v>10</v>
      </c>
      <c r="H5" s="1">
        <v>4</v>
      </c>
      <c r="I5" s="1">
        <v>9</v>
      </c>
      <c r="J5" s="1">
        <v>4</v>
      </c>
      <c r="K5" s="1">
        <v>8</v>
      </c>
      <c r="L5" s="1">
        <v>8</v>
      </c>
      <c r="M5" s="1">
        <v>14</v>
      </c>
      <c r="N5" s="1">
        <v>34</v>
      </c>
      <c r="O5" s="1">
        <v>8</v>
      </c>
      <c r="P5" s="1">
        <v>25</v>
      </c>
      <c r="Q5" s="1">
        <v>73</v>
      </c>
    </row>
    <row r="6" spans="1:17" ht="15.75" customHeight="1">
      <c r="A6" s="1">
        <v>2015</v>
      </c>
      <c r="B6" s="1">
        <v>5</v>
      </c>
      <c r="C6" s="1" t="s">
        <v>37</v>
      </c>
      <c r="D6" s="1">
        <v>7.4130000000000003</v>
      </c>
      <c r="E6" s="1">
        <v>2.4E-2</v>
      </c>
      <c r="F6" s="1">
        <v>9</v>
      </c>
      <c r="G6" s="1">
        <v>9</v>
      </c>
      <c r="H6" s="1">
        <v>21</v>
      </c>
      <c r="I6" s="1">
        <v>19</v>
      </c>
      <c r="J6" s="1">
        <v>11</v>
      </c>
      <c r="K6" s="1">
        <v>26</v>
      </c>
      <c r="L6" s="1">
        <v>6</v>
      </c>
      <c r="M6" s="1">
        <v>39</v>
      </c>
      <c r="N6" s="1">
        <v>22</v>
      </c>
      <c r="O6" s="1">
        <v>26</v>
      </c>
      <c r="P6" s="1">
        <v>27</v>
      </c>
      <c r="Q6" s="1">
        <v>51</v>
      </c>
    </row>
    <row r="7" spans="1:17" ht="15.75" customHeight="1">
      <c r="A7" s="1">
        <v>2015</v>
      </c>
      <c r="B7" s="1">
        <v>6</v>
      </c>
      <c r="C7" s="1" t="s">
        <v>38</v>
      </c>
      <c r="D7" s="1">
        <v>7.4039999999999999</v>
      </c>
      <c r="E7" s="1" t="s">
        <v>39</v>
      </c>
      <c r="F7" s="1">
        <v>12</v>
      </c>
      <c r="G7" s="1">
        <v>12</v>
      </c>
      <c r="H7" s="1">
        <v>18</v>
      </c>
      <c r="I7" s="1">
        <v>15</v>
      </c>
      <c r="J7" s="1">
        <v>10</v>
      </c>
      <c r="K7" s="1">
        <v>11</v>
      </c>
      <c r="L7" s="1">
        <v>15</v>
      </c>
      <c r="M7" s="1">
        <v>19</v>
      </c>
      <c r="N7" s="1">
        <v>78</v>
      </c>
      <c r="O7" s="1">
        <v>11</v>
      </c>
      <c r="P7" s="1">
        <v>14</v>
      </c>
      <c r="Q7" s="1">
        <v>22</v>
      </c>
    </row>
    <row r="8" spans="1:17" ht="15.75" customHeight="1">
      <c r="A8" s="1">
        <v>2015</v>
      </c>
      <c r="B8" s="1">
        <v>7</v>
      </c>
      <c r="C8" s="1" t="s">
        <v>40</v>
      </c>
      <c r="D8" s="1">
        <v>7.3390000000000004</v>
      </c>
      <c r="E8" s="1" t="s">
        <v>41</v>
      </c>
      <c r="F8" s="1">
        <v>1</v>
      </c>
      <c r="G8" s="1">
        <v>47</v>
      </c>
      <c r="H8" s="1">
        <v>9</v>
      </c>
      <c r="I8" s="1"/>
      <c r="J8" s="1">
        <v>20</v>
      </c>
      <c r="K8" s="1">
        <v>9</v>
      </c>
      <c r="L8" s="1">
        <v>13</v>
      </c>
      <c r="M8" s="1">
        <v>36</v>
      </c>
      <c r="N8" s="1">
        <v>27</v>
      </c>
      <c r="O8" s="1">
        <v>9</v>
      </c>
      <c r="P8" s="1">
        <v>21</v>
      </c>
      <c r="Q8" s="1">
        <v>50</v>
      </c>
    </row>
    <row r="9" spans="1:17" ht="15.75" customHeight="1">
      <c r="A9" s="1">
        <v>2015</v>
      </c>
      <c r="B9" s="1">
        <v>8</v>
      </c>
      <c r="C9" s="1" t="s">
        <v>42</v>
      </c>
      <c r="D9" s="1">
        <v>7.3339999999999996</v>
      </c>
      <c r="E9" s="1">
        <v>0.113</v>
      </c>
      <c r="F9" s="1">
        <v>4</v>
      </c>
      <c r="G9" s="1">
        <v>1</v>
      </c>
      <c r="H9" s="1">
        <v>27</v>
      </c>
      <c r="I9" s="1">
        <v>27</v>
      </c>
      <c r="J9" s="1">
        <v>5</v>
      </c>
      <c r="K9" s="1">
        <v>5</v>
      </c>
      <c r="L9" s="1">
        <v>3</v>
      </c>
      <c r="M9" s="1">
        <v>16</v>
      </c>
      <c r="N9" s="1">
        <v>5</v>
      </c>
      <c r="O9" s="1">
        <v>5</v>
      </c>
      <c r="P9" s="1">
        <v>6</v>
      </c>
      <c r="Q9" s="1">
        <v>33</v>
      </c>
    </row>
    <row r="10" spans="1:17" ht="15.75" customHeight="1">
      <c r="A10" s="1">
        <v>2015</v>
      </c>
      <c r="B10" s="1">
        <v>9</v>
      </c>
      <c r="C10" s="1" t="s">
        <v>43</v>
      </c>
      <c r="D10" s="1">
        <v>7.3129999999999997</v>
      </c>
      <c r="E10" s="1" t="s">
        <v>44</v>
      </c>
      <c r="F10" s="1">
        <v>20</v>
      </c>
      <c r="G10" s="1">
        <v>8</v>
      </c>
      <c r="H10" s="1">
        <v>17</v>
      </c>
      <c r="I10" s="1">
        <v>16</v>
      </c>
      <c r="J10" s="1">
        <v>13</v>
      </c>
      <c r="K10" s="1">
        <v>3</v>
      </c>
      <c r="L10" s="1">
        <v>9</v>
      </c>
      <c r="M10" s="1">
        <v>29</v>
      </c>
      <c r="N10" s="1">
        <v>35</v>
      </c>
      <c r="O10" s="1">
        <v>3</v>
      </c>
      <c r="P10" s="1">
        <v>11</v>
      </c>
      <c r="Q10" s="1">
        <v>16</v>
      </c>
    </row>
    <row r="11" spans="1:17" ht="15.75" customHeight="1">
      <c r="A11" s="1">
        <v>2015</v>
      </c>
      <c r="B11" s="1">
        <v>10</v>
      </c>
      <c r="C11" s="1" t="s">
        <v>45</v>
      </c>
      <c r="D11" s="1">
        <v>7.2910000000000004</v>
      </c>
      <c r="E11" s="1" t="s">
        <v>46</v>
      </c>
      <c r="F11" s="1">
        <v>15</v>
      </c>
      <c r="G11" s="1">
        <v>17</v>
      </c>
      <c r="H11" s="1">
        <v>14</v>
      </c>
      <c r="I11" s="1">
        <v>13</v>
      </c>
      <c r="J11" s="1">
        <v>8</v>
      </c>
      <c r="K11" s="1">
        <v>18</v>
      </c>
      <c r="L11" s="1">
        <v>7</v>
      </c>
      <c r="M11" s="1">
        <v>26</v>
      </c>
      <c r="N11" s="1">
        <v>21</v>
      </c>
      <c r="O11" s="1">
        <v>18</v>
      </c>
      <c r="P11" s="1">
        <v>96</v>
      </c>
      <c r="Q11" s="1">
        <v>45</v>
      </c>
    </row>
    <row r="12" spans="1:17" ht="15.75" customHeight="1">
      <c r="A12" s="1">
        <v>2015</v>
      </c>
      <c r="B12" s="1">
        <v>11</v>
      </c>
      <c r="C12" s="1" t="s">
        <v>47</v>
      </c>
      <c r="D12" s="1">
        <v>7.2670000000000003</v>
      </c>
      <c r="E12" s="1" t="s">
        <v>48</v>
      </c>
      <c r="F12" s="1">
        <v>32</v>
      </c>
      <c r="G12" s="1">
        <v>54</v>
      </c>
      <c r="H12" s="1">
        <v>32</v>
      </c>
      <c r="I12" s="1">
        <v>7</v>
      </c>
      <c r="J12" s="1">
        <v>79</v>
      </c>
      <c r="K12" s="1">
        <v>28</v>
      </c>
      <c r="L12" s="1">
        <v>61</v>
      </c>
      <c r="M12" s="1">
        <v>76</v>
      </c>
      <c r="N12" s="1">
        <v>60</v>
      </c>
      <c r="O12" s="1">
        <v>28</v>
      </c>
      <c r="P12" s="1">
        <v>50</v>
      </c>
      <c r="Q12" s="1">
        <v>81</v>
      </c>
    </row>
    <row r="13" spans="1:17" ht="15.75" customHeight="1">
      <c r="A13" s="1">
        <v>2015</v>
      </c>
      <c r="B13" s="1">
        <v>12</v>
      </c>
      <c r="C13" s="1" t="s">
        <v>49</v>
      </c>
      <c r="D13" s="1">
        <v>7.1189999999999998</v>
      </c>
      <c r="E13" s="1" t="s">
        <v>50</v>
      </c>
      <c r="F13" s="1">
        <v>27</v>
      </c>
      <c r="G13" s="1">
        <v>19</v>
      </c>
      <c r="H13" s="1">
        <v>11</v>
      </c>
      <c r="I13" s="1">
        <v>17</v>
      </c>
      <c r="J13" s="1">
        <v>22</v>
      </c>
      <c r="K13" s="1">
        <v>27</v>
      </c>
      <c r="L13" s="1">
        <v>20</v>
      </c>
      <c r="M13" s="1">
        <v>33</v>
      </c>
      <c r="N13" s="1">
        <v>7</v>
      </c>
      <c r="O13" s="1">
        <v>27</v>
      </c>
      <c r="P13" s="1">
        <v>43</v>
      </c>
      <c r="Q13" s="1">
        <v>71</v>
      </c>
    </row>
    <row r="14" spans="1:17" ht="15.75" customHeight="1">
      <c r="A14" s="1">
        <v>2015</v>
      </c>
      <c r="B14" s="1">
        <v>13</v>
      </c>
      <c r="C14" s="1" t="s">
        <v>51</v>
      </c>
      <c r="D14" s="1">
        <v>7.1040000000000001</v>
      </c>
      <c r="E14" s="1">
        <v>2.1999999999999999E-2</v>
      </c>
      <c r="F14" s="1">
        <v>54</v>
      </c>
      <c r="G14" s="1">
        <v>35</v>
      </c>
      <c r="H14" s="1">
        <v>8</v>
      </c>
      <c r="I14" s="1">
        <v>54</v>
      </c>
      <c r="J14" s="1">
        <v>38</v>
      </c>
      <c r="K14" s="1">
        <v>13</v>
      </c>
      <c r="L14" s="1">
        <v>37</v>
      </c>
      <c r="M14" s="1">
        <v>24</v>
      </c>
      <c r="N14" s="1">
        <v>72</v>
      </c>
      <c r="O14" s="1">
        <v>13</v>
      </c>
      <c r="P14" s="1">
        <v>5</v>
      </c>
      <c r="Q14" s="1">
        <v>7</v>
      </c>
    </row>
    <row r="15" spans="1:17" ht="15.75" customHeight="1">
      <c r="A15" s="1">
        <v>2015</v>
      </c>
      <c r="B15" s="1">
        <v>14</v>
      </c>
      <c r="C15" s="1" t="s">
        <v>52</v>
      </c>
      <c r="D15" s="1">
        <v>7.0869999999999997</v>
      </c>
      <c r="E15" s="1" t="s">
        <v>53</v>
      </c>
      <c r="F15" s="1">
        <v>104</v>
      </c>
      <c r="G15" s="1">
        <v>48</v>
      </c>
      <c r="H15" s="1">
        <v>56</v>
      </c>
      <c r="I15" s="1">
        <v>26</v>
      </c>
      <c r="J15" s="1">
        <v>19</v>
      </c>
      <c r="K15" s="1">
        <v>67</v>
      </c>
      <c r="L15" s="1">
        <v>52</v>
      </c>
      <c r="M15" s="1">
        <v>9</v>
      </c>
      <c r="N15" s="1">
        <v>79</v>
      </c>
      <c r="O15" s="1">
        <v>67</v>
      </c>
      <c r="P15" s="1">
        <v>56</v>
      </c>
      <c r="Q15" s="1">
        <v>35</v>
      </c>
    </row>
    <row r="16" spans="1:17" ht="15.75" customHeight="1">
      <c r="A16" s="1">
        <v>2015</v>
      </c>
      <c r="B16" s="3">
        <v>17</v>
      </c>
      <c r="C16" s="4" t="s">
        <v>54</v>
      </c>
      <c r="D16" s="5">
        <v>6.952</v>
      </c>
      <c r="E16" s="6">
        <v>0.10299999999999999</v>
      </c>
      <c r="F16" s="6">
        <v>102</v>
      </c>
      <c r="G16" s="6">
        <v>33</v>
      </c>
      <c r="H16" s="6">
        <v>62</v>
      </c>
      <c r="I16" s="7">
        <v>75</v>
      </c>
      <c r="J16" s="6">
        <v>61</v>
      </c>
      <c r="K16" s="6">
        <v>60</v>
      </c>
      <c r="L16" s="6">
        <v>56</v>
      </c>
      <c r="M16" s="6">
        <v>58</v>
      </c>
      <c r="N16" s="6">
        <v>102</v>
      </c>
      <c r="O16" s="6">
        <v>60</v>
      </c>
      <c r="P16" s="6">
        <v>79</v>
      </c>
      <c r="Q16" s="6">
        <v>62</v>
      </c>
    </row>
    <row r="17" spans="1:17" ht="15.75" customHeight="1">
      <c r="A17" s="1">
        <v>2015</v>
      </c>
      <c r="B17" s="3">
        <v>18</v>
      </c>
      <c r="C17" s="8" t="s">
        <v>55</v>
      </c>
      <c r="D17" s="5">
        <v>6.9290000000000003</v>
      </c>
      <c r="E17" s="9" t="s">
        <v>56</v>
      </c>
      <c r="F17" s="6">
        <v>6</v>
      </c>
      <c r="G17" s="6">
        <v>44</v>
      </c>
      <c r="H17" s="6">
        <v>15</v>
      </c>
      <c r="I17" s="10">
        <v>28</v>
      </c>
      <c r="J17" s="6">
        <v>30</v>
      </c>
      <c r="K17" s="6">
        <v>35</v>
      </c>
      <c r="L17" s="6">
        <v>17</v>
      </c>
      <c r="M17" s="6">
        <v>34</v>
      </c>
      <c r="N17" s="6">
        <v>52</v>
      </c>
      <c r="O17" s="1"/>
      <c r="P17" s="1"/>
      <c r="Q17" s="1"/>
    </row>
    <row r="18" spans="1:17" ht="15.75" customHeight="1">
      <c r="A18" s="1">
        <v>2015</v>
      </c>
      <c r="B18" s="1">
        <v>19</v>
      </c>
      <c r="C18" s="1" t="s">
        <v>57</v>
      </c>
      <c r="D18" s="1">
        <v>6.907</v>
      </c>
      <c r="E18" s="1" t="s">
        <v>58</v>
      </c>
      <c r="F18" s="1">
        <v>28</v>
      </c>
      <c r="G18" s="1">
        <v>7</v>
      </c>
      <c r="H18" s="1">
        <v>5</v>
      </c>
      <c r="I18" s="1">
        <v>20</v>
      </c>
      <c r="J18" s="1">
        <v>24</v>
      </c>
      <c r="K18" s="1">
        <v>10</v>
      </c>
      <c r="L18" s="1">
        <v>11</v>
      </c>
      <c r="M18" s="1">
        <v>32</v>
      </c>
      <c r="N18" s="1">
        <v>43</v>
      </c>
      <c r="O18" s="1">
        <v>10</v>
      </c>
      <c r="P18" s="1">
        <v>10</v>
      </c>
      <c r="Q18" s="1">
        <v>48</v>
      </c>
    </row>
    <row r="19" spans="1:17" ht="15.75" customHeight="1">
      <c r="A19" s="1">
        <v>2015</v>
      </c>
      <c r="B19" s="1">
        <v>20</v>
      </c>
      <c r="C19" s="1" t="s">
        <v>59</v>
      </c>
      <c r="D19" s="1">
        <v>6.8710000000000004</v>
      </c>
      <c r="E19" s="1" t="s">
        <v>60</v>
      </c>
      <c r="F19" s="1">
        <v>5</v>
      </c>
      <c r="G19" s="1">
        <v>15</v>
      </c>
      <c r="H19" s="1">
        <v>1</v>
      </c>
      <c r="I19" s="1">
        <v>5</v>
      </c>
      <c r="J19" s="1">
        <v>9</v>
      </c>
      <c r="K19" s="1">
        <v>25</v>
      </c>
      <c r="L19" s="1">
        <v>10</v>
      </c>
      <c r="M19" s="1">
        <v>44</v>
      </c>
      <c r="N19" s="1">
        <v>24</v>
      </c>
      <c r="O19" s="1">
        <v>25</v>
      </c>
      <c r="P19" s="1">
        <v>26</v>
      </c>
      <c r="Q19" s="1">
        <v>126</v>
      </c>
    </row>
    <row r="20" spans="1:17" ht="15.75" customHeight="1">
      <c r="A20" s="1">
        <v>2015</v>
      </c>
      <c r="B20" s="1">
        <v>21</v>
      </c>
      <c r="C20" s="1" t="s">
        <v>61</v>
      </c>
      <c r="D20" s="1">
        <v>6.7779999999999996</v>
      </c>
      <c r="E20" s="1" t="s">
        <v>62</v>
      </c>
      <c r="F20" s="1">
        <v>79</v>
      </c>
      <c r="G20" s="1">
        <v>96</v>
      </c>
      <c r="H20" s="1">
        <v>55</v>
      </c>
      <c r="I20" s="1">
        <v>63</v>
      </c>
      <c r="J20" s="1">
        <v>86</v>
      </c>
      <c r="K20" s="1">
        <v>106</v>
      </c>
      <c r="L20" s="1">
        <v>40</v>
      </c>
      <c r="M20" s="1">
        <v>51</v>
      </c>
      <c r="N20" s="1">
        <v>51</v>
      </c>
      <c r="O20" s="1">
        <v>106</v>
      </c>
      <c r="P20" s="1">
        <v>108</v>
      </c>
      <c r="Q20" s="1">
        <v>91</v>
      </c>
    </row>
    <row r="21" spans="1:17" ht="15.75" customHeight="1">
      <c r="A21" s="1">
        <v>2015</v>
      </c>
      <c r="B21" s="1">
        <v>22</v>
      </c>
      <c r="C21" s="1" t="s">
        <v>63</v>
      </c>
      <c r="D21" s="1">
        <v>6.7389999999999999</v>
      </c>
      <c r="E21" s="1">
        <v>0.193</v>
      </c>
      <c r="F21" s="1">
        <v>11</v>
      </c>
      <c r="G21" s="1">
        <v>51</v>
      </c>
      <c r="H21" s="1">
        <v>3</v>
      </c>
      <c r="I21" s="1">
        <v>2</v>
      </c>
      <c r="J21" s="1">
        <v>26</v>
      </c>
      <c r="K21" s="1">
        <v>19</v>
      </c>
      <c r="L21" s="1">
        <v>2</v>
      </c>
      <c r="M21" s="1">
        <v>40</v>
      </c>
      <c r="N21" s="1">
        <v>4</v>
      </c>
      <c r="O21" s="1">
        <v>19</v>
      </c>
      <c r="P21" s="1">
        <v>54</v>
      </c>
      <c r="Q21" s="1">
        <v>80</v>
      </c>
    </row>
    <row r="22" spans="1:17" ht="15.75" customHeight="1">
      <c r="A22" s="1">
        <v>2015</v>
      </c>
      <c r="B22" s="1">
        <v>23</v>
      </c>
      <c r="C22" s="1" t="s">
        <v>64</v>
      </c>
      <c r="D22" s="1">
        <v>6.7249999999999996</v>
      </c>
      <c r="E22" s="1" t="s">
        <v>65</v>
      </c>
      <c r="F22" s="1">
        <v>26</v>
      </c>
      <c r="G22" s="1">
        <v>14</v>
      </c>
      <c r="H22" s="1">
        <v>24</v>
      </c>
      <c r="I22" s="1">
        <v>29</v>
      </c>
      <c r="J22" s="1">
        <v>41</v>
      </c>
      <c r="K22" s="1">
        <v>7</v>
      </c>
      <c r="L22" s="1">
        <v>16</v>
      </c>
      <c r="M22" s="1">
        <v>37</v>
      </c>
      <c r="N22" s="1">
        <v>41</v>
      </c>
      <c r="O22" s="1">
        <v>7</v>
      </c>
      <c r="P22" s="1">
        <v>22</v>
      </c>
      <c r="Q22" s="1">
        <v>34</v>
      </c>
    </row>
    <row r="23" spans="1:17" ht="15.75" customHeight="1">
      <c r="A23" s="1">
        <v>2015</v>
      </c>
      <c r="B23" s="1">
        <v>24</v>
      </c>
      <c r="C23" s="1" t="s">
        <v>66</v>
      </c>
      <c r="D23" s="1">
        <v>6.7050000000000001</v>
      </c>
      <c r="E23" s="1">
        <v>0.11799999999999999</v>
      </c>
      <c r="F23" s="1">
        <v>50</v>
      </c>
      <c r="G23" s="1">
        <v>70</v>
      </c>
      <c r="H23" s="1">
        <v>50</v>
      </c>
      <c r="I23" s="1">
        <v>32</v>
      </c>
      <c r="J23" s="1">
        <v>72</v>
      </c>
      <c r="K23" s="1">
        <v>43</v>
      </c>
      <c r="L23" s="1">
        <v>69</v>
      </c>
      <c r="M23" s="1">
        <v>28</v>
      </c>
      <c r="N23" s="1">
        <v>108</v>
      </c>
      <c r="O23" s="1">
        <v>43</v>
      </c>
      <c r="P23" s="1">
        <v>93</v>
      </c>
      <c r="Q23" s="1">
        <v>41</v>
      </c>
    </row>
    <row r="24" spans="1:17" ht="15.75" customHeight="1">
      <c r="A24" s="1">
        <v>2015</v>
      </c>
      <c r="B24" s="1">
        <v>25</v>
      </c>
      <c r="C24" s="1" t="s">
        <v>67</v>
      </c>
      <c r="D24" s="1">
        <v>6.7009999999999996</v>
      </c>
      <c r="E24" s="1" t="s">
        <v>68</v>
      </c>
      <c r="F24" s="1">
        <v>121</v>
      </c>
      <c r="G24" s="1">
        <v>45</v>
      </c>
      <c r="H24" s="1">
        <v>45</v>
      </c>
      <c r="I24" s="1">
        <v>36</v>
      </c>
      <c r="J24" s="1">
        <v>39</v>
      </c>
      <c r="K24" s="1">
        <v>46</v>
      </c>
      <c r="L24" s="1">
        <v>66</v>
      </c>
      <c r="M24" s="1">
        <v>22</v>
      </c>
      <c r="N24" s="1">
        <v>66</v>
      </c>
      <c r="O24" s="1">
        <v>46</v>
      </c>
      <c r="P24" s="1">
        <v>23</v>
      </c>
      <c r="Q24" s="1">
        <v>39</v>
      </c>
    </row>
    <row r="25" spans="1:17" ht="15.75" customHeight="1">
      <c r="A25" s="1">
        <v>2015</v>
      </c>
      <c r="B25" s="1">
        <v>26</v>
      </c>
      <c r="C25" s="1" t="s">
        <v>69</v>
      </c>
      <c r="D25" s="1">
        <v>6.65</v>
      </c>
      <c r="E25" s="1">
        <v>8.7999999999999995E-2</v>
      </c>
      <c r="F25" s="1">
        <v>53</v>
      </c>
      <c r="G25" s="1">
        <v>20</v>
      </c>
      <c r="H25" s="1">
        <v>49</v>
      </c>
      <c r="I25" s="1">
        <v>51</v>
      </c>
      <c r="J25" s="1">
        <v>29</v>
      </c>
      <c r="K25" s="1">
        <v>109</v>
      </c>
      <c r="L25" s="1">
        <v>90</v>
      </c>
      <c r="M25" s="1">
        <v>25</v>
      </c>
      <c r="N25" s="1">
        <v>91</v>
      </c>
      <c r="O25" s="1">
        <v>109</v>
      </c>
      <c r="P25" s="1">
        <v>67</v>
      </c>
      <c r="Q25" s="1">
        <v>69</v>
      </c>
    </row>
    <row r="26" spans="1:17" ht="15.75" customHeight="1">
      <c r="A26" s="1">
        <v>2015</v>
      </c>
      <c r="B26" s="1">
        <v>27</v>
      </c>
      <c r="C26" s="1" t="s">
        <v>70</v>
      </c>
      <c r="D26" s="1">
        <v>6.5960000000000001</v>
      </c>
      <c r="E26" s="1">
        <v>0.30599999999999999</v>
      </c>
      <c r="F26" s="1">
        <v>36</v>
      </c>
      <c r="G26" s="1">
        <v>28</v>
      </c>
      <c r="H26" s="1">
        <v>31</v>
      </c>
      <c r="I26" s="1">
        <v>35</v>
      </c>
      <c r="J26" s="1">
        <v>52</v>
      </c>
      <c r="K26" s="1">
        <v>84</v>
      </c>
      <c r="L26" s="1">
        <v>109</v>
      </c>
      <c r="M26" s="1">
        <v>57</v>
      </c>
      <c r="N26" s="1">
        <v>29</v>
      </c>
      <c r="O26" s="1">
        <v>84</v>
      </c>
      <c r="P26" s="1">
        <v>102</v>
      </c>
      <c r="Q26" s="1">
        <v>135</v>
      </c>
    </row>
    <row r="27" spans="1:17" ht="15.75" customHeight="1">
      <c r="A27" s="1">
        <v>2015</v>
      </c>
      <c r="B27" s="1">
        <v>28</v>
      </c>
      <c r="C27" s="1" t="s">
        <v>71</v>
      </c>
      <c r="D27" s="1">
        <v>6.5730000000000004</v>
      </c>
      <c r="E27" s="1" t="s">
        <v>72</v>
      </c>
      <c r="F27" s="1">
        <v>73</v>
      </c>
      <c r="G27" s="1">
        <v>72</v>
      </c>
      <c r="H27" s="1">
        <v>7</v>
      </c>
      <c r="I27" s="1">
        <v>30</v>
      </c>
      <c r="J27" s="1">
        <v>15</v>
      </c>
      <c r="K27" s="1">
        <v>16</v>
      </c>
      <c r="L27" s="1">
        <v>46</v>
      </c>
      <c r="M27" s="1">
        <v>83</v>
      </c>
      <c r="N27" s="1">
        <v>16</v>
      </c>
      <c r="O27" s="1">
        <v>61</v>
      </c>
      <c r="P27" s="1">
        <v>10</v>
      </c>
      <c r="Q27" s="1"/>
    </row>
    <row r="28" spans="1:17" ht="15.75" customHeight="1">
      <c r="A28" s="1">
        <v>2015</v>
      </c>
      <c r="B28" s="1">
        <v>29</v>
      </c>
      <c r="C28" s="1" t="s">
        <v>73</v>
      </c>
      <c r="D28" s="1">
        <v>6.5449999999999999</v>
      </c>
      <c r="E28" s="1">
        <v>0.19</v>
      </c>
      <c r="F28" s="1">
        <v>87</v>
      </c>
      <c r="G28" s="1">
        <v>41</v>
      </c>
      <c r="H28" s="1">
        <v>48</v>
      </c>
      <c r="I28" s="1">
        <v>47</v>
      </c>
      <c r="J28" s="1">
        <v>14</v>
      </c>
      <c r="K28" s="1">
        <v>59</v>
      </c>
      <c r="L28" s="1">
        <v>33</v>
      </c>
      <c r="M28" s="1">
        <v>8</v>
      </c>
      <c r="N28" s="1">
        <v>85</v>
      </c>
      <c r="O28" s="1">
        <v>59</v>
      </c>
      <c r="P28" s="1">
        <v>62</v>
      </c>
      <c r="Q28" s="1">
        <v>37</v>
      </c>
    </row>
    <row r="29" spans="1:17" ht="15.75" customHeight="1">
      <c r="A29" s="1">
        <v>2015</v>
      </c>
      <c r="B29" s="1">
        <v>30</v>
      </c>
      <c r="C29" s="1" t="s">
        <v>74</v>
      </c>
      <c r="D29" s="1">
        <v>6.4880000000000004</v>
      </c>
      <c r="E29" s="1">
        <v>0.52400000000000002</v>
      </c>
      <c r="F29" s="1">
        <v>42</v>
      </c>
      <c r="G29" s="1">
        <v>25</v>
      </c>
      <c r="H29" s="1">
        <v>26</v>
      </c>
      <c r="I29" s="1">
        <v>10</v>
      </c>
      <c r="J29" s="1">
        <v>16</v>
      </c>
      <c r="K29" s="1">
        <v>4</v>
      </c>
      <c r="L29" s="1">
        <v>30</v>
      </c>
      <c r="M29" s="1">
        <v>81</v>
      </c>
      <c r="N29" s="1">
        <v>119</v>
      </c>
      <c r="O29" s="1">
        <v>4</v>
      </c>
      <c r="P29" s="1">
        <v>36</v>
      </c>
      <c r="Q29" s="1">
        <v>87</v>
      </c>
    </row>
    <row r="30" spans="1:17" ht="15.75" customHeight="1">
      <c r="A30" s="1">
        <v>2015</v>
      </c>
      <c r="B30" s="1">
        <v>31</v>
      </c>
      <c r="C30" s="1" t="s">
        <v>75</v>
      </c>
      <c r="D30" s="1">
        <v>6.4809999999999999</v>
      </c>
      <c r="E30" s="1">
        <v>6.5000000000000002E-2</v>
      </c>
      <c r="F30" s="1">
        <v>100</v>
      </c>
      <c r="G30" s="1">
        <v>42</v>
      </c>
      <c r="H30" s="1">
        <v>65</v>
      </c>
      <c r="I30" s="1">
        <v>39</v>
      </c>
      <c r="J30" s="1">
        <v>66</v>
      </c>
      <c r="K30" s="1">
        <v>90</v>
      </c>
      <c r="L30" s="1">
        <v>85</v>
      </c>
      <c r="M30" s="1">
        <v>10</v>
      </c>
      <c r="N30" s="1">
        <v>80</v>
      </c>
      <c r="O30" s="1">
        <v>90</v>
      </c>
      <c r="P30" s="1">
        <v>72</v>
      </c>
      <c r="Q30" s="1">
        <v>44</v>
      </c>
    </row>
    <row r="31" spans="1:17" ht="15.75" customHeight="1">
      <c r="A31" s="1">
        <v>2015</v>
      </c>
      <c r="B31" s="1">
        <v>32</v>
      </c>
      <c r="C31" s="1" t="s">
        <v>76</v>
      </c>
      <c r="D31" s="1">
        <v>6.4779999999999998</v>
      </c>
      <c r="E31" s="1" t="s">
        <v>77</v>
      </c>
      <c r="F31" s="1">
        <v>41</v>
      </c>
      <c r="G31" s="1">
        <v>38</v>
      </c>
      <c r="H31" s="1">
        <v>23</v>
      </c>
      <c r="I31" s="1">
        <v>14</v>
      </c>
      <c r="J31" s="1">
        <v>46</v>
      </c>
      <c r="K31" s="1">
        <v>75</v>
      </c>
      <c r="L31" s="1">
        <v>28</v>
      </c>
      <c r="M31" s="1">
        <v>38</v>
      </c>
      <c r="N31" s="1">
        <v>37</v>
      </c>
      <c r="O31" s="1">
        <v>75</v>
      </c>
      <c r="P31" s="1">
        <v>32</v>
      </c>
      <c r="Q31" s="1">
        <v>117</v>
      </c>
    </row>
    <row r="32" spans="1:17" ht="15.75" customHeight="1">
      <c r="A32" s="1">
        <v>2015</v>
      </c>
      <c r="B32" s="1">
        <v>33</v>
      </c>
      <c r="C32" s="1" t="s">
        <v>78</v>
      </c>
      <c r="D32" s="1">
        <v>6.4740000000000002</v>
      </c>
      <c r="E32" s="1">
        <v>0.10299999999999999</v>
      </c>
      <c r="F32" s="1">
        <v>31</v>
      </c>
      <c r="G32" s="1">
        <v>52</v>
      </c>
      <c r="H32" s="1">
        <v>61</v>
      </c>
      <c r="I32" s="1">
        <v>44</v>
      </c>
      <c r="J32" s="1">
        <v>27</v>
      </c>
      <c r="K32" s="1">
        <v>12</v>
      </c>
      <c r="L32" s="1">
        <v>121</v>
      </c>
      <c r="M32" s="1">
        <v>1</v>
      </c>
      <c r="N32" s="1">
        <v>13</v>
      </c>
      <c r="O32" s="1">
        <v>12</v>
      </c>
      <c r="P32" s="1">
        <v>83</v>
      </c>
      <c r="Q32" s="1">
        <v>99</v>
      </c>
    </row>
    <row r="33" spans="1:17" ht="15.75" customHeight="1">
      <c r="A33" s="1">
        <v>2015</v>
      </c>
      <c r="B33" s="1">
        <v>34</v>
      </c>
      <c r="C33" s="1" t="s">
        <v>79</v>
      </c>
      <c r="D33" s="1">
        <v>6.3789999999999996</v>
      </c>
      <c r="E33" s="1" t="s">
        <v>80</v>
      </c>
      <c r="F33" s="1">
        <v>117</v>
      </c>
      <c r="G33" s="1">
        <v>75</v>
      </c>
      <c r="H33" s="1">
        <v>20</v>
      </c>
      <c r="I33" s="1">
        <v>56</v>
      </c>
      <c r="J33" s="1">
        <v>45</v>
      </c>
      <c r="K33" s="1">
        <v>45</v>
      </c>
      <c r="L33" s="1">
        <v>67</v>
      </c>
      <c r="M33" s="1">
        <v>103</v>
      </c>
      <c r="N33" s="1">
        <v>45</v>
      </c>
      <c r="O33" s="1">
        <v>97</v>
      </c>
      <c r="P33" s="1">
        <v>9</v>
      </c>
      <c r="Q33" s="1"/>
    </row>
    <row r="34" spans="1:17" ht="15.75" customHeight="1">
      <c r="A34" s="1">
        <v>2015</v>
      </c>
      <c r="B34" s="1">
        <v>35</v>
      </c>
      <c r="C34" s="1" t="s">
        <v>81</v>
      </c>
      <c r="D34" s="1">
        <v>6.3789999999999996</v>
      </c>
      <c r="E34" s="1">
        <v>0.158</v>
      </c>
      <c r="F34" s="1">
        <v>38</v>
      </c>
      <c r="G34" s="1">
        <v>43</v>
      </c>
      <c r="H34" s="1">
        <v>22</v>
      </c>
      <c r="I34" s="1"/>
      <c r="J34" s="1">
        <v>91</v>
      </c>
      <c r="K34" s="1">
        <v>40</v>
      </c>
      <c r="L34" s="1">
        <v>93</v>
      </c>
      <c r="M34" s="1">
        <v>30</v>
      </c>
      <c r="N34" s="1">
        <v>2</v>
      </c>
      <c r="O34" s="1">
        <v>40</v>
      </c>
      <c r="P34" s="1">
        <v>82</v>
      </c>
      <c r="Q34" s="1">
        <v>46</v>
      </c>
    </row>
    <row r="35" spans="1:17" ht="15.75" customHeight="1">
      <c r="A35" s="1">
        <v>2015</v>
      </c>
      <c r="B35" s="3">
        <v>36</v>
      </c>
      <c r="C35" s="8" t="s">
        <v>82</v>
      </c>
      <c r="D35" s="5">
        <v>6.375</v>
      </c>
      <c r="E35" s="9" t="s">
        <v>83</v>
      </c>
      <c r="F35" s="6">
        <v>101</v>
      </c>
      <c r="G35" s="10"/>
      <c r="H35" s="6">
        <v>2</v>
      </c>
      <c r="I35" s="10">
        <v>43</v>
      </c>
      <c r="J35" s="10"/>
      <c r="K35" s="10"/>
      <c r="L35" s="10"/>
      <c r="M35" s="10"/>
      <c r="N35" s="10"/>
      <c r="O35" s="1"/>
      <c r="P35" s="1"/>
      <c r="Q35" s="1"/>
    </row>
    <row r="36" spans="1:17" ht="15.75" customHeight="1">
      <c r="A36" s="1">
        <v>2015</v>
      </c>
      <c r="B36" s="3">
        <v>37</v>
      </c>
      <c r="C36" s="8" t="s">
        <v>84</v>
      </c>
      <c r="D36" s="5">
        <v>6.3609999999999998</v>
      </c>
      <c r="E36" s="6">
        <v>3.9E-2</v>
      </c>
      <c r="F36" s="6">
        <v>17</v>
      </c>
      <c r="G36" s="6">
        <v>6</v>
      </c>
      <c r="H36" s="6">
        <v>29</v>
      </c>
      <c r="I36" s="7">
        <v>6</v>
      </c>
      <c r="J36" s="6">
        <v>83</v>
      </c>
      <c r="K36" s="6">
        <v>57</v>
      </c>
      <c r="L36" s="6">
        <v>73</v>
      </c>
      <c r="M36" s="6">
        <v>52</v>
      </c>
      <c r="N36" s="6">
        <v>76</v>
      </c>
      <c r="O36" s="1"/>
      <c r="P36" s="1"/>
      <c r="Q36" s="1"/>
    </row>
    <row r="37" spans="1:17" ht="15.75" customHeight="1">
      <c r="A37" s="1">
        <v>2015</v>
      </c>
      <c r="B37" s="1">
        <v>38</v>
      </c>
      <c r="C37" s="1" t="s">
        <v>85</v>
      </c>
      <c r="D37" s="1">
        <v>6.3550000000000004</v>
      </c>
      <c r="E37" s="1">
        <v>0.93300000000000005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>
      <c r="A38" s="1">
        <v>2015</v>
      </c>
      <c r="B38" s="1">
        <v>39</v>
      </c>
      <c r="C38" s="1" t="s">
        <v>86</v>
      </c>
      <c r="D38" s="1">
        <v>6.3239999999999998</v>
      </c>
      <c r="E38" s="1">
        <v>0.35899999999999999</v>
      </c>
      <c r="F38" s="1">
        <v>135</v>
      </c>
      <c r="G38" s="1">
        <v>74</v>
      </c>
      <c r="H38" s="1">
        <v>89</v>
      </c>
      <c r="I38" s="1">
        <v>90</v>
      </c>
      <c r="J38" s="1">
        <v>31</v>
      </c>
      <c r="K38" s="1">
        <v>51</v>
      </c>
      <c r="L38" s="1">
        <v>72</v>
      </c>
      <c r="M38" s="1">
        <v>5</v>
      </c>
      <c r="N38" s="1">
        <v>92</v>
      </c>
      <c r="O38" s="1">
        <v>51</v>
      </c>
      <c r="P38" s="1">
        <v>17</v>
      </c>
      <c r="Q38" s="1">
        <v>31</v>
      </c>
    </row>
    <row r="39" spans="1:17" ht="15.75" customHeight="1">
      <c r="A39" s="1">
        <v>2015</v>
      </c>
      <c r="B39" s="1">
        <v>40</v>
      </c>
      <c r="C39" s="1" t="s">
        <v>87</v>
      </c>
      <c r="D39" s="1">
        <v>6.2690000000000001</v>
      </c>
      <c r="E39" s="1">
        <v>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>
      <c r="A40" s="1">
        <v>2015</v>
      </c>
      <c r="B40" s="1">
        <v>41</v>
      </c>
      <c r="C40" s="1" t="s">
        <v>88</v>
      </c>
      <c r="D40" s="1">
        <v>6.2389999999999999</v>
      </c>
      <c r="E40" s="1" t="s">
        <v>89</v>
      </c>
      <c r="F40" s="1">
        <v>106</v>
      </c>
      <c r="G40" s="1">
        <v>73</v>
      </c>
      <c r="H40" s="1">
        <v>16</v>
      </c>
      <c r="I40" s="1">
        <v>22</v>
      </c>
      <c r="J40" s="1">
        <v>44</v>
      </c>
      <c r="K40" s="1">
        <v>29</v>
      </c>
      <c r="L40" s="1">
        <v>62</v>
      </c>
      <c r="M40" s="1">
        <v>101</v>
      </c>
      <c r="N40" s="1">
        <v>29</v>
      </c>
      <c r="O40" s="1">
        <v>92</v>
      </c>
      <c r="P40" s="1">
        <v>4</v>
      </c>
      <c r="Q40" s="1"/>
    </row>
    <row r="41" spans="1:17" ht="15.75" customHeight="1">
      <c r="A41" s="1">
        <v>2015</v>
      </c>
      <c r="B41" s="1">
        <v>42</v>
      </c>
      <c r="C41" s="1" t="s">
        <v>90</v>
      </c>
      <c r="D41" s="1">
        <v>6.218</v>
      </c>
      <c r="E41" s="1">
        <v>0.90600000000000003</v>
      </c>
      <c r="F41" s="1">
        <v>83</v>
      </c>
      <c r="G41" s="1">
        <v>60</v>
      </c>
      <c r="H41" s="1">
        <v>19</v>
      </c>
      <c r="I41" s="1">
        <v>62</v>
      </c>
      <c r="J41" s="1">
        <v>37</v>
      </c>
      <c r="K41" s="1">
        <v>24</v>
      </c>
      <c r="L41" s="1">
        <v>74</v>
      </c>
      <c r="M41" s="1">
        <v>89</v>
      </c>
      <c r="N41" s="1">
        <v>24</v>
      </c>
      <c r="O41" s="1">
        <v>34</v>
      </c>
      <c r="P41" s="1">
        <v>15</v>
      </c>
      <c r="Q41" s="1"/>
    </row>
    <row r="42" spans="1:17" ht="15.75" customHeight="1">
      <c r="A42" s="1">
        <v>2015</v>
      </c>
      <c r="B42" s="1">
        <v>43</v>
      </c>
      <c r="C42" s="1" t="s">
        <v>91</v>
      </c>
      <c r="D42" s="1">
        <v>6.1680000000000001</v>
      </c>
      <c r="E42" s="1" t="s">
        <v>92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>
      <c r="A43" s="1">
        <v>2015</v>
      </c>
      <c r="B43" s="1">
        <v>44</v>
      </c>
      <c r="C43" s="1" t="s">
        <v>93</v>
      </c>
      <c r="D43" s="1">
        <v>6.0839999999999996</v>
      </c>
      <c r="E43" s="1" t="s">
        <v>94</v>
      </c>
      <c r="F43" s="1">
        <v>127</v>
      </c>
      <c r="G43" s="1">
        <v>29</v>
      </c>
      <c r="H43" s="1">
        <v>107</v>
      </c>
      <c r="I43" s="1">
        <v>73</v>
      </c>
      <c r="J43" s="1">
        <v>132</v>
      </c>
      <c r="K43" s="1">
        <v>115</v>
      </c>
      <c r="L43" s="1">
        <v>70</v>
      </c>
      <c r="M43" s="1">
        <v>2</v>
      </c>
      <c r="N43" s="1">
        <v>42</v>
      </c>
      <c r="O43" s="1">
        <v>115</v>
      </c>
      <c r="P43" s="1">
        <v>106</v>
      </c>
      <c r="Q43" s="1">
        <v>114</v>
      </c>
    </row>
    <row r="44" spans="1:17" ht="15.75" customHeight="1">
      <c r="A44" s="1">
        <v>2015</v>
      </c>
      <c r="B44" s="1">
        <v>45</v>
      </c>
      <c r="C44" s="1" t="s">
        <v>95</v>
      </c>
      <c r="D44" s="1">
        <v>6.0780000000000003</v>
      </c>
      <c r="E44" s="1">
        <v>0.109</v>
      </c>
      <c r="F44" s="1">
        <v>52</v>
      </c>
      <c r="G44" s="1">
        <v>11</v>
      </c>
      <c r="H44" s="1">
        <v>39</v>
      </c>
      <c r="I44" s="1">
        <v>50</v>
      </c>
      <c r="J44" s="1">
        <v>119</v>
      </c>
      <c r="K44" s="1">
        <v>83</v>
      </c>
      <c r="L44" s="1">
        <v>124</v>
      </c>
      <c r="M44" s="1">
        <v>87</v>
      </c>
      <c r="N44" s="1">
        <v>69</v>
      </c>
      <c r="O44" s="1">
        <v>83</v>
      </c>
      <c r="P44" s="1">
        <v>117</v>
      </c>
      <c r="Q44" s="1">
        <v>133</v>
      </c>
    </row>
    <row r="45" spans="1:17" ht="15.75" customHeight="1">
      <c r="A45" s="1">
        <v>2015</v>
      </c>
      <c r="B45" s="1">
        <v>46</v>
      </c>
      <c r="C45" s="1" t="s">
        <v>96</v>
      </c>
      <c r="D45" s="1">
        <v>6.0679999999999996</v>
      </c>
      <c r="E45" s="1">
        <v>0.25900000000000001</v>
      </c>
      <c r="F45" s="1">
        <v>126</v>
      </c>
      <c r="G45" s="1">
        <v>84</v>
      </c>
      <c r="H45" s="1">
        <v>91</v>
      </c>
      <c r="I45" s="1">
        <v>82</v>
      </c>
      <c r="J45" s="1">
        <v>82</v>
      </c>
      <c r="K45" s="1">
        <v>123</v>
      </c>
      <c r="L45" s="1">
        <v>63</v>
      </c>
      <c r="M45" s="1">
        <v>6</v>
      </c>
      <c r="N45" s="1">
        <v>107</v>
      </c>
      <c r="O45" s="1">
        <v>123</v>
      </c>
      <c r="P45" s="1">
        <v>35</v>
      </c>
      <c r="Q45" s="1">
        <v>78</v>
      </c>
    </row>
    <row r="46" spans="1:17" ht="15.75" customHeight="1">
      <c r="A46" s="1">
        <v>2015</v>
      </c>
      <c r="B46" s="1">
        <v>47</v>
      </c>
      <c r="C46" s="1" t="s">
        <v>97</v>
      </c>
      <c r="D46" s="1">
        <v>6.0049999999999999</v>
      </c>
      <c r="E46" s="1">
        <v>0.245</v>
      </c>
      <c r="F46" s="1">
        <v>61</v>
      </c>
      <c r="G46" s="1">
        <v>76</v>
      </c>
      <c r="H46" s="1">
        <v>51</v>
      </c>
      <c r="I46" s="1">
        <v>67</v>
      </c>
      <c r="J46" s="1">
        <v>96</v>
      </c>
      <c r="K46" s="1">
        <v>21</v>
      </c>
      <c r="L46" s="1">
        <v>81</v>
      </c>
      <c r="M46" s="1">
        <v>41</v>
      </c>
      <c r="N46" s="1">
        <v>96</v>
      </c>
      <c r="O46" s="1">
        <v>21</v>
      </c>
      <c r="P46" s="1">
        <v>20</v>
      </c>
      <c r="Q46" s="1">
        <v>85</v>
      </c>
    </row>
    <row r="47" spans="1:17" ht="15.75" customHeight="1">
      <c r="A47" s="1">
        <v>2015</v>
      </c>
      <c r="B47" s="1">
        <v>48</v>
      </c>
      <c r="C47" s="1" t="s">
        <v>98</v>
      </c>
      <c r="D47" s="1">
        <v>5.992</v>
      </c>
      <c r="E47" s="1">
        <v>0.48499999999999999</v>
      </c>
      <c r="F47" s="1">
        <v>133</v>
      </c>
      <c r="G47" s="1">
        <v>71</v>
      </c>
      <c r="H47" s="1">
        <v>99</v>
      </c>
      <c r="I47" s="1">
        <v>45</v>
      </c>
      <c r="J47" s="1">
        <v>51</v>
      </c>
      <c r="K47" s="1">
        <v>52</v>
      </c>
      <c r="L47" s="1">
        <v>46</v>
      </c>
      <c r="M47" s="1">
        <v>23</v>
      </c>
      <c r="N47" s="1">
        <v>113</v>
      </c>
      <c r="O47" s="1">
        <v>52</v>
      </c>
      <c r="P47" s="1">
        <v>53</v>
      </c>
      <c r="Q47" s="1">
        <v>108</v>
      </c>
    </row>
    <row r="48" spans="1:17" ht="15.75" customHeight="1">
      <c r="A48" s="1">
        <v>2015</v>
      </c>
      <c r="B48" s="1">
        <v>49</v>
      </c>
      <c r="C48" s="1" t="s">
        <v>99</v>
      </c>
      <c r="D48" s="1">
        <v>5.9870000000000001</v>
      </c>
      <c r="E48" s="1">
        <v>0.36399999999999999</v>
      </c>
      <c r="F48" s="1">
        <v>96</v>
      </c>
      <c r="G48" s="1">
        <v>3</v>
      </c>
      <c r="H48" s="1">
        <v>98</v>
      </c>
      <c r="I48" s="1">
        <v>91</v>
      </c>
      <c r="J48" s="1">
        <v>1</v>
      </c>
      <c r="K48" s="1">
        <v>15</v>
      </c>
      <c r="L48" s="1">
        <v>18</v>
      </c>
      <c r="M48" s="1">
        <v>21</v>
      </c>
      <c r="N48" s="1">
        <v>1</v>
      </c>
      <c r="O48" s="1">
        <v>15</v>
      </c>
      <c r="P48" s="1">
        <v>41</v>
      </c>
      <c r="Q48" s="1">
        <v>18</v>
      </c>
    </row>
    <row r="49" spans="1:17" ht="15.75" customHeight="1">
      <c r="A49" s="1">
        <v>2015</v>
      </c>
      <c r="B49" s="1">
        <v>50</v>
      </c>
      <c r="C49" s="1" t="s">
        <v>100</v>
      </c>
      <c r="D49" s="1">
        <v>5.9770000000000003</v>
      </c>
      <c r="E49" s="1" t="s">
        <v>101</v>
      </c>
      <c r="F49" s="1">
        <v>18</v>
      </c>
      <c r="G49" s="1">
        <v>31</v>
      </c>
      <c r="H49" s="1">
        <v>25</v>
      </c>
      <c r="I49" s="1">
        <v>8</v>
      </c>
      <c r="J49" s="1">
        <v>122</v>
      </c>
      <c r="K49" s="1">
        <v>53</v>
      </c>
      <c r="L49" s="1">
        <v>119</v>
      </c>
      <c r="M49" s="1">
        <v>79</v>
      </c>
      <c r="N49" s="1">
        <v>105</v>
      </c>
      <c r="O49" s="1">
        <v>53</v>
      </c>
      <c r="P49" s="1">
        <v>95</v>
      </c>
      <c r="Q49" s="1">
        <v>102</v>
      </c>
    </row>
    <row r="50" spans="1:17" ht="15.75" customHeight="1">
      <c r="A50" s="1">
        <v>2015</v>
      </c>
      <c r="B50" s="1">
        <v>51</v>
      </c>
      <c r="C50" s="1" t="s">
        <v>102</v>
      </c>
      <c r="D50" s="1">
        <v>5.976</v>
      </c>
      <c r="E50" s="1">
        <v>0.111</v>
      </c>
      <c r="F50" s="1">
        <v>114</v>
      </c>
      <c r="G50" s="1">
        <v>58</v>
      </c>
      <c r="H50" s="1">
        <v>77</v>
      </c>
      <c r="I50" s="1">
        <v>46</v>
      </c>
      <c r="J50" s="1">
        <v>58</v>
      </c>
      <c r="K50" s="1">
        <v>103</v>
      </c>
      <c r="L50" s="1">
        <v>31</v>
      </c>
      <c r="M50" s="1">
        <v>7</v>
      </c>
      <c r="N50" s="1">
        <v>100</v>
      </c>
      <c r="O50" s="1">
        <v>103</v>
      </c>
      <c r="P50" s="1">
        <v>90</v>
      </c>
      <c r="Q50" s="1">
        <v>89</v>
      </c>
    </row>
    <row r="51" spans="1:17" ht="15.75" customHeight="1">
      <c r="A51" s="1">
        <v>2015</v>
      </c>
      <c r="B51" s="1">
        <v>52</v>
      </c>
      <c r="C51" s="1" t="s">
        <v>103</v>
      </c>
      <c r="D51" s="1">
        <v>5.9560000000000004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>
      <c r="A52" s="1">
        <v>2015</v>
      </c>
      <c r="B52" s="1">
        <v>53</v>
      </c>
      <c r="C52" s="1" t="s">
        <v>104</v>
      </c>
      <c r="D52" s="1">
        <v>5.9210000000000003</v>
      </c>
      <c r="E52" s="1" t="s">
        <v>105</v>
      </c>
      <c r="F52" s="1">
        <v>37</v>
      </c>
      <c r="G52" s="1">
        <v>24</v>
      </c>
      <c r="H52" s="1">
        <v>28</v>
      </c>
      <c r="I52" s="1">
        <v>1</v>
      </c>
      <c r="J52" s="1">
        <v>42</v>
      </c>
      <c r="K52" s="1">
        <v>85</v>
      </c>
      <c r="L52" s="1">
        <v>29</v>
      </c>
      <c r="M52" s="1">
        <v>53</v>
      </c>
      <c r="N52" s="1">
        <v>14</v>
      </c>
      <c r="O52" s="1">
        <v>85</v>
      </c>
      <c r="P52" s="1">
        <v>55</v>
      </c>
      <c r="Q52" s="1">
        <v>139</v>
      </c>
    </row>
    <row r="53" spans="1:17" ht="15.75" customHeight="1">
      <c r="A53" s="1">
        <v>2015</v>
      </c>
      <c r="B53" s="1">
        <v>54</v>
      </c>
      <c r="C53" s="1" t="s">
        <v>106</v>
      </c>
      <c r="D53" s="1">
        <v>5.9189999999999996</v>
      </c>
      <c r="E53" s="1">
        <v>0.248</v>
      </c>
      <c r="F53" s="1">
        <v>56</v>
      </c>
      <c r="G53" s="1">
        <v>16</v>
      </c>
      <c r="H53" s="1">
        <v>43</v>
      </c>
      <c r="I53" s="1">
        <v>83</v>
      </c>
      <c r="J53" s="1">
        <v>80</v>
      </c>
      <c r="K53" s="1">
        <v>54</v>
      </c>
      <c r="L53" s="1">
        <v>42</v>
      </c>
      <c r="M53" s="1">
        <v>60</v>
      </c>
      <c r="N53" s="1">
        <v>12</v>
      </c>
      <c r="O53" s="1">
        <v>54</v>
      </c>
      <c r="P53" s="1">
        <v>105</v>
      </c>
      <c r="Q53" s="1">
        <v>116</v>
      </c>
    </row>
    <row r="54" spans="1:17" ht="15.75" customHeight="1">
      <c r="A54" s="1">
        <v>2015</v>
      </c>
      <c r="B54" s="3">
        <v>55</v>
      </c>
      <c r="C54" s="8" t="s">
        <v>107</v>
      </c>
      <c r="D54" s="5">
        <v>5.8970000000000002</v>
      </c>
      <c r="E54" s="6">
        <v>0.106</v>
      </c>
      <c r="F54" s="6">
        <v>22</v>
      </c>
      <c r="G54" s="6">
        <v>65</v>
      </c>
      <c r="H54" s="6">
        <v>87</v>
      </c>
      <c r="I54" s="7">
        <v>87</v>
      </c>
      <c r="J54" s="6">
        <v>118</v>
      </c>
      <c r="K54" s="6">
        <v>99</v>
      </c>
      <c r="L54" s="6">
        <v>127</v>
      </c>
      <c r="M54" s="6">
        <v>111</v>
      </c>
      <c r="N54" s="6">
        <v>75</v>
      </c>
      <c r="O54" s="1"/>
      <c r="P54" s="1"/>
      <c r="Q54" s="1"/>
    </row>
    <row r="55" spans="1:17" ht="15.75" customHeight="1">
      <c r="A55" s="1">
        <v>2015</v>
      </c>
      <c r="B55" s="1">
        <v>56</v>
      </c>
      <c r="C55" s="1" t="s">
        <v>108</v>
      </c>
      <c r="D55" s="1">
        <v>5.8559999999999999</v>
      </c>
      <c r="E55" s="1">
        <v>0.39200000000000002</v>
      </c>
      <c r="F55" s="1">
        <v>70</v>
      </c>
      <c r="G55" s="1">
        <v>22</v>
      </c>
      <c r="H55" s="1">
        <v>37</v>
      </c>
      <c r="I55" s="1">
        <v>89</v>
      </c>
      <c r="J55" s="1">
        <v>94</v>
      </c>
      <c r="K55" s="1">
        <v>104</v>
      </c>
      <c r="L55" s="1">
        <v>120</v>
      </c>
      <c r="M55" s="1">
        <v>96</v>
      </c>
      <c r="N55" s="1">
        <v>3</v>
      </c>
      <c r="O55" s="1">
        <v>104</v>
      </c>
      <c r="P55" s="1">
        <v>113</v>
      </c>
      <c r="Q55" s="1">
        <v>122</v>
      </c>
    </row>
    <row r="56" spans="1:17" ht="15.75" customHeight="1">
      <c r="A56" s="1">
        <v>2015</v>
      </c>
      <c r="B56" s="1">
        <v>57</v>
      </c>
      <c r="C56" s="1" t="s">
        <v>109</v>
      </c>
      <c r="D56" s="1">
        <v>5.835</v>
      </c>
      <c r="E56" s="1">
        <v>1.2999999999999999E-2</v>
      </c>
      <c r="F56" s="1">
        <v>46</v>
      </c>
      <c r="G56" s="1">
        <v>40</v>
      </c>
      <c r="H56" s="1">
        <v>40</v>
      </c>
      <c r="I56" s="1">
        <v>41</v>
      </c>
      <c r="J56" s="1">
        <v>63</v>
      </c>
      <c r="K56" s="1">
        <v>69</v>
      </c>
      <c r="L56" s="1">
        <v>67</v>
      </c>
      <c r="M56" s="1">
        <v>88</v>
      </c>
      <c r="N56" s="1">
        <v>53</v>
      </c>
      <c r="O56" s="1">
        <v>69</v>
      </c>
      <c r="P56" s="1">
        <v>128</v>
      </c>
      <c r="Q56" s="1">
        <v>110</v>
      </c>
    </row>
    <row r="57" spans="1:17" ht="15.75" customHeight="1">
      <c r="A57" s="1">
        <v>2015</v>
      </c>
      <c r="B57" s="1">
        <v>58</v>
      </c>
      <c r="C57" s="1" t="s">
        <v>110</v>
      </c>
      <c r="D57" s="1">
        <v>5.835</v>
      </c>
      <c r="E57" s="1" t="s">
        <v>111</v>
      </c>
      <c r="F57" s="1">
        <v>76</v>
      </c>
      <c r="G57" s="1">
        <v>92</v>
      </c>
      <c r="H57" s="1">
        <v>30</v>
      </c>
      <c r="I57" s="1">
        <v>3</v>
      </c>
      <c r="J57" s="1">
        <v>114</v>
      </c>
      <c r="K57" s="1">
        <v>47</v>
      </c>
      <c r="L57" s="1">
        <v>82</v>
      </c>
      <c r="M57" s="1">
        <v>107</v>
      </c>
      <c r="N57" s="1">
        <v>57</v>
      </c>
      <c r="O57" s="1">
        <v>47</v>
      </c>
      <c r="P57" s="1">
        <v>80</v>
      </c>
      <c r="Q57" s="1">
        <v>94</v>
      </c>
    </row>
    <row r="58" spans="1:17" ht="15.75" customHeight="1">
      <c r="A58" s="1">
        <v>2015</v>
      </c>
      <c r="B58" s="1">
        <v>59</v>
      </c>
      <c r="C58" s="1" t="s">
        <v>112</v>
      </c>
      <c r="D58" s="1">
        <v>5.8220000000000001</v>
      </c>
      <c r="E58" s="1" t="s">
        <v>113</v>
      </c>
      <c r="F58" s="1">
        <v>44</v>
      </c>
      <c r="G58" s="1">
        <v>69</v>
      </c>
      <c r="H58" s="1">
        <v>94</v>
      </c>
      <c r="I58" s="1">
        <v>84</v>
      </c>
      <c r="J58" s="1">
        <v>28</v>
      </c>
      <c r="K58" s="1">
        <v>79</v>
      </c>
      <c r="L58" s="1">
        <v>99</v>
      </c>
      <c r="M58" s="1">
        <v>31</v>
      </c>
      <c r="N58" s="1">
        <v>133</v>
      </c>
      <c r="O58" s="1">
        <v>79</v>
      </c>
      <c r="P58" s="1">
        <v>63</v>
      </c>
      <c r="Q58" s="1">
        <v>54</v>
      </c>
    </row>
    <row r="59" spans="1:17" ht="15.75" customHeight="1">
      <c r="A59" s="1">
        <v>2015</v>
      </c>
      <c r="B59" s="1">
        <v>60</v>
      </c>
      <c r="C59" s="1" t="s">
        <v>114</v>
      </c>
      <c r="D59" s="1">
        <v>5.8129999999999997</v>
      </c>
      <c r="E59" s="1">
        <v>0.38700000000000001</v>
      </c>
      <c r="F59" s="1">
        <v>49</v>
      </c>
      <c r="G59" s="1">
        <v>18</v>
      </c>
      <c r="H59" s="1">
        <v>38</v>
      </c>
      <c r="I59" s="1">
        <v>71</v>
      </c>
      <c r="J59" s="1">
        <v>106</v>
      </c>
      <c r="K59" s="1">
        <v>125</v>
      </c>
      <c r="L59" s="1">
        <v>122</v>
      </c>
      <c r="M59" s="1">
        <v>123</v>
      </c>
      <c r="N59" s="1">
        <v>73</v>
      </c>
      <c r="O59" s="1">
        <v>125</v>
      </c>
      <c r="P59" s="1">
        <v>116</v>
      </c>
      <c r="Q59" s="1">
        <v>101</v>
      </c>
    </row>
    <row r="60" spans="1:17" ht="15.75" customHeight="1">
      <c r="A60" s="1">
        <v>2015</v>
      </c>
      <c r="B60" s="1">
        <v>61</v>
      </c>
      <c r="C60" s="1" t="s">
        <v>115</v>
      </c>
      <c r="D60" s="1">
        <v>5.8019999999999996</v>
      </c>
      <c r="E60" s="1">
        <v>0.29799999999999999</v>
      </c>
      <c r="F60" s="1">
        <v>59</v>
      </c>
      <c r="G60" s="1">
        <v>23</v>
      </c>
      <c r="H60" s="1">
        <v>53</v>
      </c>
      <c r="I60" s="1">
        <v>72</v>
      </c>
      <c r="J60" s="1">
        <v>113</v>
      </c>
      <c r="K60" s="1">
        <v>81</v>
      </c>
      <c r="L60" s="1">
        <v>32</v>
      </c>
      <c r="M60" s="1">
        <v>119</v>
      </c>
      <c r="N60" s="1">
        <v>19</v>
      </c>
      <c r="O60" s="1">
        <v>81</v>
      </c>
      <c r="P60" s="1">
        <v>59</v>
      </c>
      <c r="Q60" s="1">
        <v>128</v>
      </c>
    </row>
    <row r="61" spans="1:17" ht="15.75" customHeight="1">
      <c r="A61" s="1">
        <v>2015</v>
      </c>
      <c r="B61" s="1">
        <v>63</v>
      </c>
      <c r="C61" s="1" t="s">
        <v>116</v>
      </c>
      <c r="D61" s="1">
        <v>5.7679999999999998</v>
      </c>
      <c r="E61" s="1" t="s">
        <v>117</v>
      </c>
      <c r="F61" s="1">
        <v>67</v>
      </c>
      <c r="G61" s="1">
        <v>36</v>
      </c>
      <c r="H61" s="1">
        <v>33</v>
      </c>
      <c r="I61" s="1">
        <v>25</v>
      </c>
      <c r="J61" s="1">
        <v>23</v>
      </c>
      <c r="K61" s="1">
        <v>44</v>
      </c>
      <c r="L61" s="1">
        <v>112</v>
      </c>
      <c r="M61" s="1">
        <v>80</v>
      </c>
      <c r="N61" s="1">
        <v>63</v>
      </c>
      <c r="O61" s="1">
        <v>44</v>
      </c>
      <c r="P61" s="1">
        <v>19</v>
      </c>
      <c r="Q61" s="1">
        <v>76</v>
      </c>
    </row>
    <row r="62" spans="1:17" ht="15.75" customHeight="1">
      <c r="A62" s="1">
        <v>2015</v>
      </c>
      <c r="B62" s="1">
        <v>64</v>
      </c>
      <c r="C62" s="1" t="s">
        <v>118</v>
      </c>
      <c r="D62" s="1">
        <v>5.7430000000000003</v>
      </c>
      <c r="E62" s="1" t="s">
        <v>119</v>
      </c>
      <c r="F62" s="1">
        <v>105</v>
      </c>
      <c r="G62" s="1">
        <v>82</v>
      </c>
      <c r="H62" s="1">
        <v>72</v>
      </c>
      <c r="I62" s="1">
        <v>18</v>
      </c>
      <c r="J62" s="1">
        <v>56</v>
      </c>
      <c r="K62" s="1">
        <v>91</v>
      </c>
      <c r="L62" s="1">
        <v>107</v>
      </c>
      <c r="M62" s="1">
        <v>35</v>
      </c>
      <c r="N62" s="1">
        <v>128</v>
      </c>
      <c r="O62" s="1">
        <v>91</v>
      </c>
      <c r="P62" s="1">
        <v>42</v>
      </c>
      <c r="Q62" s="1">
        <v>40</v>
      </c>
    </row>
    <row r="63" spans="1:17" ht="15.75" customHeight="1">
      <c r="A63" s="1">
        <v>2015</v>
      </c>
      <c r="B63" s="1">
        <v>65</v>
      </c>
      <c r="C63" s="1" t="s">
        <v>120</v>
      </c>
      <c r="D63" s="1">
        <v>5.6580000000000004</v>
      </c>
      <c r="E63" s="1">
        <v>0.03</v>
      </c>
      <c r="F63" s="1">
        <v>10</v>
      </c>
      <c r="G63" s="1">
        <v>4</v>
      </c>
      <c r="H63" s="1">
        <v>83</v>
      </c>
      <c r="I63" s="1">
        <v>95</v>
      </c>
      <c r="J63" s="1">
        <v>90</v>
      </c>
      <c r="K63" s="1">
        <v>41</v>
      </c>
      <c r="L63" s="1">
        <v>85</v>
      </c>
      <c r="M63" s="1">
        <v>86</v>
      </c>
      <c r="N63" s="1">
        <v>41</v>
      </c>
      <c r="O63" s="1">
        <v>1</v>
      </c>
      <c r="P63" s="1">
        <v>82</v>
      </c>
      <c r="Q63" s="1"/>
    </row>
    <row r="64" spans="1:17" ht="15.75" customHeight="1">
      <c r="A64" s="1">
        <v>2015</v>
      </c>
      <c r="B64" s="1">
        <v>66</v>
      </c>
      <c r="C64" s="1" t="s">
        <v>121</v>
      </c>
      <c r="D64" s="1">
        <v>5.6479999999999997</v>
      </c>
      <c r="E64" s="1">
        <v>0.17100000000000001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>
      <c r="A65" s="1">
        <v>2015</v>
      </c>
      <c r="B65" s="1">
        <v>67</v>
      </c>
      <c r="C65" s="1" t="s">
        <v>122</v>
      </c>
      <c r="D65" s="1">
        <v>5.6150000000000002</v>
      </c>
      <c r="E65" s="1">
        <v>0.27500000000000002</v>
      </c>
      <c r="F65" s="1">
        <v>128</v>
      </c>
      <c r="G65" s="1">
        <v>50</v>
      </c>
      <c r="H65" s="1">
        <v>86</v>
      </c>
      <c r="I65" s="1">
        <v>86</v>
      </c>
      <c r="J65" s="1">
        <v>70</v>
      </c>
      <c r="K65" s="1">
        <v>78</v>
      </c>
      <c r="L65" s="1">
        <v>75</v>
      </c>
      <c r="M65" s="1">
        <v>123</v>
      </c>
      <c r="N65" s="1">
        <v>78</v>
      </c>
      <c r="O65" s="1">
        <v>76</v>
      </c>
      <c r="P65" s="1">
        <v>2</v>
      </c>
      <c r="Q65" s="1"/>
    </row>
    <row r="66" spans="1:17" ht="15.75" customHeight="1">
      <c r="A66" s="1">
        <v>2015</v>
      </c>
      <c r="B66" s="1">
        <v>68</v>
      </c>
      <c r="C66" s="1" t="s">
        <v>123</v>
      </c>
      <c r="D66" s="1">
        <v>5.56</v>
      </c>
      <c r="E66" s="1">
        <v>0.51400000000000001</v>
      </c>
      <c r="F66" s="1">
        <v>25</v>
      </c>
      <c r="G66" s="1">
        <v>46</v>
      </c>
      <c r="H66" s="1">
        <v>44</v>
      </c>
      <c r="I66" s="1">
        <v>65</v>
      </c>
      <c r="J66" s="1">
        <v>104</v>
      </c>
      <c r="K66" s="1">
        <v>64</v>
      </c>
      <c r="L66" s="1">
        <v>65</v>
      </c>
      <c r="M66" s="1">
        <v>109</v>
      </c>
      <c r="N66" s="1">
        <v>46</v>
      </c>
      <c r="O66" s="1">
        <v>64</v>
      </c>
      <c r="P66" s="1">
        <v>121</v>
      </c>
      <c r="Q66" s="1">
        <v>132</v>
      </c>
    </row>
    <row r="67" spans="1:17" ht="15.75" customHeight="1">
      <c r="A67" s="1">
        <v>2015</v>
      </c>
      <c r="B67" s="1">
        <v>69</v>
      </c>
      <c r="C67" s="1" t="s">
        <v>124</v>
      </c>
      <c r="D67" s="1">
        <v>5.5460000000000003</v>
      </c>
      <c r="E67" s="1" t="s">
        <v>125</v>
      </c>
      <c r="F67" s="1">
        <v>112</v>
      </c>
      <c r="G67" s="1">
        <v>90</v>
      </c>
      <c r="H67" s="1">
        <v>34</v>
      </c>
      <c r="I67" s="1">
        <v>11</v>
      </c>
      <c r="J67" s="1">
        <v>111</v>
      </c>
      <c r="K67" s="1">
        <v>30</v>
      </c>
      <c r="L67" s="1">
        <v>113</v>
      </c>
      <c r="M67" s="1">
        <v>70</v>
      </c>
      <c r="N67" s="1">
        <v>131</v>
      </c>
      <c r="O67" s="1">
        <v>30</v>
      </c>
      <c r="P67" s="1">
        <v>47</v>
      </c>
      <c r="Q67" s="1">
        <v>68</v>
      </c>
    </row>
    <row r="68" spans="1:17" ht="15.75" customHeight="1">
      <c r="A68" s="1">
        <v>2015</v>
      </c>
      <c r="B68" s="1">
        <v>70</v>
      </c>
      <c r="C68" s="1" t="s">
        <v>126</v>
      </c>
      <c r="D68" s="1">
        <v>5.5380000000000003</v>
      </c>
      <c r="E68" s="1" t="s">
        <v>127</v>
      </c>
      <c r="F68" s="1">
        <v>72</v>
      </c>
      <c r="G68" s="1">
        <v>27</v>
      </c>
      <c r="H68" s="1">
        <v>73</v>
      </c>
      <c r="I68" s="1">
        <v>69</v>
      </c>
      <c r="J68" s="1">
        <v>54</v>
      </c>
      <c r="K68" s="1">
        <v>62</v>
      </c>
      <c r="L68" s="1">
        <v>100</v>
      </c>
      <c r="M68" s="1">
        <v>3</v>
      </c>
      <c r="N68" s="1">
        <v>40</v>
      </c>
      <c r="O68" s="1">
        <v>62</v>
      </c>
      <c r="P68" s="1">
        <v>70</v>
      </c>
      <c r="Q68" s="1">
        <v>134</v>
      </c>
    </row>
    <row r="69" spans="1:17" ht="15.75" customHeight="1">
      <c r="A69" s="1">
        <v>2015</v>
      </c>
      <c r="B69" s="1">
        <v>71</v>
      </c>
      <c r="C69" s="1" t="s">
        <v>128</v>
      </c>
      <c r="D69" s="1">
        <v>5.5279999999999996</v>
      </c>
      <c r="E69" s="1">
        <v>0.495</v>
      </c>
      <c r="F69" s="1">
        <v>77</v>
      </c>
      <c r="G69" s="1">
        <v>86</v>
      </c>
      <c r="H69" s="1">
        <v>47</v>
      </c>
      <c r="I69" s="1">
        <v>61</v>
      </c>
      <c r="J69" s="1">
        <v>62</v>
      </c>
      <c r="K69" s="1">
        <v>93</v>
      </c>
      <c r="L69" s="1">
        <v>132</v>
      </c>
      <c r="M69" s="1">
        <v>90</v>
      </c>
      <c r="N69" s="1">
        <v>94</v>
      </c>
      <c r="O69" s="1">
        <v>93</v>
      </c>
      <c r="P69" s="1">
        <v>132</v>
      </c>
      <c r="Q69" s="1">
        <v>47</v>
      </c>
    </row>
    <row r="70" spans="1:17" ht="15.75" customHeight="1">
      <c r="A70" s="1">
        <v>2015</v>
      </c>
      <c r="B70" s="1">
        <v>72</v>
      </c>
      <c r="C70" s="1" t="s">
        <v>129</v>
      </c>
      <c r="D70" s="1">
        <v>5.5170000000000003</v>
      </c>
      <c r="E70" s="1">
        <v>9.0999999999999998E-2</v>
      </c>
      <c r="F70" s="1">
        <v>48</v>
      </c>
      <c r="G70" s="1">
        <v>26</v>
      </c>
      <c r="H70" s="1">
        <v>35</v>
      </c>
      <c r="I70" s="1">
        <v>40</v>
      </c>
      <c r="J70" s="1">
        <v>48</v>
      </c>
      <c r="K70" s="1">
        <v>96</v>
      </c>
      <c r="L70" s="1">
        <v>22</v>
      </c>
      <c r="M70" s="1">
        <v>78</v>
      </c>
      <c r="N70" s="1">
        <v>18</v>
      </c>
      <c r="O70" s="1">
        <v>96</v>
      </c>
      <c r="P70" s="1">
        <v>107</v>
      </c>
      <c r="Q70" s="1">
        <v>123</v>
      </c>
    </row>
    <row r="71" spans="1:17" ht="15.75" customHeight="1">
      <c r="A71" s="1">
        <v>2015</v>
      </c>
      <c r="B71" s="1">
        <v>73</v>
      </c>
      <c r="C71" s="1" t="s">
        <v>130</v>
      </c>
      <c r="D71" s="1">
        <v>5.51</v>
      </c>
      <c r="E71" s="1">
        <v>0.13600000000000001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>
      <c r="A72" s="1">
        <v>2015</v>
      </c>
      <c r="B72" s="1">
        <v>74</v>
      </c>
      <c r="C72" s="1" t="s">
        <v>131</v>
      </c>
      <c r="D72" s="1">
        <v>5.4880000000000004</v>
      </c>
      <c r="E72" s="1" t="s">
        <v>41</v>
      </c>
      <c r="F72" s="1">
        <v>33</v>
      </c>
      <c r="G72" s="1">
        <v>91</v>
      </c>
      <c r="H72" s="1">
        <v>46</v>
      </c>
      <c r="I72" s="1">
        <v>37</v>
      </c>
      <c r="J72" s="1">
        <v>92</v>
      </c>
      <c r="K72" s="1">
        <v>74</v>
      </c>
      <c r="L72" s="1">
        <v>87</v>
      </c>
      <c r="M72" s="1">
        <v>106</v>
      </c>
      <c r="N72" s="1">
        <v>81</v>
      </c>
      <c r="O72" s="1">
        <v>74</v>
      </c>
      <c r="P72" s="1">
        <v>125</v>
      </c>
      <c r="Q72" s="1">
        <v>136</v>
      </c>
    </row>
    <row r="73" spans="1:17" ht="15.75" customHeight="1">
      <c r="A73" s="1">
        <v>2015</v>
      </c>
      <c r="B73" s="1">
        <v>75</v>
      </c>
      <c r="C73" s="1" t="s">
        <v>132</v>
      </c>
      <c r="D73" s="1">
        <v>5.4580000000000002</v>
      </c>
      <c r="E73" s="1" t="s">
        <v>133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>
      <c r="A74" s="1">
        <v>2015</v>
      </c>
      <c r="B74" s="1">
        <v>76</v>
      </c>
      <c r="C74" s="1" t="s">
        <v>134</v>
      </c>
      <c r="D74" s="1">
        <v>5.44</v>
      </c>
      <c r="E74" s="1">
        <v>95</v>
      </c>
      <c r="F74" s="1">
        <v>130</v>
      </c>
      <c r="G74" s="1">
        <v>140</v>
      </c>
      <c r="H74" s="1">
        <v>2</v>
      </c>
      <c r="I74" s="1">
        <v>137</v>
      </c>
      <c r="J74" s="1">
        <v>117</v>
      </c>
      <c r="K74" s="1">
        <v>12</v>
      </c>
      <c r="L74" s="1">
        <v>27</v>
      </c>
      <c r="M74" s="1">
        <v>20</v>
      </c>
      <c r="N74" s="1">
        <v>117</v>
      </c>
      <c r="O74" s="1">
        <v>66</v>
      </c>
      <c r="P74" s="1">
        <v>3</v>
      </c>
      <c r="Q74" s="1"/>
    </row>
    <row r="75" spans="1:17" ht="15.75" customHeight="1">
      <c r="A75" s="1">
        <v>2015</v>
      </c>
      <c r="B75" s="1">
        <v>77</v>
      </c>
      <c r="C75" s="1" t="s">
        <v>135</v>
      </c>
      <c r="D75" s="1">
        <v>5.4009999999999998</v>
      </c>
      <c r="E75" s="1">
        <v>0.17899999999999999</v>
      </c>
      <c r="F75" s="1">
        <v>98</v>
      </c>
      <c r="G75" s="1">
        <v>81</v>
      </c>
      <c r="H75" s="1">
        <v>90</v>
      </c>
      <c r="I75" s="1"/>
      <c r="J75" s="1">
        <v>124</v>
      </c>
      <c r="K75" s="1">
        <v>34</v>
      </c>
      <c r="L75" s="1">
        <v>89</v>
      </c>
      <c r="M75" s="1">
        <v>59</v>
      </c>
      <c r="N75" s="1">
        <v>34</v>
      </c>
      <c r="O75" s="1">
        <v>111</v>
      </c>
      <c r="P75" s="1">
        <v>64</v>
      </c>
      <c r="Q75" s="1"/>
    </row>
    <row r="76" spans="1:17" ht="15.75" customHeight="1">
      <c r="A76" s="1">
        <v>2015</v>
      </c>
      <c r="B76" s="1">
        <v>78</v>
      </c>
      <c r="C76" s="1" t="s">
        <v>136</v>
      </c>
      <c r="D76" s="1">
        <v>5.3890000000000002</v>
      </c>
      <c r="E76" s="1">
        <v>4.3999999999999997E-2</v>
      </c>
      <c r="F76" s="1">
        <v>120</v>
      </c>
      <c r="G76" s="1">
        <v>61</v>
      </c>
      <c r="H76" s="1">
        <v>52</v>
      </c>
      <c r="I76" s="1">
        <v>52</v>
      </c>
      <c r="J76" s="1">
        <v>105</v>
      </c>
      <c r="K76" s="1">
        <v>49</v>
      </c>
      <c r="L76" s="1">
        <v>64</v>
      </c>
      <c r="M76" s="1">
        <v>140</v>
      </c>
      <c r="N76" s="1">
        <v>130</v>
      </c>
      <c r="O76" s="1">
        <v>49</v>
      </c>
      <c r="P76" s="1">
        <v>124</v>
      </c>
      <c r="Q76" s="1">
        <v>11</v>
      </c>
    </row>
    <row r="77" spans="1:17" ht="15.75" customHeight="1">
      <c r="A77" s="1">
        <v>2015</v>
      </c>
      <c r="B77" s="1">
        <v>79</v>
      </c>
      <c r="C77" s="1" t="s">
        <v>137</v>
      </c>
      <c r="D77" s="1">
        <v>5.3140000000000001</v>
      </c>
      <c r="E77" s="1" t="s">
        <v>48</v>
      </c>
      <c r="F77" s="1">
        <v>68</v>
      </c>
      <c r="G77" s="1">
        <v>80</v>
      </c>
      <c r="H77" s="1">
        <v>88</v>
      </c>
      <c r="I77" s="1">
        <v>88</v>
      </c>
      <c r="J77" s="1">
        <v>68</v>
      </c>
      <c r="K77" s="1">
        <v>2</v>
      </c>
      <c r="L77" s="1">
        <v>129</v>
      </c>
      <c r="M77" s="1">
        <v>15</v>
      </c>
      <c r="N77" s="1">
        <v>71</v>
      </c>
      <c r="O77" s="1">
        <v>2</v>
      </c>
      <c r="P77" s="1">
        <v>3</v>
      </c>
      <c r="Q77" s="1">
        <v>105</v>
      </c>
    </row>
    <row r="78" spans="1:17" ht="15.75" customHeight="1">
      <c r="A78" s="1">
        <v>2015</v>
      </c>
      <c r="B78" s="1">
        <v>80</v>
      </c>
      <c r="C78" s="1" t="s">
        <v>138</v>
      </c>
      <c r="D78" s="1">
        <v>5.3029999999999999</v>
      </c>
      <c r="E78" s="1" t="s">
        <v>139</v>
      </c>
      <c r="F78" s="1">
        <v>116</v>
      </c>
      <c r="G78" s="1">
        <v>67</v>
      </c>
      <c r="H78" s="1">
        <v>92</v>
      </c>
      <c r="I78" s="1">
        <v>38</v>
      </c>
      <c r="J78" s="1">
        <v>73</v>
      </c>
      <c r="K78" s="1">
        <v>80</v>
      </c>
      <c r="L78" s="1">
        <v>94</v>
      </c>
      <c r="M78" s="1">
        <v>90</v>
      </c>
      <c r="N78" s="1">
        <v>80</v>
      </c>
      <c r="O78" s="1">
        <v>119</v>
      </c>
      <c r="P78" s="1">
        <v>23</v>
      </c>
      <c r="Q78" s="1"/>
    </row>
    <row r="79" spans="1:17" ht="15.75" customHeight="1">
      <c r="A79" s="1">
        <v>2015</v>
      </c>
      <c r="B79" s="1">
        <v>81</v>
      </c>
      <c r="C79" s="1" t="s">
        <v>140</v>
      </c>
      <c r="D79" s="1">
        <v>5.2910000000000004</v>
      </c>
      <c r="E79" s="1">
        <v>0.68700000000000006</v>
      </c>
      <c r="F79" s="1">
        <v>23</v>
      </c>
      <c r="G79" s="1">
        <v>87</v>
      </c>
      <c r="H79" s="1">
        <v>58</v>
      </c>
      <c r="I79" s="1">
        <v>68</v>
      </c>
      <c r="J79" s="1">
        <v>74</v>
      </c>
      <c r="K79" s="1">
        <v>122</v>
      </c>
      <c r="L79" s="1">
        <v>23</v>
      </c>
      <c r="M79" s="1">
        <v>129</v>
      </c>
      <c r="N79" s="1">
        <v>30</v>
      </c>
      <c r="O79" s="1">
        <v>122</v>
      </c>
      <c r="P79" s="1">
        <v>87</v>
      </c>
      <c r="Q79" s="1">
        <v>131</v>
      </c>
    </row>
    <row r="80" spans="1:17" ht="15.75" customHeight="1">
      <c r="A80" s="1">
        <v>2015</v>
      </c>
      <c r="B80" s="1">
        <v>82</v>
      </c>
      <c r="C80" s="1" t="s">
        <v>141</v>
      </c>
      <c r="D80" s="1">
        <v>5.2789999999999999</v>
      </c>
      <c r="E80" s="1">
        <v>0.29399999999999998</v>
      </c>
      <c r="F80" s="1">
        <v>129</v>
      </c>
      <c r="G80" s="1">
        <v>59</v>
      </c>
      <c r="H80" s="1">
        <v>97</v>
      </c>
      <c r="I80" s="1">
        <v>93</v>
      </c>
      <c r="J80" s="1">
        <v>17</v>
      </c>
      <c r="K80" s="1">
        <v>89</v>
      </c>
      <c r="L80" s="1">
        <v>50</v>
      </c>
      <c r="M80" s="1">
        <v>13</v>
      </c>
      <c r="N80" s="1">
        <v>117</v>
      </c>
      <c r="O80" s="1">
        <v>89</v>
      </c>
      <c r="P80" s="1">
        <v>7</v>
      </c>
      <c r="Q80" s="1">
        <v>53</v>
      </c>
    </row>
    <row r="81" spans="1:17" ht="15.75" customHeight="1">
      <c r="A81" s="1">
        <v>2015</v>
      </c>
      <c r="B81" s="1">
        <v>83</v>
      </c>
      <c r="C81" s="1" t="s">
        <v>142</v>
      </c>
      <c r="D81" s="1">
        <v>5.2450000000000001</v>
      </c>
      <c r="E81" s="1">
        <v>0.26700000000000002</v>
      </c>
      <c r="F81" s="1">
        <v>69</v>
      </c>
      <c r="G81" s="1">
        <v>83</v>
      </c>
      <c r="H81" s="1">
        <v>70</v>
      </c>
      <c r="I81" s="1">
        <v>34</v>
      </c>
      <c r="J81" s="1">
        <v>139</v>
      </c>
      <c r="K81" s="1">
        <v>68</v>
      </c>
      <c r="L81" s="1">
        <v>9</v>
      </c>
      <c r="M81" s="1">
        <v>139</v>
      </c>
      <c r="N81" s="1">
        <v>139</v>
      </c>
      <c r="O81" s="1">
        <v>141</v>
      </c>
      <c r="P81" s="1"/>
      <c r="Q81" s="1"/>
    </row>
    <row r="82" spans="1:17" ht="15.75" customHeight="1">
      <c r="A82" s="1">
        <v>2015</v>
      </c>
      <c r="B82" s="1">
        <v>84</v>
      </c>
      <c r="C82" s="1" t="s">
        <v>143</v>
      </c>
      <c r="D82" s="1">
        <v>5.1959999999999997</v>
      </c>
      <c r="E82" s="1">
        <v>2</v>
      </c>
      <c r="F82" s="1">
        <v>63</v>
      </c>
      <c r="G82" s="1">
        <v>85</v>
      </c>
      <c r="H82" s="1">
        <v>43</v>
      </c>
      <c r="I82" s="1">
        <v>78</v>
      </c>
      <c r="J82" s="1">
        <v>22</v>
      </c>
      <c r="K82" s="1">
        <v>26</v>
      </c>
      <c r="L82" s="1">
        <v>45</v>
      </c>
      <c r="M82" s="1">
        <v>95</v>
      </c>
      <c r="N82" s="1">
        <v>22</v>
      </c>
      <c r="O82" s="1">
        <v>13</v>
      </c>
      <c r="P82" s="1">
        <v>74</v>
      </c>
      <c r="Q82" s="1"/>
    </row>
    <row r="83" spans="1:17" ht="15.75" customHeight="1">
      <c r="A83" s="1">
        <v>2015</v>
      </c>
      <c r="B83" s="1">
        <v>85</v>
      </c>
      <c r="C83" s="1" t="s">
        <v>144</v>
      </c>
      <c r="D83" s="1">
        <v>5.1849999999999996</v>
      </c>
      <c r="E83" s="1">
        <v>0.14299999999999999</v>
      </c>
      <c r="F83" s="1">
        <v>40</v>
      </c>
      <c r="G83" s="1">
        <v>57</v>
      </c>
      <c r="H83" s="1">
        <v>106</v>
      </c>
      <c r="I83" s="1">
        <v>81</v>
      </c>
      <c r="J83" s="1">
        <v>50</v>
      </c>
      <c r="K83" s="1">
        <v>37</v>
      </c>
      <c r="L83" s="1">
        <v>94</v>
      </c>
      <c r="M83" s="1">
        <v>72</v>
      </c>
      <c r="N83" s="1">
        <v>11</v>
      </c>
      <c r="O83" s="1">
        <v>37</v>
      </c>
      <c r="P83" s="1">
        <v>33</v>
      </c>
      <c r="Q83" s="1">
        <v>55</v>
      </c>
    </row>
    <row r="84" spans="1:17" ht="15.75" customHeight="1">
      <c r="A84" s="1">
        <v>2015</v>
      </c>
      <c r="B84" s="1">
        <v>86</v>
      </c>
      <c r="C84" s="1" t="s">
        <v>145</v>
      </c>
      <c r="D84" s="1">
        <v>5.1769999999999996</v>
      </c>
      <c r="E84" s="1">
        <v>0.36399999999999999</v>
      </c>
      <c r="F84" s="1">
        <v>78</v>
      </c>
      <c r="G84" s="1">
        <v>77</v>
      </c>
      <c r="H84" s="1">
        <v>63</v>
      </c>
      <c r="I84" s="1">
        <v>58</v>
      </c>
      <c r="J84" s="1">
        <v>128</v>
      </c>
      <c r="K84" s="1">
        <v>73</v>
      </c>
      <c r="L84" s="1">
        <v>95</v>
      </c>
      <c r="M84" s="1">
        <v>135</v>
      </c>
      <c r="N84" s="1">
        <v>88</v>
      </c>
      <c r="O84" s="1">
        <v>73</v>
      </c>
      <c r="P84" s="1">
        <v>138</v>
      </c>
      <c r="Q84" s="1">
        <v>137</v>
      </c>
    </row>
    <row r="85" spans="1:17" ht="15.75" customHeight="1">
      <c r="A85" s="1">
        <v>2015</v>
      </c>
      <c r="B85" s="1">
        <v>87</v>
      </c>
      <c r="C85" s="1" t="s">
        <v>146</v>
      </c>
      <c r="D85" s="1">
        <v>5.1630000000000003</v>
      </c>
      <c r="E85" s="1">
        <v>0.35</v>
      </c>
      <c r="F85" s="1">
        <v>113</v>
      </c>
      <c r="G85" s="1">
        <v>118</v>
      </c>
      <c r="H85" s="1">
        <v>74</v>
      </c>
      <c r="I85" s="1">
        <v>48</v>
      </c>
      <c r="J85" s="1">
        <v>110</v>
      </c>
      <c r="K85" s="1">
        <v>77</v>
      </c>
      <c r="L85" s="1">
        <v>131</v>
      </c>
      <c r="M85" s="1">
        <v>133</v>
      </c>
      <c r="N85" s="1">
        <v>77</v>
      </c>
      <c r="O85" s="1">
        <v>77</v>
      </c>
      <c r="P85" s="1">
        <v>140</v>
      </c>
      <c r="Q85" s="1">
        <v>124</v>
      </c>
    </row>
    <row r="86" spans="1:17" ht="15.75" customHeight="1">
      <c r="A86" s="1">
        <v>2015</v>
      </c>
      <c r="B86" s="1">
        <v>88</v>
      </c>
      <c r="C86" s="1" t="s">
        <v>147</v>
      </c>
      <c r="D86" s="1">
        <v>5.1609999999999996</v>
      </c>
      <c r="E86" s="1" t="s">
        <v>148</v>
      </c>
      <c r="F86" s="1">
        <v>123</v>
      </c>
      <c r="G86" s="1">
        <v>103</v>
      </c>
      <c r="H86" s="1">
        <v>57</v>
      </c>
      <c r="I86" s="1">
        <v>42</v>
      </c>
      <c r="J86" s="1">
        <v>121</v>
      </c>
      <c r="K86" s="1">
        <v>102</v>
      </c>
      <c r="L86" s="1">
        <v>60</v>
      </c>
      <c r="M86" s="1">
        <v>124</v>
      </c>
      <c r="N86" s="1">
        <v>109</v>
      </c>
      <c r="O86" s="1">
        <v>102</v>
      </c>
      <c r="P86" s="1">
        <v>130</v>
      </c>
      <c r="Q86" s="1">
        <v>125</v>
      </c>
    </row>
    <row r="87" spans="1:17" ht="15.75" customHeight="1">
      <c r="A87" s="1">
        <v>2015</v>
      </c>
      <c r="B87" s="1">
        <v>89</v>
      </c>
      <c r="C87" s="1" t="s">
        <v>149</v>
      </c>
      <c r="D87" s="1">
        <v>5.1550000000000002</v>
      </c>
      <c r="E87" s="1">
        <v>0.192</v>
      </c>
      <c r="F87" s="1">
        <v>134</v>
      </c>
      <c r="G87" s="1">
        <v>39</v>
      </c>
      <c r="H87" s="1">
        <v>64</v>
      </c>
      <c r="I87" s="1">
        <v>77</v>
      </c>
      <c r="J87" s="1">
        <v>34</v>
      </c>
      <c r="K87" s="1">
        <v>76</v>
      </c>
      <c r="L87" s="1">
        <v>51</v>
      </c>
      <c r="M87" s="1">
        <v>55</v>
      </c>
      <c r="N87" s="1">
        <v>82</v>
      </c>
      <c r="O87" s="1">
        <v>76</v>
      </c>
      <c r="P87" s="1">
        <v>15</v>
      </c>
      <c r="Q87" s="1">
        <v>24</v>
      </c>
    </row>
    <row r="88" spans="1:17" ht="15.75" customHeight="1">
      <c r="A88" s="1">
        <v>2015</v>
      </c>
      <c r="B88" s="1">
        <v>90</v>
      </c>
      <c r="C88" s="1" t="s">
        <v>150</v>
      </c>
      <c r="D88" s="1">
        <v>5.1509999999999998</v>
      </c>
      <c r="E88" s="1">
        <v>0.26600000000000001</v>
      </c>
      <c r="F88" s="1">
        <v>64</v>
      </c>
      <c r="G88" s="1">
        <v>128</v>
      </c>
      <c r="H88" s="1">
        <v>96</v>
      </c>
      <c r="I88" s="1">
        <v>80</v>
      </c>
      <c r="J88" s="1">
        <v>87</v>
      </c>
      <c r="K88" s="1">
        <v>141</v>
      </c>
      <c r="L88" s="1">
        <v>84</v>
      </c>
      <c r="M88" s="1">
        <v>102</v>
      </c>
      <c r="N88" s="1">
        <v>65</v>
      </c>
      <c r="O88" s="1">
        <v>141</v>
      </c>
      <c r="P88" s="1">
        <v>134</v>
      </c>
      <c r="Q88" s="1">
        <v>61</v>
      </c>
    </row>
    <row r="89" spans="1:17" ht="15.75" customHeight="1">
      <c r="A89" s="1">
        <v>2015</v>
      </c>
      <c r="B89" s="1">
        <v>91</v>
      </c>
      <c r="C89" s="1" t="s">
        <v>151</v>
      </c>
      <c r="D89" s="1">
        <v>5.1449999999999996</v>
      </c>
      <c r="E89" s="1">
        <v>0.37</v>
      </c>
      <c r="F89" s="1">
        <v>47</v>
      </c>
      <c r="G89" s="1">
        <v>56</v>
      </c>
      <c r="H89" s="1">
        <v>41</v>
      </c>
      <c r="I89" s="1">
        <v>60</v>
      </c>
      <c r="J89" s="1">
        <v>125</v>
      </c>
      <c r="K89" s="1">
        <v>114</v>
      </c>
      <c r="L89" s="1">
        <v>118</v>
      </c>
      <c r="M89" s="1">
        <v>77</v>
      </c>
      <c r="N89" s="1">
        <v>58</v>
      </c>
      <c r="O89" s="1">
        <v>114</v>
      </c>
      <c r="P89" s="1">
        <v>127</v>
      </c>
      <c r="Q89" s="1">
        <v>129</v>
      </c>
    </row>
    <row r="90" spans="1:17" ht="15.75" customHeight="1">
      <c r="A90" s="1">
        <v>2015</v>
      </c>
      <c r="B90" s="1">
        <v>92</v>
      </c>
      <c r="C90" s="1" t="s">
        <v>152</v>
      </c>
      <c r="D90" s="1">
        <v>5.1319999999999997</v>
      </c>
      <c r="E90" s="1" t="s">
        <v>153</v>
      </c>
      <c r="F90" s="1">
        <v>62</v>
      </c>
      <c r="G90" s="1">
        <v>135</v>
      </c>
      <c r="H90" s="1">
        <v>115</v>
      </c>
      <c r="I90" s="1">
        <v>108</v>
      </c>
      <c r="J90" s="1">
        <v>120</v>
      </c>
      <c r="K90" s="1">
        <v>55</v>
      </c>
      <c r="L90" s="1">
        <v>44</v>
      </c>
      <c r="M90" s="1">
        <v>136</v>
      </c>
      <c r="N90" s="1">
        <v>104</v>
      </c>
      <c r="O90" s="1">
        <v>55</v>
      </c>
      <c r="P90" s="1">
        <v>118</v>
      </c>
      <c r="Q90" s="1">
        <v>100</v>
      </c>
    </row>
    <row r="91" spans="1:17" ht="15.75" customHeight="1">
      <c r="A91" s="1">
        <v>2015</v>
      </c>
      <c r="B91" s="1">
        <v>93</v>
      </c>
      <c r="C91" s="1" t="s">
        <v>154</v>
      </c>
      <c r="D91" s="1">
        <v>5.1289999999999996</v>
      </c>
      <c r="E91" s="1">
        <v>0.19800000000000001</v>
      </c>
      <c r="F91" s="1">
        <v>86</v>
      </c>
      <c r="G91" s="1">
        <v>102</v>
      </c>
      <c r="H91" s="1">
        <v>68</v>
      </c>
      <c r="I91" s="1">
        <v>49</v>
      </c>
      <c r="J91" s="1">
        <v>117</v>
      </c>
      <c r="K91" s="1">
        <v>42</v>
      </c>
      <c r="L91" s="1">
        <v>111</v>
      </c>
      <c r="M91" s="1">
        <v>128</v>
      </c>
      <c r="N91" s="1">
        <v>55</v>
      </c>
      <c r="O91" s="1">
        <v>42</v>
      </c>
      <c r="P91" s="1">
        <v>122</v>
      </c>
      <c r="Q91" s="1">
        <v>109</v>
      </c>
    </row>
    <row r="92" spans="1:17" ht="15.75" customHeight="1">
      <c r="A92" s="1">
        <v>2015</v>
      </c>
      <c r="B92" s="1">
        <v>94</v>
      </c>
      <c r="C92" s="1" t="s">
        <v>155</v>
      </c>
      <c r="D92" s="1">
        <v>5.1230000000000002</v>
      </c>
      <c r="E92" s="1">
        <v>2.1999999999999999E-2</v>
      </c>
      <c r="F92" s="1">
        <v>108</v>
      </c>
      <c r="G92" s="1">
        <v>53</v>
      </c>
      <c r="H92" s="1">
        <v>36</v>
      </c>
      <c r="I92" s="1">
        <v>23</v>
      </c>
      <c r="J92" s="1">
        <v>59</v>
      </c>
      <c r="K92" s="1">
        <v>95</v>
      </c>
      <c r="L92" s="1">
        <v>125</v>
      </c>
      <c r="M92" s="1">
        <v>89</v>
      </c>
      <c r="N92" s="1">
        <v>125</v>
      </c>
      <c r="O92" s="1">
        <v>95</v>
      </c>
      <c r="P92" s="1">
        <v>89</v>
      </c>
      <c r="Q92" s="1">
        <v>79</v>
      </c>
    </row>
    <row r="93" spans="1:17" ht="15.75" customHeight="1">
      <c r="A93" s="1">
        <v>2015</v>
      </c>
      <c r="B93" s="1">
        <v>95</v>
      </c>
      <c r="C93" s="1" t="s">
        <v>156</v>
      </c>
      <c r="D93" s="1">
        <v>5.1210000000000004</v>
      </c>
      <c r="E93" s="1">
        <v>0.54700000000000004</v>
      </c>
      <c r="F93" s="1">
        <v>103</v>
      </c>
      <c r="G93" s="1">
        <v>94</v>
      </c>
      <c r="H93" s="1">
        <v>60</v>
      </c>
      <c r="I93" s="1">
        <v>59</v>
      </c>
      <c r="J93" s="1">
        <v>101</v>
      </c>
      <c r="K93" s="1">
        <v>68</v>
      </c>
      <c r="L93" s="1">
        <v>76</v>
      </c>
      <c r="M93" s="1">
        <v>117</v>
      </c>
      <c r="N93" s="1">
        <v>84</v>
      </c>
      <c r="O93" s="1">
        <v>68</v>
      </c>
      <c r="P93" s="1">
        <v>131</v>
      </c>
      <c r="Q93" s="1">
        <v>127</v>
      </c>
    </row>
    <row r="94" spans="1:17" ht="15.75" customHeight="1">
      <c r="A94" s="1">
        <v>2015</v>
      </c>
      <c r="B94" s="1">
        <v>96</v>
      </c>
      <c r="C94" s="1" t="s">
        <v>157</v>
      </c>
      <c r="D94" s="1">
        <v>5.0609999999999999</v>
      </c>
      <c r="E94" s="1" t="s">
        <v>158</v>
      </c>
      <c r="F94" s="1">
        <v>34</v>
      </c>
      <c r="G94" s="1">
        <v>62</v>
      </c>
      <c r="H94" s="1">
        <v>93</v>
      </c>
      <c r="I94" s="1">
        <v>70</v>
      </c>
      <c r="J94" s="1">
        <v>48</v>
      </c>
      <c r="K94" s="1">
        <v>104</v>
      </c>
      <c r="L94" s="1">
        <v>47</v>
      </c>
      <c r="M94" s="1">
        <v>48</v>
      </c>
      <c r="N94" s="1">
        <v>74</v>
      </c>
      <c r="O94" s="1">
        <v>56</v>
      </c>
      <c r="P94" s="1"/>
      <c r="Q94" s="1"/>
    </row>
    <row r="95" spans="1:17" ht="15.75" customHeight="1">
      <c r="A95" s="1">
        <v>2015</v>
      </c>
      <c r="B95" s="1">
        <v>98</v>
      </c>
      <c r="C95" s="1" t="s">
        <v>159</v>
      </c>
      <c r="D95" s="1">
        <v>5.0449999999999999</v>
      </c>
      <c r="E95" s="1">
        <v>0.219</v>
      </c>
      <c r="F95" s="1">
        <v>63</v>
      </c>
      <c r="G95" s="1">
        <v>127</v>
      </c>
      <c r="H95" s="1">
        <v>84</v>
      </c>
      <c r="I95" s="1">
        <v>55</v>
      </c>
      <c r="J95" s="1">
        <v>88</v>
      </c>
      <c r="K95" s="1">
        <v>138</v>
      </c>
      <c r="L95" s="1">
        <v>71</v>
      </c>
      <c r="M95" s="1">
        <v>131</v>
      </c>
      <c r="N95" s="1">
        <v>97</v>
      </c>
      <c r="O95" s="1">
        <v>138</v>
      </c>
      <c r="P95" s="1">
        <v>120</v>
      </c>
      <c r="Q95" s="1">
        <v>77</v>
      </c>
    </row>
    <row r="96" spans="1:17" ht="15.75" customHeight="1">
      <c r="A96" s="1">
        <v>2015</v>
      </c>
      <c r="B96" s="1">
        <v>99</v>
      </c>
      <c r="C96" s="1" t="s">
        <v>160</v>
      </c>
      <c r="D96" s="1">
        <v>5.0330000000000004</v>
      </c>
      <c r="E96" s="1" t="s">
        <v>161</v>
      </c>
      <c r="F96" s="1">
        <v>92</v>
      </c>
      <c r="G96" s="1">
        <v>66</v>
      </c>
      <c r="H96" s="1">
        <v>42</v>
      </c>
      <c r="I96" s="1">
        <v>24</v>
      </c>
      <c r="J96" s="1">
        <v>131</v>
      </c>
      <c r="K96" s="1">
        <v>132</v>
      </c>
      <c r="L96" s="1">
        <v>75</v>
      </c>
      <c r="M96" s="1">
        <v>83</v>
      </c>
      <c r="N96" s="1">
        <v>74</v>
      </c>
      <c r="O96" s="1">
        <v>132</v>
      </c>
      <c r="P96" s="1">
        <v>129</v>
      </c>
      <c r="Q96" s="1">
        <v>113</v>
      </c>
    </row>
    <row r="97" spans="1:17" ht="15.75" customHeight="1">
      <c r="A97" s="1">
        <v>2015</v>
      </c>
      <c r="B97" s="1">
        <v>100</v>
      </c>
      <c r="C97" s="1" t="s">
        <v>162</v>
      </c>
      <c r="D97" s="1">
        <v>4.9960000000000004</v>
      </c>
      <c r="E97" s="1">
        <v>0.61599999999999999</v>
      </c>
      <c r="F97" s="1">
        <v>57</v>
      </c>
      <c r="G97" s="1">
        <v>64</v>
      </c>
      <c r="H97" s="1">
        <v>122</v>
      </c>
      <c r="I97" s="1">
        <v>76</v>
      </c>
      <c r="J97" s="1">
        <v>40</v>
      </c>
      <c r="K97" s="1">
        <v>88</v>
      </c>
      <c r="L97" s="1">
        <v>48</v>
      </c>
      <c r="M97" s="1">
        <v>86</v>
      </c>
      <c r="N97" s="1">
        <v>26</v>
      </c>
      <c r="O97" s="1">
        <v>88</v>
      </c>
      <c r="P97" s="1">
        <v>73</v>
      </c>
      <c r="Q97" s="1">
        <v>83</v>
      </c>
    </row>
    <row r="98" spans="1:17" ht="15.75" customHeight="1">
      <c r="A98" s="1">
        <v>2015</v>
      </c>
      <c r="B98" s="1">
        <v>101</v>
      </c>
      <c r="C98" s="1" t="s">
        <v>163</v>
      </c>
      <c r="D98" s="1">
        <v>4.907</v>
      </c>
      <c r="E98" s="1">
        <v>7.2999999999999995E-2</v>
      </c>
      <c r="F98" s="1">
        <v>39</v>
      </c>
      <c r="G98" s="1">
        <v>34</v>
      </c>
      <c r="H98" s="1">
        <v>75</v>
      </c>
      <c r="I98" s="1">
        <v>97</v>
      </c>
      <c r="J98" s="1">
        <v>93</v>
      </c>
      <c r="K98" s="1">
        <v>33</v>
      </c>
      <c r="L98" s="1">
        <v>114</v>
      </c>
      <c r="M98" s="1">
        <v>125</v>
      </c>
      <c r="N98" s="1">
        <v>32</v>
      </c>
      <c r="O98" s="1">
        <v>33</v>
      </c>
      <c r="P98" s="1">
        <v>12</v>
      </c>
      <c r="Q98" s="1">
        <v>93</v>
      </c>
    </row>
    <row r="99" spans="1:17" ht="15.75" customHeight="1">
      <c r="A99" s="1">
        <v>2015</v>
      </c>
      <c r="B99" s="1">
        <v>102</v>
      </c>
      <c r="C99" s="1" t="s">
        <v>164</v>
      </c>
      <c r="D99" s="1">
        <v>4.8760000000000003</v>
      </c>
      <c r="E99" s="1">
        <v>8.8999999999999996E-2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>
      <c r="A100" s="1">
        <v>2015</v>
      </c>
      <c r="B100" s="1">
        <v>103</v>
      </c>
      <c r="C100" s="1" t="s">
        <v>165</v>
      </c>
      <c r="D100" s="1">
        <v>4.875</v>
      </c>
      <c r="E100" s="1" t="s">
        <v>166</v>
      </c>
      <c r="F100" s="1">
        <v>97</v>
      </c>
      <c r="G100" s="1">
        <v>79</v>
      </c>
      <c r="H100" s="1">
        <v>102</v>
      </c>
      <c r="I100" s="1">
        <v>121</v>
      </c>
      <c r="J100" s="1">
        <v>95</v>
      </c>
      <c r="K100" s="1">
        <v>92</v>
      </c>
      <c r="L100" s="1">
        <v>123</v>
      </c>
      <c r="M100" s="1">
        <v>49</v>
      </c>
      <c r="N100" s="1">
        <v>59</v>
      </c>
      <c r="O100" s="1">
        <v>92</v>
      </c>
      <c r="P100" s="1">
        <v>48</v>
      </c>
      <c r="Q100" s="1">
        <v>17</v>
      </c>
    </row>
    <row r="101" spans="1:17" ht="15.75" customHeight="1">
      <c r="A101" s="1">
        <v>2015</v>
      </c>
      <c r="B101" s="1">
        <v>104</v>
      </c>
      <c r="C101" s="1" t="s">
        <v>167</v>
      </c>
      <c r="D101" s="1">
        <v>4.8710000000000004</v>
      </c>
      <c r="E101" s="1" t="s">
        <v>168</v>
      </c>
      <c r="F101" s="1">
        <v>139</v>
      </c>
      <c r="G101" s="1">
        <v>89</v>
      </c>
      <c r="H101" s="1">
        <v>104</v>
      </c>
      <c r="I101" s="1">
        <v>98</v>
      </c>
      <c r="J101" s="1">
        <v>130</v>
      </c>
      <c r="K101" s="1">
        <v>118</v>
      </c>
      <c r="L101" s="1">
        <v>86</v>
      </c>
      <c r="M101" s="1">
        <v>4</v>
      </c>
      <c r="N101" s="1">
        <v>93</v>
      </c>
      <c r="O101" s="1">
        <v>118</v>
      </c>
      <c r="P101" s="1">
        <v>9</v>
      </c>
      <c r="Q101" s="1">
        <v>103</v>
      </c>
    </row>
    <row r="102" spans="1:17" ht="15.75" customHeight="1">
      <c r="A102" s="1">
        <v>2015</v>
      </c>
      <c r="B102" s="1">
        <v>105</v>
      </c>
      <c r="C102" s="1" t="s">
        <v>169</v>
      </c>
      <c r="D102" s="1">
        <v>4.8129999999999997</v>
      </c>
      <c r="E102" s="1">
        <v>0.17</v>
      </c>
      <c r="F102" s="1">
        <v>119</v>
      </c>
      <c r="G102" s="1">
        <v>133</v>
      </c>
      <c r="H102" s="1">
        <v>76</v>
      </c>
      <c r="I102" s="1">
        <v>57</v>
      </c>
      <c r="J102" s="1">
        <v>67</v>
      </c>
      <c r="K102" s="1">
        <v>31</v>
      </c>
      <c r="L102" s="1">
        <v>38</v>
      </c>
      <c r="M102" s="1">
        <v>118</v>
      </c>
      <c r="N102" s="1">
        <v>139</v>
      </c>
      <c r="O102" s="1">
        <v>31</v>
      </c>
      <c r="P102" s="1">
        <v>65</v>
      </c>
      <c r="Q102" s="1">
        <v>67</v>
      </c>
    </row>
    <row r="103" spans="1:17" ht="15.75" customHeight="1">
      <c r="A103" s="1">
        <v>2015</v>
      </c>
      <c r="B103" s="1">
        <v>106</v>
      </c>
      <c r="C103" s="1" t="s">
        <v>170</v>
      </c>
      <c r="D103" s="1">
        <v>4.7949999999999999</v>
      </c>
      <c r="E103" s="1" t="s">
        <v>171</v>
      </c>
      <c r="F103" s="1">
        <v>140</v>
      </c>
      <c r="G103" s="1">
        <v>112</v>
      </c>
      <c r="H103" s="1">
        <v>118</v>
      </c>
      <c r="I103" s="1">
        <v>123</v>
      </c>
      <c r="J103" s="1">
        <v>77</v>
      </c>
      <c r="K103" s="1">
        <v>113</v>
      </c>
      <c r="L103" s="1">
        <v>104</v>
      </c>
      <c r="M103" s="1">
        <v>84</v>
      </c>
      <c r="N103" s="1">
        <v>129</v>
      </c>
      <c r="O103" s="1">
        <v>113</v>
      </c>
      <c r="P103" s="1">
        <v>51</v>
      </c>
      <c r="Q103" s="1">
        <v>19</v>
      </c>
    </row>
    <row r="104" spans="1:17" ht="15.75" customHeight="1">
      <c r="A104" s="1">
        <v>2015</v>
      </c>
      <c r="B104" s="1">
        <v>107</v>
      </c>
      <c r="C104" s="1" t="s">
        <v>172</v>
      </c>
      <c r="D104" s="1">
        <v>4.7930000000000001</v>
      </c>
      <c r="E104" s="1">
        <v>0.63700000000000001</v>
      </c>
      <c r="F104" s="1">
        <v>125</v>
      </c>
      <c r="G104" s="1">
        <v>100</v>
      </c>
      <c r="H104" s="1">
        <v>116</v>
      </c>
      <c r="I104" s="1">
        <v>100</v>
      </c>
      <c r="J104" s="1">
        <v>75</v>
      </c>
      <c r="K104" s="1">
        <v>38</v>
      </c>
      <c r="L104" s="1">
        <v>74</v>
      </c>
      <c r="M104" s="1">
        <v>139</v>
      </c>
      <c r="N104" s="1">
        <v>120</v>
      </c>
      <c r="O104" s="1">
        <v>38</v>
      </c>
      <c r="P104" s="1">
        <v>16</v>
      </c>
      <c r="Q104" s="1">
        <v>95</v>
      </c>
    </row>
    <row r="105" spans="1:17" ht="15.75" customHeight="1">
      <c r="A105" s="1">
        <v>2015</v>
      </c>
      <c r="B105" s="1">
        <v>108</v>
      </c>
      <c r="C105" s="1" t="s">
        <v>173</v>
      </c>
      <c r="D105" s="1">
        <v>4.7539999999999996</v>
      </c>
      <c r="E105" s="1">
        <v>5.3999999999999999E-2</v>
      </c>
      <c r="F105" s="1">
        <v>109</v>
      </c>
      <c r="G105" s="1">
        <v>95</v>
      </c>
      <c r="H105" s="1">
        <v>101</v>
      </c>
      <c r="I105" s="1"/>
      <c r="J105" s="1">
        <v>126</v>
      </c>
      <c r="K105" s="1">
        <v>134</v>
      </c>
      <c r="L105" s="1">
        <v>57</v>
      </c>
      <c r="M105" s="1">
        <v>122</v>
      </c>
      <c r="N105" s="1">
        <v>134</v>
      </c>
      <c r="O105" s="1">
        <v>126</v>
      </c>
      <c r="P105" s="1">
        <v>130</v>
      </c>
      <c r="Q105" s="1"/>
    </row>
    <row r="106" spans="1:17" ht="15.75" customHeight="1">
      <c r="A106" s="1">
        <v>2015</v>
      </c>
      <c r="B106" s="1">
        <v>109</v>
      </c>
      <c r="C106" s="1" t="s">
        <v>174</v>
      </c>
      <c r="D106" s="1">
        <v>4.6550000000000002</v>
      </c>
      <c r="E106" s="1" t="s">
        <v>175</v>
      </c>
      <c r="F106" s="1">
        <v>130</v>
      </c>
      <c r="G106" s="1">
        <v>122</v>
      </c>
      <c r="H106" s="1">
        <v>82</v>
      </c>
      <c r="I106" s="1">
        <v>33</v>
      </c>
      <c r="J106" s="1">
        <v>89</v>
      </c>
      <c r="K106" s="1">
        <v>87</v>
      </c>
      <c r="L106" s="1">
        <v>108</v>
      </c>
      <c r="M106" s="1">
        <v>105</v>
      </c>
      <c r="N106" s="1">
        <v>116</v>
      </c>
      <c r="O106" s="1">
        <v>87</v>
      </c>
      <c r="P106" s="1">
        <v>114</v>
      </c>
      <c r="Q106" s="1">
        <v>96</v>
      </c>
    </row>
    <row r="107" spans="1:17" ht="15.75" customHeight="1">
      <c r="A107" s="1">
        <v>2015</v>
      </c>
      <c r="B107" s="1">
        <v>110</v>
      </c>
      <c r="C107" s="1" t="s">
        <v>176</v>
      </c>
      <c r="D107" s="1">
        <v>4.6429999999999998</v>
      </c>
      <c r="E107" s="1" t="s">
        <v>177</v>
      </c>
      <c r="F107" s="1">
        <v>81</v>
      </c>
      <c r="G107" s="1">
        <v>129</v>
      </c>
      <c r="H107" s="1">
        <v>108</v>
      </c>
      <c r="I107" s="1">
        <v>79</v>
      </c>
      <c r="J107" s="1">
        <v>47</v>
      </c>
      <c r="K107" s="1">
        <v>116</v>
      </c>
      <c r="L107" s="1">
        <v>45</v>
      </c>
      <c r="M107" s="1">
        <v>120</v>
      </c>
      <c r="N107" s="1">
        <v>44</v>
      </c>
      <c r="O107" s="1">
        <v>116</v>
      </c>
      <c r="P107" s="1">
        <v>103</v>
      </c>
      <c r="Q107" s="1">
        <v>49</v>
      </c>
    </row>
    <row r="108" spans="1:17" ht="15.75" customHeight="1">
      <c r="A108" s="1">
        <v>2015</v>
      </c>
      <c r="B108" s="1">
        <v>111</v>
      </c>
      <c r="C108" s="1" t="s">
        <v>178</v>
      </c>
      <c r="D108" s="1">
        <v>4.6349999999999998</v>
      </c>
      <c r="E108" s="1">
        <v>0.317</v>
      </c>
      <c r="F108" s="1">
        <v>142</v>
      </c>
      <c r="G108" s="1">
        <v>125</v>
      </c>
      <c r="H108" s="1">
        <v>126</v>
      </c>
      <c r="I108" s="1">
        <v>135</v>
      </c>
      <c r="J108" s="1">
        <v>112</v>
      </c>
      <c r="K108" s="1">
        <v>97</v>
      </c>
      <c r="L108" s="1">
        <v>77</v>
      </c>
      <c r="M108" s="1">
        <v>91</v>
      </c>
      <c r="N108" s="1">
        <v>135</v>
      </c>
      <c r="O108" s="1">
        <v>97</v>
      </c>
      <c r="P108" s="1">
        <v>38</v>
      </c>
      <c r="Q108" s="1">
        <v>8</v>
      </c>
    </row>
    <row r="109" spans="1:17" ht="15.75" customHeight="1">
      <c r="A109" s="1">
        <v>2015</v>
      </c>
      <c r="B109" s="1">
        <v>112</v>
      </c>
      <c r="C109" s="1" t="s">
        <v>179</v>
      </c>
      <c r="D109" s="1">
        <v>4.5750000000000002</v>
      </c>
      <c r="E109" s="1" t="s">
        <v>180</v>
      </c>
      <c r="F109" s="1">
        <v>138</v>
      </c>
      <c r="G109" s="1">
        <v>114</v>
      </c>
      <c r="H109" s="1">
        <v>78</v>
      </c>
      <c r="I109" s="1">
        <v>96</v>
      </c>
      <c r="J109" s="1">
        <v>116</v>
      </c>
      <c r="K109" s="1">
        <v>58</v>
      </c>
      <c r="L109" s="1">
        <v>54</v>
      </c>
      <c r="M109" s="1">
        <v>134</v>
      </c>
      <c r="N109" s="1">
        <v>140</v>
      </c>
      <c r="O109" s="1">
        <v>58</v>
      </c>
      <c r="P109" s="1">
        <v>88</v>
      </c>
      <c r="Q109" s="1">
        <v>1</v>
      </c>
    </row>
    <row r="110" spans="1:17" ht="15.75" customHeight="1">
      <c r="A110" s="1">
        <v>2015</v>
      </c>
      <c r="B110" s="1">
        <v>113</v>
      </c>
      <c r="C110" s="1" t="s">
        <v>181</v>
      </c>
      <c r="D110" s="1">
        <v>4.5739999999999998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.75" customHeight="1">
      <c r="A111" s="1">
        <v>2015</v>
      </c>
      <c r="B111" s="1">
        <v>114</v>
      </c>
      <c r="C111" s="1" t="s">
        <v>182</v>
      </c>
      <c r="D111" s="1">
        <v>4.5129999999999999</v>
      </c>
      <c r="E111" s="1">
        <v>9.2999999999999999E-2</v>
      </c>
      <c r="F111" s="1">
        <v>118</v>
      </c>
      <c r="G111" s="1">
        <v>120</v>
      </c>
      <c r="H111" s="1">
        <v>113</v>
      </c>
      <c r="I111" s="1">
        <v>129</v>
      </c>
      <c r="J111" s="1">
        <v>65</v>
      </c>
      <c r="K111" s="1">
        <v>71</v>
      </c>
      <c r="L111" s="1">
        <v>103</v>
      </c>
      <c r="M111" s="1">
        <v>92</v>
      </c>
      <c r="N111" s="1">
        <v>114</v>
      </c>
      <c r="O111" s="1">
        <v>71</v>
      </c>
      <c r="P111" s="1">
        <v>49</v>
      </c>
      <c r="Q111" s="1">
        <v>20</v>
      </c>
    </row>
    <row r="112" spans="1:17" ht="15.75" customHeight="1">
      <c r="A112" s="1">
        <v>2015</v>
      </c>
      <c r="B112" s="1">
        <v>115</v>
      </c>
      <c r="C112" s="1" t="s">
        <v>183</v>
      </c>
      <c r="D112" s="1">
        <v>4.508</v>
      </c>
      <c r="E112" s="1" t="s">
        <v>184</v>
      </c>
      <c r="F112" s="1">
        <v>45</v>
      </c>
      <c r="G112" s="1">
        <v>124</v>
      </c>
      <c r="H112" s="1">
        <v>134</v>
      </c>
      <c r="I112" s="1">
        <v>105</v>
      </c>
      <c r="J112" s="1">
        <v>55</v>
      </c>
      <c r="K112" s="1">
        <v>66</v>
      </c>
      <c r="L112" s="1">
        <v>21</v>
      </c>
      <c r="M112" s="1">
        <v>93</v>
      </c>
      <c r="N112" s="1">
        <v>50</v>
      </c>
      <c r="O112" s="1">
        <v>66</v>
      </c>
      <c r="P112" s="1">
        <v>78</v>
      </c>
      <c r="Q112" s="1">
        <v>98</v>
      </c>
    </row>
    <row r="113" spans="1:17" ht="15.75" customHeight="1">
      <c r="A113" s="1">
        <v>2015</v>
      </c>
      <c r="B113" s="1">
        <v>116</v>
      </c>
      <c r="C113" s="1" t="s">
        <v>185</v>
      </c>
      <c r="D113" s="1">
        <v>4.4589999999999996</v>
      </c>
      <c r="E113" s="1" t="s">
        <v>186</v>
      </c>
      <c r="F113" s="1">
        <v>58</v>
      </c>
      <c r="G113" s="1">
        <v>37</v>
      </c>
      <c r="H113" s="1">
        <v>71</v>
      </c>
      <c r="I113" s="1">
        <v>115</v>
      </c>
      <c r="J113" s="1">
        <v>32</v>
      </c>
      <c r="K113" s="1">
        <v>108</v>
      </c>
      <c r="L113" s="1">
        <v>92</v>
      </c>
      <c r="M113" s="1">
        <v>48</v>
      </c>
      <c r="N113" s="1">
        <v>6</v>
      </c>
      <c r="O113" s="1">
        <v>108</v>
      </c>
      <c r="P113" s="1">
        <v>39</v>
      </c>
      <c r="Q113" s="1">
        <v>21</v>
      </c>
    </row>
    <row r="114" spans="1:17" ht="15.75" customHeight="1">
      <c r="A114" s="1">
        <v>2015</v>
      </c>
      <c r="B114" s="1">
        <v>117</v>
      </c>
      <c r="C114" s="1" t="s">
        <v>187</v>
      </c>
      <c r="D114" s="1">
        <v>4.415</v>
      </c>
      <c r="E114" s="1">
        <v>0.26400000000000001</v>
      </c>
      <c r="F114" s="1">
        <v>85</v>
      </c>
      <c r="G114" s="1">
        <v>55</v>
      </c>
      <c r="H114" s="1">
        <v>80</v>
      </c>
      <c r="I114" s="1">
        <v>53</v>
      </c>
      <c r="J114" s="1">
        <v>21</v>
      </c>
      <c r="K114" s="1">
        <v>17</v>
      </c>
      <c r="L114" s="1">
        <v>96</v>
      </c>
      <c r="M114" s="1">
        <v>20</v>
      </c>
      <c r="N114" s="1">
        <v>49</v>
      </c>
      <c r="O114" s="1">
        <v>17</v>
      </c>
      <c r="P114" s="1">
        <v>4</v>
      </c>
      <c r="Q114" s="1">
        <v>38</v>
      </c>
    </row>
    <row r="115" spans="1:17" ht="15.75" customHeight="1">
      <c r="A115" s="1">
        <v>2015</v>
      </c>
      <c r="B115" s="1">
        <v>118</v>
      </c>
      <c r="C115" s="1" t="s">
        <v>188</v>
      </c>
      <c r="D115" s="1">
        <v>4.4039999999999999</v>
      </c>
      <c r="E115" s="1" t="s">
        <v>189</v>
      </c>
      <c r="F115" s="1">
        <v>74</v>
      </c>
      <c r="G115" s="1">
        <v>126</v>
      </c>
      <c r="H115" s="1">
        <v>100</v>
      </c>
      <c r="I115" s="1">
        <v>101</v>
      </c>
      <c r="J115" s="1">
        <v>69</v>
      </c>
      <c r="K115" s="1">
        <v>82</v>
      </c>
      <c r="L115" s="1">
        <v>58</v>
      </c>
      <c r="M115" s="1">
        <v>73</v>
      </c>
      <c r="N115" s="1">
        <v>99</v>
      </c>
      <c r="O115" s="1">
        <v>82</v>
      </c>
      <c r="P115" s="1">
        <v>60</v>
      </c>
      <c r="Q115" s="1">
        <v>104</v>
      </c>
    </row>
    <row r="116" spans="1:17" ht="15.75" customHeight="1">
      <c r="A116" s="1">
        <v>2015</v>
      </c>
      <c r="B116" s="1">
        <v>119</v>
      </c>
      <c r="C116" s="1" t="s">
        <v>190</v>
      </c>
      <c r="D116" s="1">
        <v>4.3949999999999996</v>
      </c>
      <c r="E116" s="1" t="s">
        <v>101</v>
      </c>
      <c r="F116" s="1">
        <v>14</v>
      </c>
      <c r="G116" s="1">
        <v>98</v>
      </c>
      <c r="H116" s="1">
        <v>109</v>
      </c>
      <c r="I116" s="1">
        <v>102</v>
      </c>
      <c r="J116" s="1">
        <v>53</v>
      </c>
      <c r="K116" s="1">
        <v>1</v>
      </c>
      <c r="L116" s="1">
        <v>25</v>
      </c>
      <c r="M116" s="1">
        <v>43</v>
      </c>
      <c r="N116" s="1">
        <v>70</v>
      </c>
      <c r="O116" s="1">
        <v>1</v>
      </c>
      <c r="P116" s="1">
        <v>2</v>
      </c>
      <c r="Q116" s="1">
        <v>29</v>
      </c>
    </row>
    <row r="117" spans="1:17" ht="15.75" customHeight="1">
      <c r="A117" s="1">
        <v>2015</v>
      </c>
      <c r="B117" s="1">
        <v>120</v>
      </c>
      <c r="C117" s="1" t="s">
        <v>191</v>
      </c>
      <c r="D117" s="1">
        <v>4.3620000000000001</v>
      </c>
      <c r="E117" s="1">
        <v>8.8999999999999996E-2</v>
      </c>
      <c r="F117" s="1">
        <v>84</v>
      </c>
      <c r="G117" s="1">
        <v>105</v>
      </c>
      <c r="H117" s="1">
        <v>79</v>
      </c>
      <c r="I117" s="1">
        <v>92</v>
      </c>
      <c r="J117" s="1">
        <v>102</v>
      </c>
      <c r="K117" s="1">
        <v>98</v>
      </c>
      <c r="L117" s="1">
        <v>34</v>
      </c>
      <c r="M117" s="1">
        <v>115</v>
      </c>
      <c r="N117" s="1">
        <v>112</v>
      </c>
      <c r="O117" s="1">
        <v>98</v>
      </c>
      <c r="P117" s="1">
        <v>141</v>
      </c>
      <c r="Q117" s="1">
        <v>88</v>
      </c>
    </row>
    <row r="118" spans="1:17" ht="15.75" customHeight="1">
      <c r="A118" s="1">
        <v>2015</v>
      </c>
      <c r="B118" s="1">
        <v>121</v>
      </c>
      <c r="C118" s="1" t="s">
        <v>192</v>
      </c>
      <c r="D118" s="1">
        <v>4.3600000000000003</v>
      </c>
      <c r="E118" s="1">
        <v>4.3999999999999997E-2</v>
      </c>
      <c r="F118" s="1">
        <v>99</v>
      </c>
      <c r="G118" s="1">
        <v>107</v>
      </c>
      <c r="H118" s="1">
        <v>81</v>
      </c>
      <c r="I118" s="1">
        <v>64</v>
      </c>
      <c r="J118" s="1">
        <v>127</v>
      </c>
      <c r="K118" s="1">
        <v>131</v>
      </c>
      <c r="L118" s="1">
        <v>115</v>
      </c>
      <c r="M118" s="1">
        <v>127</v>
      </c>
      <c r="N118" s="1">
        <v>137</v>
      </c>
      <c r="O118" s="1">
        <v>131</v>
      </c>
      <c r="P118" s="1">
        <v>137</v>
      </c>
      <c r="Q118" s="1">
        <v>90</v>
      </c>
    </row>
    <row r="119" spans="1:17" ht="15.75" customHeight="1">
      <c r="A119" s="1">
        <v>2015</v>
      </c>
      <c r="B119" s="1">
        <v>122</v>
      </c>
      <c r="C119" s="1" t="s">
        <v>193</v>
      </c>
      <c r="D119" s="1">
        <v>4.3559999999999999</v>
      </c>
      <c r="E119" s="1" t="s">
        <v>194</v>
      </c>
      <c r="F119" s="1">
        <v>75</v>
      </c>
      <c r="G119" s="1">
        <v>88</v>
      </c>
      <c r="H119" s="1">
        <v>114</v>
      </c>
      <c r="I119" s="1">
        <v>110</v>
      </c>
      <c r="J119" s="1">
        <v>64</v>
      </c>
      <c r="K119" s="1">
        <v>36</v>
      </c>
      <c r="L119" s="1">
        <v>91</v>
      </c>
      <c r="M119" s="1">
        <v>66</v>
      </c>
      <c r="N119" s="1">
        <v>10</v>
      </c>
      <c r="O119" s="1">
        <v>36</v>
      </c>
      <c r="P119" s="1">
        <v>8</v>
      </c>
      <c r="Q119" s="1">
        <v>14</v>
      </c>
    </row>
    <row r="120" spans="1:17" ht="15.75" customHeight="1">
      <c r="A120" s="1">
        <v>2015</v>
      </c>
      <c r="B120" s="1">
        <v>123</v>
      </c>
      <c r="C120" s="1" t="s">
        <v>195</v>
      </c>
      <c r="D120" s="1">
        <v>4.3239999999999998</v>
      </c>
      <c r="E120" s="1" t="s">
        <v>196</v>
      </c>
      <c r="F120" s="1">
        <v>55</v>
      </c>
      <c r="G120" s="1">
        <v>30</v>
      </c>
      <c r="H120" s="1">
        <v>67</v>
      </c>
      <c r="I120" s="1">
        <v>85</v>
      </c>
      <c r="J120" s="1">
        <v>137</v>
      </c>
      <c r="K120" s="1">
        <v>70</v>
      </c>
      <c r="L120" s="1">
        <v>130</v>
      </c>
      <c r="M120" s="1">
        <v>126</v>
      </c>
      <c r="N120" s="1">
        <v>54</v>
      </c>
      <c r="O120" s="1">
        <v>70</v>
      </c>
      <c r="P120" s="1">
        <v>91</v>
      </c>
      <c r="Q120" s="1">
        <v>120</v>
      </c>
    </row>
    <row r="121" spans="1:17" ht="15.75" customHeight="1">
      <c r="A121" s="1">
        <v>2015</v>
      </c>
      <c r="B121" s="1">
        <v>124</v>
      </c>
      <c r="C121" s="1" t="s">
        <v>197</v>
      </c>
      <c r="D121" s="1">
        <v>4.2759999999999998</v>
      </c>
      <c r="E121" s="1" t="s">
        <v>198</v>
      </c>
      <c r="F121" s="1">
        <v>80</v>
      </c>
      <c r="G121" s="1">
        <v>113</v>
      </c>
      <c r="H121" s="1">
        <v>105</v>
      </c>
      <c r="I121" s="1">
        <v>109</v>
      </c>
      <c r="J121" s="1">
        <v>35</v>
      </c>
      <c r="K121" s="1">
        <v>100</v>
      </c>
      <c r="L121" s="1">
        <v>128</v>
      </c>
      <c r="M121" s="1">
        <v>64</v>
      </c>
      <c r="N121" s="1">
        <v>67</v>
      </c>
      <c r="O121" s="1">
        <v>100</v>
      </c>
      <c r="P121" s="1">
        <v>44</v>
      </c>
      <c r="Q121" s="1">
        <v>70</v>
      </c>
    </row>
    <row r="122" spans="1:17" ht="15.75" customHeight="1">
      <c r="A122" s="1">
        <v>2015</v>
      </c>
      <c r="B122" s="1">
        <v>125</v>
      </c>
      <c r="C122" s="1" t="s">
        <v>199</v>
      </c>
      <c r="D122" s="1">
        <v>4.2720000000000002</v>
      </c>
      <c r="E122" s="1" t="s">
        <v>200</v>
      </c>
      <c r="F122" s="1">
        <v>30</v>
      </c>
      <c r="G122" s="1">
        <v>93</v>
      </c>
      <c r="H122" s="1">
        <v>141</v>
      </c>
      <c r="I122" s="1">
        <v>128</v>
      </c>
      <c r="J122" s="1">
        <v>123</v>
      </c>
      <c r="K122" s="1">
        <v>136</v>
      </c>
      <c r="L122" s="1">
        <v>101</v>
      </c>
      <c r="M122" s="1">
        <v>121</v>
      </c>
      <c r="N122" s="1">
        <v>87</v>
      </c>
      <c r="O122" s="1">
        <v>136</v>
      </c>
      <c r="P122" s="1">
        <v>110</v>
      </c>
      <c r="Q122" s="1">
        <v>115</v>
      </c>
    </row>
    <row r="123" spans="1:17" ht="15.75" customHeight="1">
      <c r="A123" s="1">
        <v>2015</v>
      </c>
      <c r="B123" s="1">
        <v>126</v>
      </c>
      <c r="C123" s="1" t="s">
        <v>201</v>
      </c>
      <c r="D123" s="1">
        <v>4.2519999999999998</v>
      </c>
      <c r="E123" s="1">
        <v>6.5000000000000002E-2</v>
      </c>
      <c r="F123" s="1">
        <v>65</v>
      </c>
      <c r="G123" s="1">
        <v>137</v>
      </c>
      <c r="H123" s="1">
        <v>69</v>
      </c>
      <c r="I123" s="1">
        <v>74</v>
      </c>
      <c r="J123" s="1">
        <v>107</v>
      </c>
      <c r="K123" s="1">
        <v>129</v>
      </c>
      <c r="L123" s="1">
        <v>19</v>
      </c>
      <c r="M123" s="1">
        <v>138</v>
      </c>
      <c r="N123" s="1">
        <v>48</v>
      </c>
      <c r="O123" s="1">
        <v>129</v>
      </c>
      <c r="P123" s="1">
        <v>77</v>
      </c>
      <c r="Q123" s="1">
        <v>112</v>
      </c>
    </row>
    <row r="124" spans="1:17" ht="15.75" customHeight="1">
      <c r="A124" s="1">
        <v>2015</v>
      </c>
      <c r="B124" s="1">
        <v>127</v>
      </c>
      <c r="C124" s="1" t="s">
        <v>202</v>
      </c>
      <c r="D124" s="1">
        <v>4.2359999999999998</v>
      </c>
      <c r="E124" s="1" t="s">
        <v>203</v>
      </c>
      <c r="F124" s="1">
        <v>136</v>
      </c>
      <c r="G124" s="1">
        <v>121</v>
      </c>
      <c r="H124" s="1">
        <v>95</v>
      </c>
      <c r="I124" s="1">
        <v>117</v>
      </c>
      <c r="J124" s="1">
        <v>36</v>
      </c>
      <c r="K124" s="1">
        <v>124</v>
      </c>
      <c r="L124" s="1">
        <v>83</v>
      </c>
      <c r="M124" s="1">
        <v>112</v>
      </c>
      <c r="N124" s="1">
        <v>62</v>
      </c>
      <c r="O124" s="1">
        <v>124</v>
      </c>
      <c r="P124" s="1">
        <v>98</v>
      </c>
      <c r="Q124" s="1">
        <v>27</v>
      </c>
    </row>
    <row r="125" spans="1:17" ht="15.75" customHeight="1">
      <c r="A125" s="1">
        <v>2015</v>
      </c>
      <c r="B125" s="1">
        <v>128</v>
      </c>
      <c r="C125" s="1" t="s">
        <v>204</v>
      </c>
      <c r="D125" s="1">
        <v>4.2190000000000003</v>
      </c>
      <c r="E125" s="1">
        <v>0.26</v>
      </c>
      <c r="F125" s="1">
        <v>8</v>
      </c>
      <c r="G125" s="1">
        <v>111</v>
      </c>
      <c r="H125" s="1">
        <v>117</v>
      </c>
      <c r="I125" s="1">
        <v>103</v>
      </c>
      <c r="J125" s="1">
        <v>85</v>
      </c>
      <c r="K125" s="1">
        <v>133</v>
      </c>
      <c r="L125" s="1">
        <v>55</v>
      </c>
      <c r="M125" s="1">
        <v>50</v>
      </c>
      <c r="N125" s="1">
        <v>33</v>
      </c>
      <c r="O125" s="1">
        <v>133</v>
      </c>
      <c r="P125" s="1">
        <v>109</v>
      </c>
      <c r="Q125" s="1">
        <v>36</v>
      </c>
    </row>
    <row r="126" spans="1:17" ht="15.75" customHeight="1">
      <c r="A126" s="1">
        <v>2015</v>
      </c>
      <c r="B126" s="1">
        <v>129</v>
      </c>
      <c r="C126" s="1" t="s">
        <v>205</v>
      </c>
      <c r="D126" s="1">
        <v>4.2169999999999996</v>
      </c>
      <c r="E126" s="1">
        <v>0.23599999999999999</v>
      </c>
      <c r="F126" s="1">
        <v>89</v>
      </c>
      <c r="G126" s="1">
        <v>32</v>
      </c>
      <c r="H126" s="1">
        <v>54</v>
      </c>
      <c r="I126" s="1">
        <v>66</v>
      </c>
      <c r="J126" s="1">
        <v>108</v>
      </c>
      <c r="K126" s="1">
        <v>120</v>
      </c>
      <c r="L126" s="1">
        <v>126</v>
      </c>
      <c r="M126" s="1">
        <v>110</v>
      </c>
      <c r="N126" s="1">
        <v>36</v>
      </c>
      <c r="O126" s="1">
        <v>120</v>
      </c>
      <c r="P126" s="1">
        <v>135</v>
      </c>
      <c r="Q126" s="1">
        <v>107</v>
      </c>
    </row>
    <row r="127" spans="1:17" ht="15.75" customHeight="1">
      <c r="A127" s="1">
        <v>2015</v>
      </c>
      <c r="B127" s="1">
        <v>130</v>
      </c>
      <c r="C127" s="1" t="s">
        <v>206</v>
      </c>
      <c r="D127" s="1">
        <v>4.2009999999999996</v>
      </c>
      <c r="E127" s="1" t="s">
        <v>207</v>
      </c>
      <c r="F127" s="1">
        <v>7</v>
      </c>
      <c r="G127" s="1">
        <v>49</v>
      </c>
      <c r="H127" s="1">
        <v>103</v>
      </c>
      <c r="I127" s="1">
        <v>94</v>
      </c>
      <c r="J127" s="1">
        <v>136</v>
      </c>
      <c r="K127" s="1">
        <v>61</v>
      </c>
      <c r="L127" s="1">
        <v>43</v>
      </c>
      <c r="M127" s="1">
        <v>12</v>
      </c>
      <c r="N127" s="1">
        <v>25</v>
      </c>
      <c r="O127" s="1">
        <v>61</v>
      </c>
      <c r="P127" s="1">
        <v>57</v>
      </c>
      <c r="Q127" s="1">
        <v>119</v>
      </c>
    </row>
    <row r="128" spans="1:17" ht="15.75" customHeight="1">
      <c r="A128" s="1">
        <v>2015</v>
      </c>
      <c r="B128" s="1">
        <v>131</v>
      </c>
      <c r="C128" s="1" t="s">
        <v>208</v>
      </c>
      <c r="D128" s="1">
        <v>4.1929999999999996</v>
      </c>
      <c r="E128" s="1" t="s">
        <v>209</v>
      </c>
      <c r="F128" s="1">
        <v>90</v>
      </c>
      <c r="G128" s="1">
        <v>104</v>
      </c>
      <c r="H128" s="1">
        <v>120</v>
      </c>
      <c r="I128" s="1">
        <v>133</v>
      </c>
      <c r="J128" s="1">
        <v>99</v>
      </c>
      <c r="K128" s="1">
        <v>137</v>
      </c>
      <c r="L128" s="1">
        <v>68</v>
      </c>
      <c r="M128" s="1">
        <v>82</v>
      </c>
      <c r="N128" s="1">
        <v>15</v>
      </c>
      <c r="O128" s="1">
        <v>137</v>
      </c>
      <c r="P128" s="1">
        <v>85</v>
      </c>
      <c r="Q128" s="1">
        <v>72</v>
      </c>
    </row>
    <row r="129" spans="1:17" ht="15.75" customHeight="1">
      <c r="A129" s="1">
        <v>2015</v>
      </c>
      <c r="B129" s="1">
        <v>132</v>
      </c>
      <c r="C129" s="1" t="s">
        <v>210</v>
      </c>
      <c r="D129" s="1">
        <v>4.1559999999999997</v>
      </c>
      <c r="E129" s="1">
        <v>4.2999999999999997E-2</v>
      </c>
      <c r="F129" s="1">
        <v>122</v>
      </c>
      <c r="G129" s="1">
        <v>138</v>
      </c>
      <c r="H129" s="1">
        <v>137</v>
      </c>
      <c r="I129" s="1">
        <v>116</v>
      </c>
      <c r="J129" s="1">
        <v>57</v>
      </c>
      <c r="K129" s="1">
        <v>105</v>
      </c>
      <c r="L129" s="1">
        <v>80</v>
      </c>
      <c r="M129" s="1">
        <v>98</v>
      </c>
      <c r="N129" s="1">
        <v>61</v>
      </c>
      <c r="O129" s="1">
        <v>105</v>
      </c>
      <c r="P129" s="1">
        <v>24</v>
      </c>
      <c r="Q129" s="1">
        <v>5</v>
      </c>
    </row>
    <row r="130" spans="1:17" ht="15.75" customHeight="1">
      <c r="A130" s="1">
        <v>2015</v>
      </c>
      <c r="B130" s="1">
        <v>133</v>
      </c>
      <c r="C130" s="1" t="s">
        <v>211</v>
      </c>
      <c r="D130" s="1">
        <v>4.1390000000000002</v>
      </c>
      <c r="E130" s="1" t="s">
        <v>212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.75" customHeight="1">
      <c r="A131" s="1">
        <v>2015</v>
      </c>
      <c r="B131" s="1">
        <v>134</v>
      </c>
      <c r="C131" s="8" t="s">
        <v>213</v>
      </c>
      <c r="D131" s="5">
        <v>4.1210000000000004</v>
      </c>
      <c r="E131" s="6">
        <v>7.0000000000000001E-3</v>
      </c>
      <c r="F131" s="6">
        <v>71</v>
      </c>
      <c r="G131" s="6">
        <v>97</v>
      </c>
      <c r="H131" s="6">
        <v>59</v>
      </c>
      <c r="I131" s="10">
        <v>113</v>
      </c>
      <c r="J131" s="6">
        <v>98</v>
      </c>
      <c r="K131" s="6">
        <v>121</v>
      </c>
      <c r="L131" s="6">
        <v>102</v>
      </c>
      <c r="M131" s="6">
        <v>99</v>
      </c>
      <c r="N131" s="6">
        <v>126</v>
      </c>
      <c r="O131" s="6">
        <v>121</v>
      </c>
      <c r="P131" s="6">
        <v>112</v>
      </c>
      <c r="Q131" s="6">
        <v>26</v>
      </c>
    </row>
    <row r="132" spans="1:17" ht="15.75" customHeight="1">
      <c r="A132" s="1">
        <v>2015</v>
      </c>
      <c r="B132" s="1">
        <v>135</v>
      </c>
      <c r="C132" s="8" t="s">
        <v>214</v>
      </c>
      <c r="D132" s="5">
        <v>4.0730000000000004</v>
      </c>
      <c r="E132" s="9" t="s">
        <v>215</v>
      </c>
      <c r="F132" s="6">
        <v>29</v>
      </c>
      <c r="G132" s="6">
        <v>68</v>
      </c>
      <c r="H132" s="6">
        <v>130</v>
      </c>
      <c r="I132" s="7">
        <v>124</v>
      </c>
      <c r="J132" s="6">
        <v>109</v>
      </c>
      <c r="K132" s="6">
        <v>127</v>
      </c>
      <c r="L132" s="6">
        <v>62</v>
      </c>
      <c r="M132" s="6">
        <v>54</v>
      </c>
      <c r="N132" s="6">
        <v>56</v>
      </c>
      <c r="O132" s="6">
        <v>127</v>
      </c>
      <c r="P132" s="6">
        <v>123</v>
      </c>
      <c r="Q132" s="6">
        <v>42</v>
      </c>
    </row>
    <row r="133" spans="1:17" ht="15.75" customHeight="1">
      <c r="A133" s="1">
        <v>2015</v>
      </c>
      <c r="B133" s="1">
        <v>136</v>
      </c>
      <c r="C133" s="1" t="s">
        <v>216</v>
      </c>
      <c r="D133" s="1">
        <v>4.0279999999999996</v>
      </c>
      <c r="E133" s="1" t="s">
        <v>217</v>
      </c>
      <c r="F133" s="1">
        <v>111</v>
      </c>
      <c r="G133" s="1">
        <v>134</v>
      </c>
      <c r="H133" s="1">
        <v>119</v>
      </c>
      <c r="I133" s="1">
        <v>118</v>
      </c>
      <c r="J133" s="1">
        <v>138</v>
      </c>
      <c r="K133" s="1">
        <v>32</v>
      </c>
      <c r="L133" s="1">
        <v>59</v>
      </c>
      <c r="M133" s="1">
        <v>100</v>
      </c>
      <c r="N133" s="1">
        <v>106</v>
      </c>
      <c r="O133" s="1">
        <v>32</v>
      </c>
      <c r="P133" s="1">
        <v>45</v>
      </c>
      <c r="Q133" s="1">
        <v>106</v>
      </c>
    </row>
    <row r="134" spans="1:17" ht="15.75" customHeight="1">
      <c r="A134" s="1">
        <v>2015</v>
      </c>
      <c r="B134" s="1">
        <v>137</v>
      </c>
      <c r="C134" s="1" t="s">
        <v>218</v>
      </c>
      <c r="D134" s="1">
        <v>3.9740000000000002</v>
      </c>
      <c r="E134" s="1">
        <v>4.0000000000000001E-3</v>
      </c>
      <c r="F134" s="1">
        <v>107</v>
      </c>
      <c r="G134" s="1">
        <v>78</v>
      </c>
      <c r="H134" s="1">
        <v>66</v>
      </c>
      <c r="I134" s="1">
        <v>120</v>
      </c>
      <c r="J134" s="1">
        <v>33</v>
      </c>
      <c r="K134" s="1">
        <v>94</v>
      </c>
      <c r="L134" s="1">
        <v>97</v>
      </c>
      <c r="M134" s="1">
        <v>63</v>
      </c>
      <c r="N134" s="1">
        <v>64</v>
      </c>
      <c r="O134" s="1">
        <v>94</v>
      </c>
      <c r="P134" s="1">
        <v>64</v>
      </c>
      <c r="Q134" s="1">
        <v>6</v>
      </c>
    </row>
    <row r="135" spans="1:17" ht="15.75" customHeight="1">
      <c r="A135" s="1">
        <v>2015</v>
      </c>
      <c r="B135" s="1">
        <v>138</v>
      </c>
      <c r="C135" s="1" t="s">
        <v>219</v>
      </c>
      <c r="D135" s="1">
        <v>3.956</v>
      </c>
      <c r="E135" s="1">
        <v>0.105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.75" customHeight="1">
      <c r="A136" s="1">
        <v>2015</v>
      </c>
      <c r="B136" s="1">
        <v>139</v>
      </c>
      <c r="C136" s="1" t="s">
        <v>220</v>
      </c>
      <c r="D136" s="1">
        <v>3.9159999999999999</v>
      </c>
      <c r="E136" s="1">
        <v>91</v>
      </c>
      <c r="F136" s="1">
        <v>110</v>
      </c>
      <c r="G136" s="1">
        <v>111</v>
      </c>
      <c r="H136" s="1">
        <v>60</v>
      </c>
      <c r="I136" s="1"/>
      <c r="J136" s="1">
        <v>110</v>
      </c>
      <c r="K136" s="1">
        <v>49</v>
      </c>
      <c r="L136" s="1">
        <v>95</v>
      </c>
      <c r="M136" s="1">
        <v>115</v>
      </c>
      <c r="N136" s="1">
        <v>110</v>
      </c>
      <c r="O136" s="1">
        <v>133</v>
      </c>
      <c r="P136" s="1">
        <v>59</v>
      </c>
      <c r="Q136" s="1"/>
    </row>
    <row r="137" spans="1:17" ht="15.75" customHeight="1">
      <c r="A137" s="1">
        <v>2015</v>
      </c>
      <c r="B137" s="1">
        <v>140</v>
      </c>
      <c r="C137" s="1" t="s">
        <v>221</v>
      </c>
      <c r="D137" s="1">
        <v>3.907</v>
      </c>
      <c r="E137" s="1" t="s">
        <v>153</v>
      </c>
      <c r="F137" s="1">
        <v>115</v>
      </c>
      <c r="G137" s="1">
        <v>106</v>
      </c>
      <c r="H137" s="1">
        <v>112</v>
      </c>
      <c r="I137" s="1">
        <v>99</v>
      </c>
      <c r="J137" s="1">
        <v>3</v>
      </c>
      <c r="K137" s="1">
        <v>39</v>
      </c>
      <c r="L137" s="1">
        <v>78</v>
      </c>
      <c r="M137" s="1">
        <v>42</v>
      </c>
      <c r="N137" s="1">
        <v>134</v>
      </c>
      <c r="O137" s="1">
        <v>39</v>
      </c>
      <c r="P137" s="1">
        <v>99</v>
      </c>
      <c r="Q137" s="1">
        <v>140</v>
      </c>
    </row>
    <row r="138" spans="1:17" ht="15.75" customHeight="1">
      <c r="A138" s="1">
        <v>2015</v>
      </c>
      <c r="B138" s="1">
        <v>141</v>
      </c>
      <c r="C138" s="1" t="s">
        <v>222</v>
      </c>
      <c r="D138" s="1">
        <v>3.8660000000000001</v>
      </c>
      <c r="E138" s="1" t="s">
        <v>223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5.75" customHeight="1">
      <c r="A139" s="1">
        <v>2015</v>
      </c>
      <c r="B139" s="1">
        <v>142</v>
      </c>
      <c r="C139" s="1" t="s">
        <v>224</v>
      </c>
      <c r="D139" s="1">
        <v>3.8559999999999999</v>
      </c>
      <c r="E139" s="1" t="s">
        <v>225</v>
      </c>
      <c r="F139" s="1">
        <v>51</v>
      </c>
      <c r="G139" s="1">
        <v>108</v>
      </c>
      <c r="H139" s="1">
        <v>139</v>
      </c>
      <c r="I139" s="1">
        <v>125</v>
      </c>
      <c r="J139" s="1">
        <v>84</v>
      </c>
      <c r="K139" s="1">
        <v>128</v>
      </c>
      <c r="L139" s="1">
        <v>39</v>
      </c>
      <c r="M139" s="1">
        <v>69</v>
      </c>
      <c r="N139" s="1">
        <v>39</v>
      </c>
      <c r="O139" s="1">
        <v>128</v>
      </c>
      <c r="P139" s="1">
        <v>101</v>
      </c>
      <c r="Q139" s="1">
        <v>92</v>
      </c>
    </row>
    <row r="140" spans="1:17" ht="15.75" customHeight="1">
      <c r="A140" s="1">
        <v>2015</v>
      </c>
      <c r="B140" s="1">
        <v>143</v>
      </c>
      <c r="C140" s="1" t="s">
        <v>226</v>
      </c>
      <c r="D140" s="1">
        <v>3.8319999999999999</v>
      </c>
      <c r="E140" s="1">
        <v>141</v>
      </c>
      <c r="F140" s="1">
        <v>131</v>
      </c>
      <c r="G140" s="1">
        <v>133</v>
      </c>
      <c r="H140" s="1">
        <v>63</v>
      </c>
      <c r="I140" s="1">
        <v>132</v>
      </c>
      <c r="J140" s="1">
        <v>41</v>
      </c>
      <c r="K140" s="1">
        <v>116</v>
      </c>
      <c r="L140" s="1">
        <v>138</v>
      </c>
      <c r="M140" s="1">
        <v>63</v>
      </c>
      <c r="N140" s="1">
        <v>30</v>
      </c>
      <c r="O140" s="1">
        <v>43</v>
      </c>
      <c r="P140" s="1"/>
      <c r="Q140" s="1"/>
    </row>
    <row r="141" spans="1:17" ht="15.75" customHeight="1">
      <c r="A141" s="1">
        <v>2015</v>
      </c>
      <c r="B141" s="1">
        <v>144</v>
      </c>
      <c r="C141" s="1" t="s">
        <v>227</v>
      </c>
      <c r="D141" s="1">
        <v>3.7629999999999999</v>
      </c>
      <c r="E141" s="1" t="s">
        <v>228</v>
      </c>
      <c r="F141" s="1">
        <v>110</v>
      </c>
      <c r="G141" s="1">
        <v>99</v>
      </c>
      <c r="H141" s="1">
        <v>132</v>
      </c>
      <c r="I141" s="1">
        <v>134</v>
      </c>
      <c r="J141" s="1">
        <v>134</v>
      </c>
      <c r="K141" s="1">
        <v>119</v>
      </c>
      <c r="L141" s="1">
        <v>110</v>
      </c>
      <c r="M141" s="1">
        <v>103</v>
      </c>
      <c r="N141" s="1">
        <v>121</v>
      </c>
      <c r="O141" s="1">
        <v>119</v>
      </c>
      <c r="P141" s="1">
        <v>115</v>
      </c>
      <c r="Q141" s="1">
        <v>84</v>
      </c>
    </row>
    <row r="142" spans="1:17" ht="15.75" customHeight="1">
      <c r="A142" s="1">
        <v>2015</v>
      </c>
      <c r="B142" s="1">
        <v>145</v>
      </c>
      <c r="C142" s="1" t="s">
        <v>229</v>
      </c>
      <c r="D142" s="1">
        <v>3.7389999999999999</v>
      </c>
      <c r="E142" s="1" t="s">
        <v>230</v>
      </c>
      <c r="F142" s="1">
        <v>60</v>
      </c>
      <c r="G142" s="1">
        <v>109</v>
      </c>
      <c r="H142" s="1">
        <v>133</v>
      </c>
      <c r="I142" s="1">
        <v>122</v>
      </c>
      <c r="J142" s="1">
        <v>103</v>
      </c>
      <c r="K142" s="1">
        <v>111</v>
      </c>
      <c r="L142" s="1">
        <v>36</v>
      </c>
      <c r="M142" s="1">
        <v>113</v>
      </c>
      <c r="N142" s="1">
        <v>122</v>
      </c>
      <c r="O142" s="1">
        <v>111</v>
      </c>
      <c r="P142" s="1">
        <v>71</v>
      </c>
      <c r="Q142" s="1">
        <v>30</v>
      </c>
    </row>
    <row r="143" spans="1:17" ht="15.75" customHeight="1">
      <c r="A143" s="1">
        <v>2015</v>
      </c>
      <c r="B143" s="1">
        <v>146</v>
      </c>
      <c r="C143" s="1" t="s">
        <v>231</v>
      </c>
      <c r="D143" s="1">
        <v>3.7389999999999999</v>
      </c>
      <c r="E143" s="1" t="s">
        <v>232</v>
      </c>
      <c r="F143" s="1">
        <v>124</v>
      </c>
      <c r="G143" s="1">
        <v>101</v>
      </c>
      <c r="H143" s="1">
        <v>128</v>
      </c>
      <c r="I143" s="1">
        <v>111</v>
      </c>
      <c r="J143" s="1">
        <v>78</v>
      </c>
      <c r="K143" s="1">
        <v>56</v>
      </c>
      <c r="L143" s="1">
        <v>105</v>
      </c>
      <c r="M143" s="1">
        <v>61</v>
      </c>
      <c r="N143" s="1">
        <v>118</v>
      </c>
      <c r="O143" s="1">
        <v>56</v>
      </c>
      <c r="P143" s="1">
        <v>29</v>
      </c>
      <c r="Q143" s="1">
        <v>12</v>
      </c>
    </row>
    <row r="144" spans="1:17" ht="15.75" customHeight="1">
      <c r="A144" s="1">
        <v>2015</v>
      </c>
      <c r="B144" s="1">
        <v>147</v>
      </c>
      <c r="C144" s="1" t="s">
        <v>233</v>
      </c>
      <c r="D144" s="1">
        <v>3.7240000000000002</v>
      </c>
      <c r="E144" s="1" t="s">
        <v>234</v>
      </c>
      <c r="F144" s="1">
        <v>88</v>
      </c>
      <c r="G144" s="1">
        <v>116</v>
      </c>
      <c r="H144" s="1">
        <v>127</v>
      </c>
      <c r="I144" s="1">
        <v>104</v>
      </c>
      <c r="J144" s="1">
        <v>115</v>
      </c>
      <c r="K144" s="1">
        <v>140</v>
      </c>
      <c r="L144" s="1">
        <v>79</v>
      </c>
      <c r="M144" s="1">
        <v>137</v>
      </c>
      <c r="N144" s="1">
        <v>98</v>
      </c>
      <c r="O144" s="1">
        <v>140</v>
      </c>
      <c r="P144" s="1">
        <v>136</v>
      </c>
      <c r="Q144" s="1">
        <v>111</v>
      </c>
    </row>
    <row r="145" spans="1:17" ht="15.75" customHeight="1">
      <c r="A145" s="1">
        <v>2015</v>
      </c>
      <c r="B145" s="1">
        <v>148</v>
      </c>
      <c r="C145" s="1" t="s">
        <v>235</v>
      </c>
      <c r="D145" s="1">
        <v>3.6949999999999998</v>
      </c>
      <c r="E145" s="1" t="s">
        <v>168</v>
      </c>
      <c r="F145" s="1">
        <v>3</v>
      </c>
      <c r="G145" s="1">
        <v>119</v>
      </c>
      <c r="H145" s="1">
        <v>136</v>
      </c>
      <c r="I145" s="1">
        <v>112</v>
      </c>
      <c r="J145" s="1">
        <v>129</v>
      </c>
      <c r="K145" s="1">
        <v>126</v>
      </c>
      <c r="L145" s="1">
        <v>98</v>
      </c>
      <c r="M145" s="1">
        <v>65</v>
      </c>
      <c r="N145" s="1">
        <v>45</v>
      </c>
      <c r="O145" s="1">
        <v>126</v>
      </c>
      <c r="P145" s="1">
        <v>58</v>
      </c>
      <c r="Q145" s="1">
        <v>138</v>
      </c>
    </row>
    <row r="146" spans="1:17" ht="15.75" customHeight="1">
      <c r="A146" s="1">
        <v>2015</v>
      </c>
      <c r="B146" s="1">
        <v>149</v>
      </c>
      <c r="C146" s="1" t="s">
        <v>236</v>
      </c>
      <c r="D146" s="1">
        <v>3.6659999999999999</v>
      </c>
      <c r="E146" s="1" t="s">
        <v>237</v>
      </c>
      <c r="F146" s="1">
        <v>93</v>
      </c>
      <c r="G146" s="1">
        <v>85</v>
      </c>
      <c r="H146" s="1">
        <v>121</v>
      </c>
      <c r="I146" s="1">
        <v>107</v>
      </c>
      <c r="J146" s="1">
        <v>76</v>
      </c>
      <c r="K146" s="1">
        <v>50</v>
      </c>
      <c r="L146" s="1">
        <v>117</v>
      </c>
      <c r="M146" s="1">
        <v>97</v>
      </c>
      <c r="N146" s="1">
        <v>23</v>
      </c>
      <c r="O146" s="1">
        <v>50</v>
      </c>
      <c r="P146" s="1">
        <v>94</v>
      </c>
      <c r="Q146" s="1">
        <v>25</v>
      </c>
    </row>
    <row r="147" spans="1:17" ht="15.75" customHeight="1">
      <c r="A147" s="1">
        <v>2015</v>
      </c>
      <c r="B147" s="1">
        <v>150</v>
      </c>
      <c r="C147" s="1" t="s">
        <v>238</v>
      </c>
      <c r="D147" s="1">
        <v>3.6219999999999999</v>
      </c>
      <c r="E147" s="1" t="s">
        <v>239</v>
      </c>
      <c r="F147" s="1">
        <v>131</v>
      </c>
      <c r="G147" s="1">
        <v>123</v>
      </c>
      <c r="H147" s="1">
        <v>135</v>
      </c>
      <c r="I147" s="1">
        <v>131</v>
      </c>
      <c r="J147" s="1">
        <v>97</v>
      </c>
      <c r="K147" s="1">
        <v>130</v>
      </c>
      <c r="L147" s="1">
        <v>116</v>
      </c>
      <c r="M147" s="1">
        <v>130</v>
      </c>
      <c r="N147" s="1">
        <v>132</v>
      </c>
      <c r="O147" s="1">
        <v>130</v>
      </c>
      <c r="P147" s="1">
        <v>18</v>
      </c>
      <c r="Q147" s="1">
        <v>13</v>
      </c>
    </row>
    <row r="148" spans="1:17" ht="15.75" customHeight="1">
      <c r="A148" s="1">
        <v>2015</v>
      </c>
      <c r="B148" s="1">
        <v>151</v>
      </c>
      <c r="C148" s="1" t="s">
        <v>240</v>
      </c>
      <c r="D148" s="1">
        <v>3.6070000000000002</v>
      </c>
      <c r="E148" s="1" t="s">
        <v>241</v>
      </c>
      <c r="F148" s="1">
        <v>43</v>
      </c>
      <c r="G148" s="1">
        <v>132</v>
      </c>
      <c r="H148" s="1">
        <v>125</v>
      </c>
      <c r="I148" s="1">
        <v>127</v>
      </c>
      <c r="J148" s="1">
        <v>100</v>
      </c>
      <c r="K148" s="1">
        <v>107</v>
      </c>
      <c r="L148" s="1">
        <v>53</v>
      </c>
      <c r="M148" s="1">
        <v>71</v>
      </c>
      <c r="N148" s="1">
        <v>68</v>
      </c>
      <c r="O148" s="1">
        <v>107</v>
      </c>
      <c r="P148" s="1">
        <v>68</v>
      </c>
      <c r="Q148" s="1">
        <v>28</v>
      </c>
    </row>
    <row r="149" spans="1:17" ht="15.75" customHeight="1">
      <c r="A149" s="1">
        <v>2015</v>
      </c>
      <c r="B149" s="1">
        <v>152</v>
      </c>
      <c r="C149" s="1" t="s">
        <v>242</v>
      </c>
      <c r="D149" s="1">
        <v>3.5150000000000001</v>
      </c>
      <c r="E149" s="1" t="s">
        <v>243</v>
      </c>
      <c r="F149" s="1">
        <v>24</v>
      </c>
      <c r="G149" s="1">
        <v>115</v>
      </c>
      <c r="H149" s="1">
        <v>131</v>
      </c>
      <c r="I149" s="1">
        <v>106</v>
      </c>
      <c r="J149" s="1">
        <v>18</v>
      </c>
      <c r="K149" s="1">
        <v>101</v>
      </c>
      <c r="L149" s="1">
        <v>1</v>
      </c>
      <c r="M149" s="1">
        <v>56</v>
      </c>
      <c r="N149" s="1">
        <v>31</v>
      </c>
      <c r="O149" s="1">
        <v>101</v>
      </c>
      <c r="P149" s="1">
        <v>104</v>
      </c>
      <c r="Q149" s="1">
        <v>121</v>
      </c>
    </row>
    <row r="150" spans="1:17" ht="15.75" customHeight="1">
      <c r="A150" s="1">
        <v>2015</v>
      </c>
      <c r="B150" s="1">
        <v>153</v>
      </c>
      <c r="C150" s="1" t="s">
        <v>244</v>
      </c>
      <c r="D150" s="1">
        <v>3.484</v>
      </c>
      <c r="E150" s="1" t="s">
        <v>101</v>
      </c>
      <c r="F150" s="1">
        <v>66</v>
      </c>
      <c r="G150" s="1">
        <v>141</v>
      </c>
      <c r="H150" s="1">
        <v>124</v>
      </c>
      <c r="I150" s="1">
        <v>114</v>
      </c>
      <c r="J150" s="1">
        <v>81</v>
      </c>
      <c r="K150" s="1">
        <v>112</v>
      </c>
      <c r="L150" s="1">
        <v>88</v>
      </c>
      <c r="M150" s="1">
        <v>114</v>
      </c>
      <c r="N150" s="1">
        <v>127</v>
      </c>
      <c r="O150" s="1">
        <v>112</v>
      </c>
      <c r="P150" s="1">
        <v>81</v>
      </c>
      <c r="Q150" s="1">
        <v>97</v>
      </c>
    </row>
    <row r="151" spans="1:17" ht="15.75" customHeight="1">
      <c r="A151" s="1">
        <v>2015</v>
      </c>
      <c r="B151" s="1">
        <v>154</v>
      </c>
      <c r="C151" s="1" t="s">
        <v>245</v>
      </c>
      <c r="D151" s="1">
        <v>3.36</v>
      </c>
      <c r="E151" s="1" t="s">
        <v>246</v>
      </c>
      <c r="F151" s="1">
        <v>82</v>
      </c>
      <c r="G151" s="1">
        <v>136</v>
      </c>
      <c r="H151" s="1">
        <v>123</v>
      </c>
      <c r="I151" s="1">
        <v>130</v>
      </c>
      <c r="J151" s="1">
        <v>139</v>
      </c>
      <c r="K151" s="1">
        <v>72</v>
      </c>
      <c r="L151" s="1">
        <v>106</v>
      </c>
      <c r="M151" s="1">
        <v>132</v>
      </c>
      <c r="N151" s="1">
        <v>110</v>
      </c>
      <c r="O151" s="1">
        <v>72</v>
      </c>
      <c r="P151" s="1">
        <v>100</v>
      </c>
      <c r="Q151" s="1">
        <v>52</v>
      </c>
    </row>
    <row r="152" spans="1:17" ht="15.75" customHeight="1">
      <c r="A152" s="1">
        <v>2015</v>
      </c>
      <c r="B152" s="1">
        <v>155</v>
      </c>
      <c r="C152" s="1" t="s">
        <v>247</v>
      </c>
      <c r="D152" s="1">
        <v>3.3029999999999999</v>
      </c>
      <c r="E152" s="1">
        <v>0.36699999999999999</v>
      </c>
      <c r="F152" s="1">
        <v>94</v>
      </c>
      <c r="G152" s="1">
        <v>139</v>
      </c>
      <c r="H152" s="1">
        <v>129</v>
      </c>
      <c r="I152" s="1">
        <v>119</v>
      </c>
      <c r="J152" s="1">
        <v>71</v>
      </c>
      <c r="K152" s="1">
        <v>135</v>
      </c>
      <c r="L152" s="1">
        <v>47</v>
      </c>
      <c r="M152" s="1">
        <v>101</v>
      </c>
      <c r="N152" s="1">
        <v>136</v>
      </c>
      <c r="O152" s="1">
        <v>135</v>
      </c>
      <c r="P152" s="1">
        <v>75</v>
      </c>
      <c r="Q152" s="1">
        <v>65</v>
      </c>
    </row>
    <row r="153" spans="1:17" ht="15.75" customHeight="1">
      <c r="A153" s="1">
        <v>2015</v>
      </c>
      <c r="B153" s="1">
        <v>156</v>
      </c>
      <c r="C153" s="1" t="s">
        <v>248</v>
      </c>
      <c r="D153" s="1">
        <v>3.069</v>
      </c>
      <c r="E153" s="1" t="s">
        <v>249</v>
      </c>
      <c r="F153" s="1">
        <v>132</v>
      </c>
      <c r="G153" s="1">
        <v>140</v>
      </c>
      <c r="H153" s="1">
        <v>110</v>
      </c>
      <c r="I153" s="1">
        <v>126</v>
      </c>
      <c r="J153" s="1">
        <v>135</v>
      </c>
      <c r="K153" s="1">
        <v>65</v>
      </c>
      <c r="L153" s="1">
        <v>35</v>
      </c>
      <c r="M153" s="1">
        <v>141</v>
      </c>
      <c r="N153" s="1">
        <v>141</v>
      </c>
      <c r="O153" s="1">
        <v>65</v>
      </c>
      <c r="P153" s="1">
        <v>69</v>
      </c>
      <c r="Q153" s="1">
        <v>32</v>
      </c>
    </row>
    <row r="154" spans="1:17" ht="15.75" customHeight="1">
      <c r="A154" s="1">
        <v>2015</v>
      </c>
      <c r="B154" s="1">
        <v>157</v>
      </c>
      <c r="C154" s="1" t="s">
        <v>250</v>
      </c>
      <c r="D154" s="1">
        <v>2.9049999999999998</v>
      </c>
      <c r="E154" s="1" t="s">
        <v>251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5.75" customHeight="1">
      <c r="A155" s="1">
        <v>2015</v>
      </c>
      <c r="B155" s="1"/>
      <c r="C155" s="1" t="s">
        <v>252</v>
      </c>
      <c r="D155" s="1"/>
      <c r="E155" s="1"/>
      <c r="F155" s="1">
        <v>137</v>
      </c>
      <c r="G155" s="1">
        <v>117</v>
      </c>
      <c r="H155" s="1">
        <v>138</v>
      </c>
      <c r="I155" s="1">
        <v>136</v>
      </c>
      <c r="J155" s="1">
        <v>49</v>
      </c>
      <c r="K155" s="1">
        <v>86</v>
      </c>
      <c r="L155" s="1">
        <v>24</v>
      </c>
      <c r="M155" s="1">
        <v>108</v>
      </c>
      <c r="N155" s="1">
        <v>111</v>
      </c>
      <c r="O155" s="1">
        <v>86</v>
      </c>
      <c r="P155" s="1">
        <v>31</v>
      </c>
      <c r="Q155" s="1">
        <v>66</v>
      </c>
    </row>
    <row r="156" spans="1:17" ht="15.75" customHeight="1">
      <c r="A156" s="1">
        <v>2016</v>
      </c>
      <c r="B156" s="1">
        <v>1</v>
      </c>
      <c r="C156" s="1" t="s">
        <v>35</v>
      </c>
      <c r="D156" s="1">
        <v>7.5369999999999999</v>
      </c>
      <c r="E156" s="1" t="s">
        <v>253</v>
      </c>
      <c r="F156" s="1">
        <v>9</v>
      </c>
      <c r="G156" s="1">
        <v>2</v>
      </c>
      <c r="H156" s="1">
        <v>3</v>
      </c>
      <c r="I156" s="1">
        <v>12</v>
      </c>
      <c r="J156" s="1">
        <v>3</v>
      </c>
      <c r="K156" s="1">
        <v>17</v>
      </c>
      <c r="L156" s="1">
        <v>13</v>
      </c>
      <c r="M156" s="1">
        <v>6</v>
      </c>
      <c r="N156" s="1">
        <v>30</v>
      </c>
      <c r="O156" s="1">
        <v>17</v>
      </c>
      <c r="P156" s="1">
        <v>26</v>
      </c>
      <c r="Q156" s="1">
        <v>76</v>
      </c>
    </row>
    <row r="157" spans="1:17" ht="15.75" customHeight="1">
      <c r="A157" s="1">
        <v>2016</v>
      </c>
      <c r="B157" s="1">
        <v>2</v>
      </c>
      <c r="C157" s="1" t="s">
        <v>30</v>
      </c>
      <c r="D157" s="1">
        <v>7.5220000000000002</v>
      </c>
      <c r="E157" s="1" t="s">
        <v>254</v>
      </c>
      <c r="F157" s="1">
        <v>11</v>
      </c>
      <c r="G157" s="1">
        <v>4</v>
      </c>
      <c r="H157" s="1">
        <v>10</v>
      </c>
      <c r="I157" s="1">
        <v>20</v>
      </c>
      <c r="J157" s="1">
        <v>7</v>
      </c>
      <c r="K157" s="1">
        <v>18</v>
      </c>
      <c r="L157" s="1">
        <v>3</v>
      </c>
      <c r="M157" s="1">
        <v>15</v>
      </c>
      <c r="N157" s="1">
        <v>28</v>
      </c>
      <c r="O157" s="1">
        <v>18</v>
      </c>
      <c r="P157" s="1">
        <v>58</v>
      </c>
      <c r="Q157" s="1">
        <v>42</v>
      </c>
    </row>
    <row r="158" spans="1:17" ht="15.75" customHeight="1">
      <c r="A158" s="1">
        <v>2016</v>
      </c>
      <c r="B158" s="1">
        <v>3</v>
      </c>
      <c r="C158" s="1" t="s">
        <v>34</v>
      </c>
      <c r="D158" s="1">
        <v>7.5039999999999996</v>
      </c>
      <c r="E158" s="1">
        <v>0.14899999999999999</v>
      </c>
      <c r="F158" s="1">
        <v>8</v>
      </c>
      <c r="G158" s="1">
        <v>1</v>
      </c>
      <c r="H158" s="1">
        <v>11</v>
      </c>
      <c r="I158" s="1">
        <v>9</v>
      </c>
      <c r="J158" s="1">
        <v>4</v>
      </c>
      <c r="K158" s="1">
        <v>4</v>
      </c>
      <c r="L158" s="1">
        <v>35</v>
      </c>
      <c r="M158" s="1">
        <v>7</v>
      </c>
      <c r="N158" s="1">
        <v>9</v>
      </c>
      <c r="O158" s="1">
        <v>4</v>
      </c>
      <c r="P158" s="1">
        <v>39</v>
      </c>
      <c r="Q158" s="1">
        <v>93</v>
      </c>
    </row>
    <row r="159" spans="1:17" ht="15.75" customHeight="1">
      <c r="A159" s="1">
        <v>2016</v>
      </c>
      <c r="B159" s="1">
        <v>4</v>
      </c>
      <c r="C159" s="1" t="s">
        <v>32</v>
      </c>
      <c r="D159" s="1">
        <v>7.4939999999999998</v>
      </c>
      <c r="E159" s="1" t="s">
        <v>255</v>
      </c>
      <c r="F159" s="1">
        <v>20</v>
      </c>
      <c r="G159" s="1">
        <v>23</v>
      </c>
      <c r="H159" s="1">
        <v>5</v>
      </c>
      <c r="I159" s="1">
        <v>8</v>
      </c>
      <c r="J159" s="1">
        <v>8</v>
      </c>
      <c r="K159" s="1">
        <v>22</v>
      </c>
      <c r="L159" s="1">
        <v>7</v>
      </c>
      <c r="M159" s="1">
        <v>23</v>
      </c>
      <c r="N159" s="1">
        <v>26</v>
      </c>
      <c r="O159" s="1">
        <v>22</v>
      </c>
      <c r="P159" s="1">
        <v>20</v>
      </c>
      <c r="Q159" s="1">
        <v>110</v>
      </c>
    </row>
    <row r="160" spans="1:17" ht="15.75" customHeight="1">
      <c r="A160" s="1">
        <v>2016</v>
      </c>
      <c r="B160" s="1">
        <v>5</v>
      </c>
      <c r="C160" s="1" t="s">
        <v>37</v>
      </c>
      <c r="D160" s="1">
        <v>7.4690000000000003</v>
      </c>
      <c r="E160" s="1">
        <v>0.08</v>
      </c>
      <c r="F160" s="1">
        <v>5</v>
      </c>
      <c r="G160" s="1">
        <v>6</v>
      </c>
      <c r="H160" s="1">
        <v>20</v>
      </c>
      <c r="I160" s="1">
        <v>21</v>
      </c>
      <c r="J160" s="1">
        <v>6</v>
      </c>
      <c r="K160" s="1">
        <v>36</v>
      </c>
      <c r="L160" s="1">
        <v>5</v>
      </c>
      <c r="M160" s="1">
        <v>21</v>
      </c>
      <c r="N160" s="1">
        <v>13</v>
      </c>
      <c r="O160" s="1">
        <v>36</v>
      </c>
      <c r="P160" s="1">
        <v>32</v>
      </c>
      <c r="Q160" s="1">
        <v>49</v>
      </c>
    </row>
    <row r="161" spans="1:17" ht="15.75" customHeight="1">
      <c r="A161" s="1">
        <v>2016</v>
      </c>
      <c r="B161" s="1">
        <v>6</v>
      </c>
      <c r="C161" s="1" t="s">
        <v>40</v>
      </c>
      <c r="D161" s="1">
        <v>7.3769999999999998</v>
      </c>
      <c r="E161" s="1" t="s">
        <v>256</v>
      </c>
      <c r="F161" s="1">
        <v>2</v>
      </c>
      <c r="G161" s="1">
        <v>28</v>
      </c>
      <c r="H161" s="1">
        <v>8</v>
      </c>
      <c r="I161" s="1"/>
      <c r="J161" s="1">
        <v>18</v>
      </c>
      <c r="K161" s="1">
        <v>7</v>
      </c>
      <c r="L161" s="1">
        <v>14</v>
      </c>
      <c r="M161" s="1">
        <v>35</v>
      </c>
      <c r="N161" s="1">
        <v>33</v>
      </c>
      <c r="O161" s="1">
        <v>7</v>
      </c>
      <c r="P161" s="1">
        <v>15</v>
      </c>
      <c r="Q161" s="1">
        <v>65</v>
      </c>
    </row>
    <row r="162" spans="1:17" ht="15.75" customHeight="1">
      <c r="A162" s="1">
        <v>2016</v>
      </c>
      <c r="B162" s="1">
        <v>7</v>
      </c>
      <c r="C162" s="1" t="s">
        <v>38</v>
      </c>
      <c r="D162" s="1">
        <v>7.3159999999999998</v>
      </c>
      <c r="E162" s="1" t="s">
        <v>177</v>
      </c>
      <c r="F162" s="1">
        <v>30</v>
      </c>
      <c r="G162" s="1">
        <v>30</v>
      </c>
      <c r="H162" s="1">
        <v>18</v>
      </c>
      <c r="I162" s="1">
        <v>17</v>
      </c>
      <c r="J162" s="1">
        <v>15</v>
      </c>
      <c r="K162" s="1">
        <v>10</v>
      </c>
      <c r="L162" s="1">
        <v>9</v>
      </c>
      <c r="M162" s="1">
        <v>22</v>
      </c>
      <c r="N162" s="1">
        <v>51</v>
      </c>
      <c r="O162" s="1">
        <v>10</v>
      </c>
      <c r="P162" s="1">
        <v>16</v>
      </c>
      <c r="Q162" s="1">
        <v>18</v>
      </c>
    </row>
    <row r="163" spans="1:17" ht="15.75" customHeight="1">
      <c r="A163" s="1">
        <v>2016</v>
      </c>
      <c r="B163" s="1">
        <v>8</v>
      </c>
      <c r="C163" s="1" t="s">
        <v>42</v>
      </c>
      <c r="D163" s="1">
        <v>7.3140000000000001</v>
      </c>
      <c r="E163" s="1">
        <v>9.2999999999999999E-2</v>
      </c>
      <c r="F163" s="1">
        <v>24</v>
      </c>
      <c r="G163" s="1">
        <v>16</v>
      </c>
      <c r="H163" s="1">
        <v>27</v>
      </c>
      <c r="I163" s="1">
        <v>26</v>
      </c>
      <c r="J163" s="1">
        <v>9</v>
      </c>
      <c r="K163" s="1">
        <v>6</v>
      </c>
      <c r="L163" s="1">
        <v>6</v>
      </c>
      <c r="M163" s="1">
        <v>17</v>
      </c>
      <c r="N163" s="1">
        <v>27</v>
      </c>
      <c r="O163" s="1">
        <v>6</v>
      </c>
      <c r="P163" s="1">
        <v>6</v>
      </c>
      <c r="Q163" s="1">
        <v>23</v>
      </c>
    </row>
    <row r="164" spans="1:17" ht="15.75" customHeight="1">
      <c r="A164" s="1">
        <v>2016</v>
      </c>
      <c r="B164" s="1">
        <v>9</v>
      </c>
      <c r="C164" s="1" t="s">
        <v>43</v>
      </c>
      <c r="D164" s="1">
        <v>7.2839999999999998</v>
      </c>
      <c r="E164" s="1" t="s">
        <v>257</v>
      </c>
      <c r="F164" s="1">
        <v>21</v>
      </c>
      <c r="G164" s="1">
        <v>10</v>
      </c>
      <c r="H164" s="1">
        <v>17</v>
      </c>
      <c r="I164" s="1">
        <v>16</v>
      </c>
      <c r="J164" s="1">
        <v>11</v>
      </c>
      <c r="K164" s="1">
        <v>9</v>
      </c>
      <c r="L164" s="1">
        <v>11</v>
      </c>
      <c r="M164" s="1">
        <v>37</v>
      </c>
      <c r="N164" s="1">
        <v>50</v>
      </c>
      <c r="O164" s="1">
        <v>9</v>
      </c>
      <c r="P164" s="1">
        <v>10</v>
      </c>
      <c r="Q164" s="1">
        <v>21</v>
      </c>
    </row>
    <row r="165" spans="1:17" ht="15.75" customHeight="1">
      <c r="A165" s="1">
        <v>2016</v>
      </c>
      <c r="B165" s="1">
        <v>10</v>
      </c>
      <c r="C165" s="1" t="s">
        <v>45</v>
      </c>
      <c r="D165" s="1">
        <v>7.2839999999999998</v>
      </c>
      <c r="E165" s="1" t="s">
        <v>258</v>
      </c>
      <c r="F165" s="1">
        <v>15</v>
      </c>
      <c r="G165" s="1">
        <v>35</v>
      </c>
      <c r="H165" s="1">
        <v>14</v>
      </c>
      <c r="I165" s="1">
        <v>11</v>
      </c>
      <c r="J165" s="1">
        <v>12</v>
      </c>
      <c r="K165" s="1">
        <v>16</v>
      </c>
      <c r="L165" s="1">
        <v>4</v>
      </c>
      <c r="M165" s="1">
        <v>24</v>
      </c>
      <c r="N165" s="1">
        <v>22</v>
      </c>
      <c r="O165" s="1">
        <v>16</v>
      </c>
      <c r="P165" s="1">
        <v>97</v>
      </c>
      <c r="Q165" s="1">
        <v>58</v>
      </c>
    </row>
    <row r="166" spans="1:17" ht="15.75" customHeight="1">
      <c r="A166" s="1">
        <v>2016</v>
      </c>
      <c r="B166" s="1">
        <v>11</v>
      </c>
      <c r="C166" s="1" t="s">
        <v>47</v>
      </c>
      <c r="D166" s="1">
        <v>7.2130000000000001</v>
      </c>
      <c r="E166" s="1" t="s">
        <v>259</v>
      </c>
      <c r="F166" s="1">
        <v>16</v>
      </c>
      <c r="G166" s="1">
        <v>51</v>
      </c>
      <c r="H166" s="1">
        <v>32</v>
      </c>
      <c r="I166" s="1">
        <v>7</v>
      </c>
      <c r="J166" s="1">
        <v>73</v>
      </c>
      <c r="K166" s="1">
        <v>19</v>
      </c>
      <c r="L166" s="1">
        <v>63</v>
      </c>
      <c r="M166" s="1">
        <v>93</v>
      </c>
      <c r="N166" s="1">
        <v>65</v>
      </c>
      <c r="O166" s="1">
        <v>19</v>
      </c>
      <c r="P166" s="1">
        <v>44</v>
      </c>
      <c r="Q166" s="1">
        <v>94</v>
      </c>
    </row>
    <row r="167" spans="1:17" ht="15.75" customHeight="1">
      <c r="A167" s="1">
        <v>2016</v>
      </c>
      <c r="B167" s="1">
        <v>12</v>
      </c>
      <c r="C167" s="1" t="s">
        <v>52</v>
      </c>
      <c r="D167" s="1">
        <v>7.0789999999999997</v>
      </c>
      <c r="E167" s="1" t="s">
        <v>260</v>
      </c>
      <c r="F167" s="1">
        <v>77</v>
      </c>
      <c r="G167" s="1">
        <v>41</v>
      </c>
      <c r="H167" s="1">
        <v>55</v>
      </c>
      <c r="I167" s="1">
        <v>31</v>
      </c>
      <c r="J167" s="1">
        <v>31</v>
      </c>
      <c r="K167" s="1">
        <v>58</v>
      </c>
      <c r="L167" s="1">
        <v>50</v>
      </c>
      <c r="M167" s="1">
        <v>2</v>
      </c>
      <c r="N167" s="1">
        <v>74</v>
      </c>
      <c r="O167" s="1">
        <v>58</v>
      </c>
      <c r="P167" s="1">
        <v>54</v>
      </c>
      <c r="Q167" s="1">
        <v>26</v>
      </c>
    </row>
    <row r="168" spans="1:17" ht="15.75" customHeight="1">
      <c r="A168" s="1">
        <v>2016</v>
      </c>
      <c r="B168" s="1">
        <v>13</v>
      </c>
      <c r="C168" s="1" t="s">
        <v>49</v>
      </c>
      <c r="D168" s="1">
        <v>7.0060000000000002</v>
      </c>
      <c r="E168" s="1" t="s">
        <v>261</v>
      </c>
      <c r="F168" s="1">
        <v>22</v>
      </c>
      <c r="G168" s="1">
        <v>26</v>
      </c>
      <c r="H168" s="1">
        <v>12</v>
      </c>
      <c r="I168" s="1">
        <v>18</v>
      </c>
      <c r="J168" s="1">
        <v>23</v>
      </c>
      <c r="K168" s="1">
        <v>25</v>
      </c>
      <c r="L168" s="1">
        <v>19</v>
      </c>
      <c r="M168" s="1">
        <v>47</v>
      </c>
      <c r="N168" s="1">
        <v>21</v>
      </c>
      <c r="O168" s="1">
        <v>25</v>
      </c>
      <c r="P168" s="1">
        <v>33</v>
      </c>
      <c r="Q168" s="1">
        <v>64</v>
      </c>
    </row>
    <row r="169" spans="1:17" ht="15.75" customHeight="1">
      <c r="A169" s="1">
        <v>2016</v>
      </c>
      <c r="B169" s="1">
        <v>14</v>
      </c>
      <c r="C169" s="1" t="s">
        <v>51</v>
      </c>
      <c r="D169" s="1">
        <v>6.9930000000000003</v>
      </c>
      <c r="E169" s="1" t="s">
        <v>262</v>
      </c>
      <c r="F169" s="1">
        <v>57</v>
      </c>
      <c r="G169" s="1">
        <v>45</v>
      </c>
      <c r="H169" s="1">
        <v>7</v>
      </c>
      <c r="I169" s="1">
        <v>56</v>
      </c>
      <c r="J169" s="1">
        <v>79</v>
      </c>
      <c r="K169" s="1">
        <v>13</v>
      </c>
      <c r="L169" s="1">
        <v>41</v>
      </c>
      <c r="M169" s="1">
        <v>34</v>
      </c>
      <c r="N169" s="1">
        <v>67</v>
      </c>
      <c r="O169" s="1">
        <v>13</v>
      </c>
      <c r="P169" s="1">
        <v>7</v>
      </c>
      <c r="Q169" s="1">
        <v>8</v>
      </c>
    </row>
    <row r="170" spans="1:17" ht="15.75" customHeight="1">
      <c r="A170" s="1">
        <v>2016</v>
      </c>
      <c r="B170" s="1">
        <v>15</v>
      </c>
      <c r="C170" s="8" t="s">
        <v>263</v>
      </c>
      <c r="D170" s="5">
        <v>6.9770000000000003</v>
      </c>
      <c r="E170" s="9" t="s">
        <v>264</v>
      </c>
      <c r="F170" s="6">
        <v>37</v>
      </c>
      <c r="G170" s="6">
        <v>3</v>
      </c>
      <c r="H170" s="6">
        <v>4</v>
      </c>
      <c r="I170" s="10">
        <v>19</v>
      </c>
      <c r="J170" s="6">
        <v>30</v>
      </c>
      <c r="K170" s="6">
        <v>11</v>
      </c>
      <c r="L170" s="6">
        <v>10</v>
      </c>
      <c r="M170" s="6">
        <v>28</v>
      </c>
      <c r="N170" s="6">
        <v>31</v>
      </c>
      <c r="O170" s="6">
        <v>11</v>
      </c>
      <c r="P170" s="6">
        <v>11</v>
      </c>
      <c r="Q170" s="6">
        <v>28</v>
      </c>
    </row>
    <row r="171" spans="1:17" ht="15.75" customHeight="1">
      <c r="A171" s="1">
        <v>2016</v>
      </c>
      <c r="B171" s="1">
        <v>16</v>
      </c>
      <c r="C171" s="8" t="s">
        <v>265</v>
      </c>
      <c r="D171" s="5">
        <v>6.9509999999999996</v>
      </c>
      <c r="E171" s="6">
        <v>0.27900000000000003</v>
      </c>
      <c r="F171" s="6">
        <v>29</v>
      </c>
      <c r="G171" s="6">
        <v>38</v>
      </c>
      <c r="H171" s="6">
        <v>13</v>
      </c>
      <c r="I171" s="7">
        <v>30</v>
      </c>
      <c r="J171" s="6">
        <v>34</v>
      </c>
      <c r="K171" s="6">
        <v>15</v>
      </c>
      <c r="L171" s="6">
        <v>16</v>
      </c>
      <c r="M171" s="6">
        <v>52</v>
      </c>
      <c r="N171" s="6">
        <v>15</v>
      </c>
      <c r="O171" s="6">
        <v>15</v>
      </c>
      <c r="P171" s="6">
        <v>56</v>
      </c>
      <c r="Q171" s="6">
        <v>41</v>
      </c>
    </row>
    <row r="172" spans="1:17" ht="15.75" customHeight="1">
      <c r="A172" s="1">
        <v>2016</v>
      </c>
      <c r="B172" s="1">
        <v>17</v>
      </c>
      <c r="C172" s="8" t="s">
        <v>266</v>
      </c>
      <c r="D172" s="5">
        <v>6.891</v>
      </c>
      <c r="E172" s="9" t="s">
        <v>267</v>
      </c>
      <c r="F172" s="6">
        <v>6</v>
      </c>
      <c r="G172" s="6">
        <v>21</v>
      </c>
      <c r="H172" s="6">
        <v>15</v>
      </c>
      <c r="I172" s="10">
        <v>27</v>
      </c>
      <c r="J172" s="6">
        <v>35</v>
      </c>
      <c r="K172" s="6">
        <v>42</v>
      </c>
      <c r="L172" s="6">
        <v>18</v>
      </c>
      <c r="M172" s="6">
        <v>55</v>
      </c>
      <c r="N172" s="6">
        <v>64</v>
      </c>
      <c r="O172" s="6">
        <v>42</v>
      </c>
      <c r="P172" s="6">
        <v>40</v>
      </c>
      <c r="Q172" s="6">
        <v>82</v>
      </c>
    </row>
    <row r="173" spans="1:17" ht="15.75" customHeight="1">
      <c r="A173" s="1">
        <v>2016</v>
      </c>
      <c r="B173" s="1">
        <v>18</v>
      </c>
      <c r="C173" s="1" t="s">
        <v>59</v>
      </c>
      <c r="D173" s="1">
        <v>6.8630000000000004</v>
      </c>
      <c r="E173" s="1" t="s">
        <v>268</v>
      </c>
      <c r="F173" s="1">
        <v>4</v>
      </c>
      <c r="G173" s="1">
        <v>12</v>
      </c>
      <c r="H173" s="1">
        <v>1</v>
      </c>
      <c r="I173" s="1">
        <v>6</v>
      </c>
      <c r="J173" s="1">
        <v>26</v>
      </c>
      <c r="K173" s="1">
        <v>26</v>
      </c>
      <c r="L173" s="1">
        <v>8</v>
      </c>
      <c r="M173" s="1">
        <v>54</v>
      </c>
      <c r="N173" s="1">
        <v>17</v>
      </c>
      <c r="O173" s="1">
        <v>26</v>
      </c>
      <c r="P173" s="1">
        <v>31</v>
      </c>
      <c r="Q173" s="1">
        <v>117</v>
      </c>
    </row>
    <row r="174" spans="1:17" ht="15.75" customHeight="1">
      <c r="A174" s="1">
        <v>2016</v>
      </c>
      <c r="B174" s="1">
        <v>19</v>
      </c>
      <c r="C174" s="1" t="s">
        <v>64</v>
      </c>
      <c r="D174" s="1">
        <v>6.7140000000000004</v>
      </c>
      <c r="E174" s="1" t="s">
        <v>58</v>
      </c>
      <c r="F174" s="1">
        <v>13</v>
      </c>
      <c r="G174" s="1">
        <v>5</v>
      </c>
      <c r="H174" s="1">
        <v>24</v>
      </c>
      <c r="I174" s="1">
        <v>28</v>
      </c>
      <c r="J174" s="1">
        <v>54</v>
      </c>
      <c r="K174" s="1">
        <v>8</v>
      </c>
      <c r="L174" s="1">
        <v>17</v>
      </c>
      <c r="M174" s="1">
        <v>40</v>
      </c>
      <c r="N174" s="1">
        <v>45</v>
      </c>
      <c r="O174" s="1">
        <v>8</v>
      </c>
      <c r="P174" s="1">
        <v>29</v>
      </c>
      <c r="Q174" s="1">
        <v>40</v>
      </c>
    </row>
    <row r="175" spans="1:17" ht="15.75" customHeight="1">
      <c r="A175" s="1">
        <v>2016</v>
      </c>
      <c r="B175" s="1">
        <v>20</v>
      </c>
      <c r="C175" s="1" t="s">
        <v>66</v>
      </c>
      <c r="D175" s="1">
        <v>6.6520000000000001</v>
      </c>
      <c r="E175" s="1">
        <v>6.5000000000000002E-2</v>
      </c>
      <c r="F175" s="1">
        <v>59</v>
      </c>
      <c r="G175" s="1">
        <v>70</v>
      </c>
      <c r="H175" s="1">
        <v>49</v>
      </c>
      <c r="I175" s="1">
        <v>32</v>
      </c>
      <c r="J175" s="1">
        <v>112</v>
      </c>
      <c r="K175" s="1">
        <v>30</v>
      </c>
      <c r="L175" s="1">
        <v>91</v>
      </c>
      <c r="M175" s="1">
        <v>11</v>
      </c>
      <c r="N175" s="1">
        <v>75</v>
      </c>
      <c r="O175" s="1">
        <v>30</v>
      </c>
      <c r="P175" s="1">
        <v>100</v>
      </c>
      <c r="Q175" s="1">
        <v>69</v>
      </c>
    </row>
    <row r="176" spans="1:17" ht="15.75" customHeight="1">
      <c r="A176" s="1">
        <v>2016</v>
      </c>
      <c r="B176" s="1">
        <v>21</v>
      </c>
      <c r="C176" s="1" t="s">
        <v>71</v>
      </c>
      <c r="D176" s="1">
        <v>6.6479999999999997</v>
      </c>
      <c r="E176" s="1" t="s">
        <v>269</v>
      </c>
      <c r="F176" s="1">
        <v>79</v>
      </c>
      <c r="G176" s="1">
        <v>67</v>
      </c>
      <c r="H176" s="1">
        <v>6</v>
      </c>
      <c r="I176" s="1">
        <v>29</v>
      </c>
      <c r="J176" s="1">
        <v>5</v>
      </c>
      <c r="K176" s="1">
        <v>14</v>
      </c>
      <c r="L176" s="1">
        <v>32</v>
      </c>
      <c r="M176" s="1">
        <v>54</v>
      </c>
      <c r="N176" s="1">
        <v>14</v>
      </c>
      <c r="O176" s="1">
        <v>35</v>
      </c>
      <c r="P176" s="1">
        <v>13</v>
      </c>
      <c r="Q176" s="1"/>
    </row>
    <row r="177" spans="1:17" ht="15.75" customHeight="1">
      <c r="A177" s="1">
        <v>2016</v>
      </c>
      <c r="B177" s="1">
        <v>22</v>
      </c>
      <c r="C177" s="1" t="s">
        <v>54</v>
      </c>
      <c r="D177" s="1">
        <v>6.6349999999999998</v>
      </c>
      <c r="E177" s="1" t="s">
        <v>270</v>
      </c>
      <c r="F177" s="1">
        <v>113</v>
      </c>
      <c r="G177" s="1">
        <v>34</v>
      </c>
      <c r="H177" s="1">
        <v>64</v>
      </c>
      <c r="I177" s="1">
        <v>75</v>
      </c>
      <c r="J177" s="1">
        <v>61</v>
      </c>
      <c r="K177" s="1">
        <v>86</v>
      </c>
      <c r="L177" s="1">
        <v>51</v>
      </c>
      <c r="M177" s="1">
        <v>49</v>
      </c>
      <c r="N177" s="1">
        <v>87</v>
      </c>
      <c r="O177" s="1">
        <v>86</v>
      </c>
      <c r="P177" s="1">
        <v>63</v>
      </c>
      <c r="Q177" s="1">
        <v>55</v>
      </c>
    </row>
    <row r="178" spans="1:17" ht="15.75" customHeight="1">
      <c r="A178" s="1">
        <v>2016</v>
      </c>
      <c r="B178" s="1">
        <v>23</v>
      </c>
      <c r="C178" s="1" t="s">
        <v>70</v>
      </c>
      <c r="D178" s="1">
        <v>6.609</v>
      </c>
      <c r="E178" s="1">
        <v>0.31900000000000001</v>
      </c>
      <c r="F178" s="1">
        <v>18</v>
      </c>
      <c r="G178" s="1">
        <v>18</v>
      </c>
      <c r="H178" s="1">
        <v>31</v>
      </c>
      <c r="I178" s="1">
        <v>34</v>
      </c>
      <c r="J178" s="1">
        <v>39</v>
      </c>
      <c r="K178" s="1">
        <v>101</v>
      </c>
      <c r="L178" s="1">
        <v>113</v>
      </c>
      <c r="M178" s="1">
        <v>51</v>
      </c>
      <c r="N178" s="1">
        <v>23</v>
      </c>
      <c r="O178" s="1">
        <v>101</v>
      </c>
      <c r="P178" s="1">
        <v>99</v>
      </c>
      <c r="Q178" s="1">
        <v>137</v>
      </c>
    </row>
    <row r="179" spans="1:17" ht="15.75" customHeight="1">
      <c r="A179" s="1">
        <v>2016</v>
      </c>
      <c r="B179" s="1">
        <v>24</v>
      </c>
      <c r="C179" s="1" t="s">
        <v>69</v>
      </c>
      <c r="D179" s="1">
        <v>6.5990000000000002</v>
      </c>
      <c r="E179" s="1">
        <v>3.6999999999999998E-2</v>
      </c>
      <c r="F179" s="1">
        <v>73</v>
      </c>
      <c r="G179" s="1">
        <v>54</v>
      </c>
      <c r="H179" s="1">
        <v>50</v>
      </c>
      <c r="I179" s="1">
        <v>54</v>
      </c>
      <c r="J179" s="1">
        <v>41</v>
      </c>
      <c r="K179" s="1">
        <v>110</v>
      </c>
      <c r="L179" s="1">
        <v>88</v>
      </c>
      <c r="M179" s="1">
        <v>41</v>
      </c>
      <c r="N179" s="1">
        <v>92</v>
      </c>
      <c r="O179" s="1">
        <v>110</v>
      </c>
      <c r="P179" s="1">
        <v>68</v>
      </c>
      <c r="Q179" s="1">
        <v>47</v>
      </c>
    </row>
    <row r="180" spans="1:17" ht="15.75" customHeight="1">
      <c r="A180" s="1">
        <v>2016</v>
      </c>
      <c r="B180" s="1">
        <v>25</v>
      </c>
      <c r="C180" s="1" t="s">
        <v>61</v>
      </c>
      <c r="D180" s="1">
        <v>6.5780000000000003</v>
      </c>
      <c r="E180" s="1" t="s">
        <v>271</v>
      </c>
      <c r="F180" s="1">
        <v>52</v>
      </c>
      <c r="G180" s="1">
        <v>49</v>
      </c>
      <c r="H180" s="1">
        <v>57</v>
      </c>
      <c r="I180" s="1">
        <v>65</v>
      </c>
      <c r="J180" s="1">
        <v>81</v>
      </c>
      <c r="K180" s="1">
        <v>102</v>
      </c>
      <c r="L180" s="1">
        <v>64</v>
      </c>
      <c r="M180" s="1">
        <v>10</v>
      </c>
      <c r="N180" s="1">
        <v>35</v>
      </c>
      <c r="O180" s="1">
        <v>102</v>
      </c>
      <c r="P180" s="1">
        <v>103</v>
      </c>
      <c r="Q180" s="1">
        <v>83</v>
      </c>
    </row>
    <row r="181" spans="1:17" ht="15.75" customHeight="1">
      <c r="A181" s="1">
        <v>2016</v>
      </c>
      <c r="B181" s="1">
        <v>26</v>
      </c>
      <c r="C181" s="1" t="s">
        <v>63</v>
      </c>
      <c r="D181" s="1">
        <v>6.5720000000000001</v>
      </c>
      <c r="E181" s="1">
        <v>2.5999999999999999E-2</v>
      </c>
      <c r="F181" s="1">
        <v>3</v>
      </c>
      <c r="G181" s="1">
        <v>29</v>
      </c>
      <c r="H181" s="1">
        <v>2</v>
      </c>
      <c r="I181" s="1">
        <v>1</v>
      </c>
      <c r="J181" s="1">
        <v>19</v>
      </c>
      <c r="K181" s="1">
        <v>12</v>
      </c>
      <c r="L181" s="1">
        <v>1</v>
      </c>
      <c r="M181" s="1">
        <v>27</v>
      </c>
      <c r="N181" s="1">
        <v>2</v>
      </c>
      <c r="O181" s="1">
        <v>12</v>
      </c>
      <c r="P181" s="1">
        <v>42</v>
      </c>
      <c r="Q181" s="1">
        <v>104</v>
      </c>
    </row>
    <row r="182" spans="1:17" ht="15.75" customHeight="1">
      <c r="A182" s="1">
        <v>2016</v>
      </c>
      <c r="B182" s="1">
        <v>27</v>
      </c>
      <c r="C182" s="1" t="s">
        <v>74</v>
      </c>
      <c r="D182" s="1">
        <v>6.5270000000000001</v>
      </c>
      <c r="E182" s="1">
        <v>0.56299999999999994</v>
      </c>
      <c r="F182" s="1">
        <v>43</v>
      </c>
      <c r="G182" s="1">
        <v>19</v>
      </c>
      <c r="H182" s="1">
        <v>26</v>
      </c>
      <c r="I182" s="1">
        <v>10</v>
      </c>
      <c r="J182" s="1">
        <v>14</v>
      </c>
      <c r="K182" s="1">
        <v>3</v>
      </c>
      <c r="L182" s="1">
        <v>29</v>
      </c>
      <c r="M182" s="1">
        <v>79</v>
      </c>
      <c r="N182" s="1">
        <v>112</v>
      </c>
      <c r="O182" s="1">
        <v>3</v>
      </c>
      <c r="P182" s="1">
        <v>37</v>
      </c>
      <c r="Q182" s="1">
        <v>87</v>
      </c>
    </row>
    <row r="183" spans="1:17" ht="15.75" customHeight="1">
      <c r="A183" s="1">
        <v>2016</v>
      </c>
      <c r="B183" s="1">
        <v>28</v>
      </c>
      <c r="C183" s="1" t="s">
        <v>73</v>
      </c>
      <c r="D183" s="1">
        <v>6.4539999999999997</v>
      </c>
      <c r="E183" s="1">
        <v>9.9000000000000005E-2</v>
      </c>
      <c r="F183" s="1">
        <v>97</v>
      </c>
      <c r="G183" s="1">
        <v>42</v>
      </c>
      <c r="H183" s="1">
        <v>48</v>
      </c>
      <c r="I183" s="1">
        <v>49</v>
      </c>
      <c r="J183" s="1">
        <v>24</v>
      </c>
      <c r="K183" s="1">
        <v>71</v>
      </c>
      <c r="L183" s="1">
        <v>27</v>
      </c>
      <c r="M183" s="1">
        <v>39</v>
      </c>
      <c r="N183" s="1">
        <v>76</v>
      </c>
      <c r="O183" s="1">
        <v>71</v>
      </c>
      <c r="P183" s="1">
        <v>76</v>
      </c>
      <c r="Q183" s="1">
        <v>35</v>
      </c>
    </row>
    <row r="184" spans="1:17" ht="15.75" customHeight="1">
      <c r="A184" s="1">
        <v>2016</v>
      </c>
      <c r="B184" s="1">
        <v>29</v>
      </c>
      <c r="C184" s="1" t="s">
        <v>86</v>
      </c>
      <c r="D184" s="1">
        <v>6.4539999999999997</v>
      </c>
      <c r="E184" s="1">
        <v>0.48899999999999999</v>
      </c>
      <c r="F184" s="1">
        <v>129</v>
      </c>
      <c r="G184" s="1">
        <v>82</v>
      </c>
      <c r="H184" s="1">
        <v>88</v>
      </c>
      <c r="I184" s="1">
        <v>88</v>
      </c>
      <c r="J184" s="1">
        <v>36</v>
      </c>
      <c r="K184" s="1">
        <v>67</v>
      </c>
      <c r="L184" s="1">
        <v>68</v>
      </c>
      <c r="M184" s="1">
        <v>3</v>
      </c>
      <c r="N184" s="1">
        <v>95</v>
      </c>
      <c r="O184" s="1">
        <v>67</v>
      </c>
      <c r="P184" s="1">
        <v>25</v>
      </c>
      <c r="Q184" s="1">
        <v>39</v>
      </c>
    </row>
    <row r="185" spans="1:17" ht="15.75" customHeight="1">
      <c r="A185" s="1">
        <v>2016</v>
      </c>
      <c r="B185" s="1">
        <v>30</v>
      </c>
      <c r="C185" s="1" t="s">
        <v>67</v>
      </c>
      <c r="D185" s="1">
        <v>6.452</v>
      </c>
      <c r="E185" s="1" t="s">
        <v>272</v>
      </c>
      <c r="F185" s="1">
        <v>122</v>
      </c>
      <c r="G185" s="1">
        <v>55</v>
      </c>
      <c r="H185" s="1">
        <v>45</v>
      </c>
      <c r="I185" s="1">
        <v>37</v>
      </c>
      <c r="J185" s="1">
        <v>25</v>
      </c>
      <c r="K185" s="1">
        <v>73</v>
      </c>
      <c r="L185" s="1">
        <v>80</v>
      </c>
      <c r="M185" s="1">
        <v>4</v>
      </c>
      <c r="N185" s="1">
        <v>53</v>
      </c>
      <c r="O185" s="1">
        <v>73</v>
      </c>
      <c r="P185" s="1">
        <v>60</v>
      </c>
      <c r="Q185" s="1">
        <v>38</v>
      </c>
    </row>
    <row r="186" spans="1:17" ht="15.75" customHeight="1">
      <c r="A186" s="1">
        <v>2016</v>
      </c>
      <c r="B186" s="1">
        <v>31</v>
      </c>
      <c r="C186" s="1" t="s">
        <v>76</v>
      </c>
      <c r="D186" s="1">
        <v>6.4420000000000002</v>
      </c>
      <c r="E186" s="1" t="s">
        <v>273</v>
      </c>
      <c r="F186" s="1">
        <v>33</v>
      </c>
      <c r="G186" s="1">
        <v>53</v>
      </c>
      <c r="H186" s="1">
        <v>23</v>
      </c>
      <c r="I186" s="1">
        <v>15</v>
      </c>
      <c r="J186" s="1">
        <v>65</v>
      </c>
      <c r="K186" s="1">
        <v>57</v>
      </c>
      <c r="L186" s="1">
        <v>23</v>
      </c>
      <c r="M186" s="1">
        <v>46</v>
      </c>
      <c r="N186" s="1">
        <v>69</v>
      </c>
      <c r="O186" s="1">
        <v>57</v>
      </c>
      <c r="P186" s="1">
        <v>24</v>
      </c>
      <c r="Q186" s="1">
        <v>113</v>
      </c>
    </row>
    <row r="187" spans="1:17" ht="15.75" customHeight="1">
      <c r="A187" s="1">
        <v>2016</v>
      </c>
      <c r="B187" s="1">
        <v>32</v>
      </c>
      <c r="C187" s="1" t="s">
        <v>78</v>
      </c>
      <c r="D187" s="1">
        <v>6.4240000000000004</v>
      </c>
      <c r="E187" s="1">
        <v>5.2999999999999999E-2</v>
      </c>
      <c r="F187" s="1">
        <v>91</v>
      </c>
      <c r="G187" s="1">
        <v>37</v>
      </c>
      <c r="H187" s="1">
        <v>61</v>
      </c>
      <c r="I187" s="1">
        <v>43</v>
      </c>
      <c r="J187" s="1">
        <v>10</v>
      </c>
      <c r="K187" s="1">
        <v>5</v>
      </c>
      <c r="L187" s="1">
        <v>101</v>
      </c>
      <c r="M187" s="1">
        <v>5</v>
      </c>
      <c r="N187" s="1">
        <v>34</v>
      </c>
      <c r="O187" s="1">
        <v>5</v>
      </c>
      <c r="P187" s="1">
        <v>70</v>
      </c>
      <c r="Q187" s="1">
        <v>66</v>
      </c>
    </row>
    <row r="188" spans="1:17" ht="15.75" customHeight="1">
      <c r="A188" s="1">
        <v>2016</v>
      </c>
      <c r="B188" s="1">
        <v>33</v>
      </c>
      <c r="C188" s="1" t="s">
        <v>81</v>
      </c>
      <c r="D188" s="1">
        <v>6.4219999999999997</v>
      </c>
      <c r="E188" s="1">
        <v>0.20100000000000001</v>
      </c>
      <c r="F188" s="1">
        <v>55</v>
      </c>
      <c r="G188" s="1">
        <v>46</v>
      </c>
      <c r="H188" s="1">
        <v>22</v>
      </c>
      <c r="I188" s="1"/>
      <c r="J188" s="1">
        <v>93</v>
      </c>
      <c r="K188" s="1">
        <v>39</v>
      </c>
      <c r="L188" s="1">
        <v>65</v>
      </c>
      <c r="M188" s="1">
        <v>30</v>
      </c>
      <c r="N188" s="1">
        <v>1</v>
      </c>
      <c r="O188" s="1">
        <v>39</v>
      </c>
      <c r="P188" s="1">
        <v>69</v>
      </c>
      <c r="Q188" s="1">
        <v>56</v>
      </c>
    </row>
    <row r="189" spans="1:17" ht="15.75" customHeight="1">
      <c r="A189" s="1">
        <v>2016</v>
      </c>
      <c r="B189" s="1">
        <v>34</v>
      </c>
      <c r="C189" s="1" t="s">
        <v>274</v>
      </c>
      <c r="D189" s="1">
        <v>6.4029999999999996</v>
      </c>
      <c r="E189" s="1">
        <v>8.1000000000000003E-2</v>
      </c>
      <c r="F189" s="1">
        <v>10</v>
      </c>
      <c r="G189" s="1">
        <v>11</v>
      </c>
      <c r="H189" s="1">
        <v>28</v>
      </c>
      <c r="I189" s="1">
        <v>4</v>
      </c>
      <c r="J189" s="1">
        <v>76</v>
      </c>
      <c r="K189" s="1">
        <v>43</v>
      </c>
      <c r="L189" s="1">
        <v>76</v>
      </c>
      <c r="M189" s="1">
        <v>85</v>
      </c>
      <c r="N189" s="1">
        <v>84</v>
      </c>
      <c r="O189" s="1">
        <v>43</v>
      </c>
      <c r="P189" s="1">
        <v>102</v>
      </c>
      <c r="Q189" s="1">
        <v>68</v>
      </c>
    </row>
    <row r="190" spans="1:17" ht="15.75" customHeight="1">
      <c r="A190" s="1">
        <v>2016</v>
      </c>
      <c r="B190" s="1">
        <v>35</v>
      </c>
      <c r="C190" s="8" t="s">
        <v>275</v>
      </c>
      <c r="D190" s="5">
        <v>6.375</v>
      </c>
      <c r="E190" s="9" t="s">
        <v>83</v>
      </c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</row>
    <row r="191" spans="1:17" ht="15.75" customHeight="1">
      <c r="A191" s="1">
        <v>2016</v>
      </c>
      <c r="B191" s="1">
        <v>36</v>
      </c>
      <c r="C191" s="8" t="s">
        <v>276</v>
      </c>
      <c r="D191" s="5">
        <v>6.3570000000000002</v>
      </c>
      <c r="E191" s="9" t="s">
        <v>277</v>
      </c>
      <c r="F191" s="6">
        <v>119</v>
      </c>
      <c r="G191" s="6">
        <v>56</v>
      </c>
      <c r="H191" s="6">
        <v>65</v>
      </c>
      <c r="I191" s="7">
        <v>39</v>
      </c>
      <c r="J191" s="6">
        <v>48</v>
      </c>
      <c r="K191" s="6">
        <v>87</v>
      </c>
      <c r="L191" s="6">
        <v>110</v>
      </c>
      <c r="M191" s="6">
        <v>20</v>
      </c>
      <c r="N191" s="6">
        <v>81</v>
      </c>
      <c r="O191" s="6">
        <v>87</v>
      </c>
      <c r="P191" s="6">
        <v>72</v>
      </c>
      <c r="Q191" s="6">
        <v>27</v>
      </c>
    </row>
    <row r="192" spans="1:17" ht="15.75" customHeight="1">
      <c r="A192" s="1">
        <v>2016</v>
      </c>
      <c r="B192" s="1">
        <v>37</v>
      </c>
      <c r="C192" s="1" t="s">
        <v>79</v>
      </c>
      <c r="D192" s="1">
        <v>6.3440000000000003</v>
      </c>
      <c r="E192" s="1" t="s">
        <v>278</v>
      </c>
      <c r="F192" s="1">
        <v>65</v>
      </c>
      <c r="G192" s="1">
        <v>50</v>
      </c>
      <c r="H192" s="1">
        <v>21</v>
      </c>
      <c r="I192" s="1">
        <v>58</v>
      </c>
      <c r="J192" s="1">
        <v>70</v>
      </c>
      <c r="K192" s="1">
        <v>70</v>
      </c>
      <c r="L192" s="1">
        <v>43</v>
      </c>
      <c r="M192" s="1">
        <v>68</v>
      </c>
      <c r="N192" s="1">
        <v>70</v>
      </c>
      <c r="O192" s="1">
        <v>101</v>
      </c>
      <c r="P192" s="1">
        <v>12</v>
      </c>
      <c r="Q192" s="1"/>
    </row>
    <row r="193" spans="1:17" ht="15.75" customHeight="1">
      <c r="A193" s="1">
        <v>2016</v>
      </c>
      <c r="B193" s="1">
        <v>38</v>
      </c>
      <c r="C193" s="1" t="s">
        <v>91</v>
      </c>
      <c r="D193" s="1">
        <v>6.1680000000000001</v>
      </c>
      <c r="E193" s="1" t="s">
        <v>92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5.75" customHeight="1">
      <c r="A194" s="1">
        <v>2016</v>
      </c>
      <c r="B194" s="1">
        <v>39</v>
      </c>
      <c r="C194" s="1" t="s">
        <v>88</v>
      </c>
      <c r="D194" s="1">
        <v>6.1050000000000004</v>
      </c>
      <c r="E194" s="1" t="s">
        <v>279</v>
      </c>
      <c r="F194" s="1">
        <v>99</v>
      </c>
      <c r="G194" s="1">
        <v>68</v>
      </c>
      <c r="H194" s="1">
        <v>16</v>
      </c>
      <c r="I194" s="1">
        <v>14</v>
      </c>
      <c r="J194" s="1">
        <v>44</v>
      </c>
      <c r="K194" s="1">
        <v>45</v>
      </c>
      <c r="L194" s="1">
        <v>80</v>
      </c>
      <c r="M194" s="1">
        <v>94</v>
      </c>
      <c r="N194" s="1">
        <v>45</v>
      </c>
      <c r="O194" s="1">
        <v>83</v>
      </c>
      <c r="P194" s="1">
        <v>7</v>
      </c>
      <c r="Q194" s="1"/>
    </row>
    <row r="195" spans="1:17" ht="15.75" customHeight="1">
      <c r="A195" s="1">
        <v>2016</v>
      </c>
      <c r="B195" s="1">
        <v>40</v>
      </c>
      <c r="C195" s="1" t="s">
        <v>95</v>
      </c>
      <c r="D195" s="1">
        <v>6.0979999999999999</v>
      </c>
      <c r="E195" s="1">
        <v>0.129</v>
      </c>
      <c r="F195" s="1">
        <v>47</v>
      </c>
      <c r="G195" s="1">
        <v>8</v>
      </c>
      <c r="H195" s="1">
        <v>39</v>
      </c>
      <c r="I195" s="1">
        <v>46</v>
      </c>
      <c r="J195" s="1">
        <v>102</v>
      </c>
      <c r="K195" s="1">
        <v>56</v>
      </c>
      <c r="L195" s="1">
        <v>119</v>
      </c>
      <c r="M195" s="1">
        <v>59</v>
      </c>
      <c r="N195" s="1">
        <v>47</v>
      </c>
      <c r="O195" s="1">
        <v>56</v>
      </c>
      <c r="P195" s="1">
        <v>89</v>
      </c>
      <c r="Q195" s="1">
        <v>126</v>
      </c>
    </row>
    <row r="196" spans="1:17" ht="15.75" customHeight="1">
      <c r="A196" s="1">
        <v>2016</v>
      </c>
      <c r="B196" s="1">
        <v>41</v>
      </c>
      <c r="C196" s="1" t="s">
        <v>90</v>
      </c>
      <c r="D196" s="1">
        <v>6.0869999999999997</v>
      </c>
      <c r="E196" s="1">
        <v>0.77500000000000002</v>
      </c>
      <c r="F196" s="1">
        <v>93</v>
      </c>
      <c r="G196" s="1">
        <v>64</v>
      </c>
      <c r="H196" s="1">
        <v>19</v>
      </c>
      <c r="I196" s="1">
        <v>61</v>
      </c>
      <c r="J196" s="1">
        <v>22</v>
      </c>
      <c r="K196" s="1">
        <v>24</v>
      </c>
      <c r="L196" s="1">
        <v>36</v>
      </c>
      <c r="M196" s="1">
        <v>77</v>
      </c>
      <c r="N196" s="1">
        <v>24</v>
      </c>
      <c r="O196" s="1">
        <v>36</v>
      </c>
      <c r="P196" s="1">
        <v>10</v>
      </c>
      <c r="Q196" s="1"/>
    </row>
    <row r="197" spans="1:17" ht="15.75" customHeight="1">
      <c r="A197" s="1">
        <v>2016</v>
      </c>
      <c r="B197" s="1">
        <v>42</v>
      </c>
      <c r="C197" s="1" t="s">
        <v>97</v>
      </c>
      <c r="D197" s="1">
        <v>6.0839999999999996</v>
      </c>
      <c r="E197" s="1">
        <v>0.32400000000000001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5.75" customHeight="1">
      <c r="A198" s="1">
        <v>2016</v>
      </c>
      <c r="B198" s="1">
        <v>43</v>
      </c>
      <c r="C198" s="1" t="s">
        <v>98</v>
      </c>
      <c r="D198" s="1">
        <v>6.0709999999999997</v>
      </c>
      <c r="E198" s="1">
        <v>0.56399999999999995</v>
      </c>
      <c r="F198" s="1">
        <v>133</v>
      </c>
      <c r="G198" s="1">
        <v>66</v>
      </c>
      <c r="H198" s="1">
        <v>98</v>
      </c>
      <c r="I198" s="1">
        <v>48</v>
      </c>
      <c r="J198" s="1">
        <v>94</v>
      </c>
      <c r="K198" s="1">
        <v>64</v>
      </c>
      <c r="L198" s="1">
        <v>39</v>
      </c>
      <c r="M198" s="1">
        <v>14</v>
      </c>
      <c r="N198" s="1">
        <v>125</v>
      </c>
      <c r="O198" s="1">
        <v>64</v>
      </c>
      <c r="P198" s="1">
        <v>45</v>
      </c>
      <c r="Q198" s="1">
        <v>115</v>
      </c>
    </row>
    <row r="199" spans="1:17" ht="15.75" customHeight="1">
      <c r="A199" s="1">
        <v>2016</v>
      </c>
      <c r="B199" s="1">
        <v>44</v>
      </c>
      <c r="C199" s="1" t="s">
        <v>102</v>
      </c>
      <c r="D199" s="1">
        <v>6.008</v>
      </c>
      <c r="E199" s="1">
        <v>0.14299999999999999</v>
      </c>
      <c r="F199" s="1">
        <v>105</v>
      </c>
      <c r="G199" s="1">
        <v>69</v>
      </c>
      <c r="H199" s="1">
        <v>80</v>
      </c>
      <c r="I199" s="1">
        <v>44</v>
      </c>
      <c r="J199" s="1">
        <v>42</v>
      </c>
      <c r="K199" s="1">
        <v>68</v>
      </c>
      <c r="L199" s="1">
        <v>49</v>
      </c>
      <c r="M199" s="1">
        <v>8</v>
      </c>
      <c r="N199" s="1">
        <v>113</v>
      </c>
      <c r="O199" s="1">
        <v>68</v>
      </c>
      <c r="P199" s="1">
        <v>50</v>
      </c>
      <c r="Q199" s="1">
        <v>44</v>
      </c>
    </row>
    <row r="200" spans="1:17" ht="15.75" customHeight="1">
      <c r="A200" s="1">
        <v>2016</v>
      </c>
      <c r="B200" s="1">
        <v>45</v>
      </c>
      <c r="C200" s="1" t="s">
        <v>96</v>
      </c>
      <c r="D200" s="1">
        <v>6.0030000000000001</v>
      </c>
      <c r="E200" s="1">
        <v>0.19400000000000001</v>
      </c>
      <c r="F200" s="1">
        <v>120</v>
      </c>
      <c r="G200" s="1">
        <v>93</v>
      </c>
      <c r="H200" s="1">
        <v>90</v>
      </c>
      <c r="I200" s="1">
        <v>76</v>
      </c>
      <c r="J200" s="1">
        <v>62</v>
      </c>
      <c r="K200" s="1">
        <v>133</v>
      </c>
      <c r="L200" s="1">
        <v>59</v>
      </c>
      <c r="M200" s="1">
        <v>31</v>
      </c>
      <c r="N200" s="1">
        <v>110</v>
      </c>
      <c r="O200" s="1">
        <v>133</v>
      </c>
      <c r="P200" s="1">
        <v>47</v>
      </c>
      <c r="Q200" s="1">
        <v>73</v>
      </c>
    </row>
    <row r="201" spans="1:17" ht="15.75" customHeight="1">
      <c r="A201" s="1">
        <v>2016</v>
      </c>
      <c r="B201" s="1">
        <v>46</v>
      </c>
      <c r="C201" s="1" t="s">
        <v>109</v>
      </c>
      <c r="D201" s="1">
        <v>5.9729999999999999</v>
      </c>
      <c r="E201" s="1">
        <v>0.151</v>
      </c>
      <c r="F201" s="1">
        <v>39</v>
      </c>
      <c r="G201" s="1">
        <v>31</v>
      </c>
      <c r="H201" s="1">
        <v>40</v>
      </c>
      <c r="I201" s="1">
        <v>40</v>
      </c>
      <c r="J201" s="1">
        <v>33</v>
      </c>
      <c r="K201" s="1">
        <v>69</v>
      </c>
      <c r="L201" s="1">
        <v>86</v>
      </c>
      <c r="M201" s="1">
        <v>68</v>
      </c>
      <c r="N201" s="1">
        <v>42</v>
      </c>
      <c r="O201" s="1">
        <v>69</v>
      </c>
      <c r="P201" s="1">
        <v>105</v>
      </c>
      <c r="Q201" s="1">
        <v>116</v>
      </c>
    </row>
    <row r="202" spans="1:17" ht="15.75" customHeight="1">
      <c r="A202" s="1">
        <v>2016</v>
      </c>
      <c r="B202" s="1">
        <v>47</v>
      </c>
      <c r="C202" s="1" t="s">
        <v>99</v>
      </c>
      <c r="D202" s="1">
        <v>5.9710000000000001</v>
      </c>
      <c r="E202" s="1">
        <v>0.34799999999999998</v>
      </c>
      <c r="F202" s="1">
        <v>98</v>
      </c>
      <c r="G202" s="1">
        <v>9</v>
      </c>
      <c r="H202" s="1">
        <v>97</v>
      </c>
      <c r="I202" s="1">
        <v>91</v>
      </c>
      <c r="J202" s="1">
        <v>1</v>
      </c>
      <c r="K202" s="1">
        <v>28</v>
      </c>
      <c r="L202" s="1">
        <v>19</v>
      </c>
      <c r="M202" s="1">
        <v>6</v>
      </c>
      <c r="N202" s="1">
        <v>28</v>
      </c>
      <c r="O202" s="1">
        <v>75</v>
      </c>
      <c r="P202" s="1">
        <v>48</v>
      </c>
      <c r="Q202" s="1"/>
    </row>
    <row r="203" spans="1:17" ht="15.75" customHeight="1">
      <c r="A203" s="1">
        <v>2016</v>
      </c>
      <c r="B203" s="1">
        <v>48</v>
      </c>
      <c r="C203" s="1" t="s">
        <v>100</v>
      </c>
      <c r="D203" s="1">
        <v>5.9640000000000004</v>
      </c>
      <c r="E203" s="1" t="s">
        <v>280</v>
      </c>
      <c r="F203" s="1">
        <v>42</v>
      </c>
      <c r="G203" s="1">
        <v>24</v>
      </c>
      <c r="H203" s="1">
        <v>25</v>
      </c>
      <c r="I203" s="1">
        <v>5</v>
      </c>
      <c r="J203" s="1">
        <v>119</v>
      </c>
      <c r="K203" s="1">
        <v>54</v>
      </c>
      <c r="L203" s="1">
        <v>117</v>
      </c>
      <c r="M203" s="1">
        <v>83</v>
      </c>
      <c r="N203" s="1">
        <v>107</v>
      </c>
      <c r="O203" s="1">
        <v>54</v>
      </c>
      <c r="P203" s="1">
        <v>95</v>
      </c>
      <c r="Q203" s="1">
        <v>90</v>
      </c>
    </row>
    <row r="204" spans="1:17" ht="15.75" customHeight="1">
      <c r="A204" s="1">
        <v>2016</v>
      </c>
      <c r="B204" s="1">
        <v>49</v>
      </c>
      <c r="C204" s="1" t="s">
        <v>108</v>
      </c>
      <c r="D204" s="1">
        <v>5.9630000000000001</v>
      </c>
      <c r="E204" s="1">
        <v>0.499</v>
      </c>
      <c r="F204" s="1">
        <v>67</v>
      </c>
      <c r="G204" s="1">
        <v>36</v>
      </c>
      <c r="H204" s="1">
        <v>38</v>
      </c>
      <c r="I204" s="1">
        <v>87</v>
      </c>
      <c r="J204" s="1">
        <v>95</v>
      </c>
      <c r="K204" s="1">
        <v>105</v>
      </c>
      <c r="L204" s="1">
        <v>124</v>
      </c>
      <c r="M204" s="1">
        <v>104</v>
      </c>
      <c r="N204" s="1">
        <v>4</v>
      </c>
      <c r="O204" s="1">
        <v>105</v>
      </c>
      <c r="P204" s="1">
        <v>107</v>
      </c>
      <c r="Q204" s="1">
        <v>128</v>
      </c>
    </row>
    <row r="205" spans="1:17" ht="15.75" customHeight="1">
      <c r="A205" s="1">
        <v>2016</v>
      </c>
      <c r="B205" s="1">
        <v>50</v>
      </c>
      <c r="C205" s="1" t="s">
        <v>103</v>
      </c>
      <c r="D205" s="1">
        <v>5.9560000000000004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15.75" customHeight="1">
      <c r="A206" s="1">
        <v>2016</v>
      </c>
      <c r="B206" s="1">
        <v>51</v>
      </c>
      <c r="C206" s="1" t="s">
        <v>104</v>
      </c>
      <c r="D206" s="1">
        <v>5.92</v>
      </c>
      <c r="E206" s="1" t="s">
        <v>281</v>
      </c>
      <c r="F206" s="1">
        <v>45</v>
      </c>
      <c r="G206" s="1">
        <v>43</v>
      </c>
      <c r="H206" s="1">
        <v>29</v>
      </c>
      <c r="I206" s="1">
        <v>2</v>
      </c>
      <c r="J206" s="1">
        <v>47</v>
      </c>
      <c r="K206" s="1">
        <v>46</v>
      </c>
      <c r="L206" s="1">
        <v>30</v>
      </c>
      <c r="M206" s="1">
        <v>57</v>
      </c>
      <c r="N206" s="1">
        <v>18</v>
      </c>
      <c r="O206" s="1">
        <v>46</v>
      </c>
      <c r="P206" s="1">
        <v>73</v>
      </c>
      <c r="Q206" s="1">
        <v>136</v>
      </c>
    </row>
    <row r="207" spans="1:17" ht="15.75" customHeight="1">
      <c r="A207" s="1">
        <v>2016</v>
      </c>
      <c r="B207" s="1">
        <v>52</v>
      </c>
      <c r="C207" s="1" t="s">
        <v>114</v>
      </c>
      <c r="D207" s="1">
        <v>5.9020000000000001</v>
      </c>
      <c r="E207" s="1">
        <v>0.47599999999999998</v>
      </c>
      <c r="F207" s="1">
        <v>46</v>
      </c>
      <c r="G207" s="1">
        <v>14</v>
      </c>
      <c r="H207" s="1">
        <v>36</v>
      </c>
      <c r="I207" s="1">
        <v>68</v>
      </c>
      <c r="J207" s="1">
        <v>122</v>
      </c>
      <c r="K207" s="1">
        <v>129</v>
      </c>
      <c r="L207" s="1">
        <v>128</v>
      </c>
      <c r="M207" s="1">
        <v>119</v>
      </c>
      <c r="N207" s="1">
        <v>58</v>
      </c>
      <c r="O207" s="1">
        <v>129</v>
      </c>
      <c r="P207" s="1">
        <v>122</v>
      </c>
      <c r="Q207" s="1">
        <v>133</v>
      </c>
    </row>
    <row r="208" spans="1:17" ht="15.75" customHeight="1">
      <c r="A208" s="1">
        <v>2016</v>
      </c>
      <c r="B208" s="1">
        <v>53</v>
      </c>
      <c r="C208" s="1" t="s">
        <v>85</v>
      </c>
      <c r="D208" s="1">
        <v>5.8719999999999999</v>
      </c>
      <c r="E208" s="1">
        <v>0.45</v>
      </c>
      <c r="F208" s="1">
        <v>70</v>
      </c>
      <c r="G208" s="1">
        <v>107</v>
      </c>
      <c r="H208" s="1">
        <v>69</v>
      </c>
      <c r="I208" s="1">
        <v>59</v>
      </c>
      <c r="J208" s="1">
        <v>115</v>
      </c>
      <c r="K208" s="1">
        <v>121</v>
      </c>
      <c r="L208" s="1"/>
      <c r="M208" s="1"/>
      <c r="N208" s="1"/>
      <c r="O208" s="1"/>
      <c r="P208" s="1"/>
      <c r="Q208" s="1"/>
    </row>
    <row r="209" spans="1:17" ht="15.75" customHeight="1">
      <c r="A209" s="1">
        <v>2016</v>
      </c>
      <c r="B209" s="1">
        <v>54</v>
      </c>
      <c r="C209" s="8" t="s">
        <v>282</v>
      </c>
      <c r="D209" s="5">
        <v>5.85</v>
      </c>
      <c r="E209" s="6">
        <v>0.80400000000000005</v>
      </c>
      <c r="F209" s="6">
        <v>23</v>
      </c>
      <c r="G209" s="6">
        <v>32</v>
      </c>
      <c r="H209" s="6">
        <v>42</v>
      </c>
      <c r="I209" s="7">
        <v>62</v>
      </c>
      <c r="J209" s="6">
        <v>105</v>
      </c>
      <c r="K209" s="6">
        <v>93</v>
      </c>
      <c r="L209" s="6">
        <v>98</v>
      </c>
      <c r="M209" s="6">
        <v>109</v>
      </c>
      <c r="N209" s="6">
        <v>46</v>
      </c>
      <c r="O209" s="6">
        <v>93</v>
      </c>
      <c r="P209" s="6">
        <v>138</v>
      </c>
      <c r="Q209" s="6">
        <v>132</v>
      </c>
    </row>
    <row r="210" spans="1:17" ht="15.75" customHeight="1">
      <c r="A210" s="1">
        <v>2016</v>
      </c>
      <c r="B210" s="1">
        <v>55</v>
      </c>
      <c r="C210" s="8" t="s">
        <v>283</v>
      </c>
      <c r="D210" s="5">
        <v>5.8380000000000001</v>
      </c>
      <c r="E210" s="9" t="s">
        <v>284</v>
      </c>
      <c r="F210" s="11">
        <v>74</v>
      </c>
      <c r="G210" s="6">
        <v>83</v>
      </c>
      <c r="H210" s="6">
        <v>30</v>
      </c>
      <c r="I210" s="10">
        <v>3</v>
      </c>
      <c r="J210" s="6">
        <v>126</v>
      </c>
      <c r="K210" s="6">
        <v>33</v>
      </c>
      <c r="L210" s="6">
        <v>93</v>
      </c>
      <c r="M210" s="6">
        <v>108</v>
      </c>
      <c r="N210" s="6">
        <v>48</v>
      </c>
      <c r="O210" s="6">
        <v>33</v>
      </c>
      <c r="P210" s="6">
        <v>79</v>
      </c>
      <c r="Q210" s="6">
        <v>95</v>
      </c>
    </row>
    <row r="211" spans="1:17" ht="15.75" customHeight="1">
      <c r="A211" s="1">
        <v>2016</v>
      </c>
      <c r="B211" s="1">
        <v>56</v>
      </c>
      <c r="C211" s="1" t="s">
        <v>285</v>
      </c>
      <c r="D211" s="1">
        <v>5.8380000000000001</v>
      </c>
      <c r="E211" s="1">
        <v>4.7E-2</v>
      </c>
      <c r="F211" s="1">
        <v>41</v>
      </c>
      <c r="G211" s="1">
        <v>72</v>
      </c>
      <c r="H211" s="1">
        <v>85</v>
      </c>
      <c r="I211" s="1">
        <v>81</v>
      </c>
      <c r="J211" s="1">
        <v>129</v>
      </c>
      <c r="K211" s="1">
        <v>76</v>
      </c>
      <c r="L211" s="1">
        <v>130</v>
      </c>
      <c r="M211" s="1">
        <v>106</v>
      </c>
      <c r="N211" s="1">
        <v>72</v>
      </c>
      <c r="O211" s="1">
        <v>76</v>
      </c>
      <c r="P211" s="1">
        <v>77</v>
      </c>
      <c r="Q211" s="1">
        <v>107</v>
      </c>
    </row>
    <row r="212" spans="1:17" ht="15.75" customHeight="1">
      <c r="A212" s="1">
        <v>2016</v>
      </c>
      <c r="B212" s="1">
        <v>57</v>
      </c>
      <c r="C212" s="1" t="s">
        <v>128</v>
      </c>
      <c r="D212" s="1">
        <v>5.8250000000000002</v>
      </c>
      <c r="E212" s="1">
        <v>0.79200000000000004</v>
      </c>
      <c r="F212" s="1">
        <v>85</v>
      </c>
      <c r="G212" s="1">
        <v>84</v>
      </c>
      <c r="H212" s="1">
        <v>47</v>
      </c>
      <c r="I212" s="1">
        <v>60</v>
      </c>
      <c r="J212" s="1">
        <v>53</v>
      </c>
      <c r="K212" s="1">
        <v>80</v>
      </c>
      <c r="L212" s="1">
        <v>127</v>
      </c>
      <c r="M212" s="1">
        <v>92</v>
      </c>
      <c r="N212" s="1">
        <v>63</v>
      </c>
      <c r="O212" s="1">
        <v>80</v>
      </c>
      <c r="P212" s="1">
        <v>126</v>
      </c>
      <c r="Q212" s="1">
        <v>32</v>
      </c>
    </row>
    <row r="213" spans="1:17" ht="15.75" customHeight="1">
      <c r="A213" s="1">
        <v>2016</v>
      </c>
      <c r="B213" s="1">
        <v>58</v>
      </c>
      <c r="C213" s="1" t="s">
        <v>112</v>
      </c>
      <c r="D213" s="1">
        <v>5.8230000000000004</v>
      </c>
      <c r="E213" s="1" t="s">
        <v>48</v>
      </c>
      <c r="F213" s="1">
        <v>63</v>
      </c>
      <c r="G213" s="1">
        <v>92</v>
      </c>
      <c r="H213" s="1">
        <v>92</v>
      </c>
      <c r="I213" s="1">
        <v>84</v>
      </c>
      <c r="J213" s="1">
        <v>27</v>
      </c>
      <c r="K213" s="1">
        <v>83</v>
      </c>
      <c r="L213" s="1">
        <v>89</v>
      </c>
      <c r="M213" s="1">
        <v>38</v>
      </c>
      <c r="N213" s="1">
        <v>120</v>
      </c>
      <c r="O213" s="1">
        <v>83</v>
      </c>
      <c r="P213" s="1">
        <v>55</v>
      </c>
      <c r="Q213" s="1">
        <v>54</v>
      </c>
    </row>
    <row r="214" spans="1:17" ht="15.75" customHeight="1">
      <c r="A214" s="1">
        <v>2016</v>
      </c>
      <c r="B214" s="1">
        <v>59</v>
      </c>
      <c r="C214" s="1" t="s">
        <v>120</v>
      </c>
      <c r="D214" s="1">
        <v>5.8220000000000001</v>
      </c>
      <c r="E214" s="1">
        <v>0.19400000000000001</v>
      </c>
      <c r="F214" s="1">
        <v>1</v>
      </c>
      <c r="G214" s="1">
        <v>20</v>
      </c>
      <c r="H214" s="1">
        <v>82</v>
      </c>
      <c r="I214" s="1">
        <v>95</v>
      </c>
      <c r="J214" s="1">
        <v>84</v>
      </c>
      <c r="K214" s="1">
        <v>52</v>
      </c>
      <c r="L214" s="1">
        <v>117</v>
      </c>
      <c r="M214" s="1">
        <v>62</v>
      </c>
      <c r="N214" s="1">
        <v>52</v>
      </c>
      <c r="O214" s="1">
        <v>43</v>
      </c>
      <c r="P214" s="1">
        <v>99</v>
      </c>
      <c r="Q214" s="1"/>
    </row>
    <row r="215" spans="1:17" ht="15.75" customHeight="1">
      <c r="A215" s="1">
        <v>2016</v>
      </c>
      <c r="B215" s="1">
        <v>60</v>
      </c>
      <c r="C215" s="1" t="s">
        <v>106</v>
      </c>
      <c r="D215" s="1">
        <v>5.819</v>
      </c>
      <c r="E215" s="1">
        <v>0.14799999999999999</v>
      </c>
      <c r="F215" s="1">
        <v>61</v>
      </c>
      <c r="G215" s="1">
        <v>22</v>
      </c>
      <c r="H215" s="1">
        <v>46</v>
      </c>
      <c r="I215" s="1">
        <v>79</v>
      </c>
      <c r="J215" s="1">
        <v>67</v>
      </c>
      <c r="K215" s="1">
        <v>51</v>
      </c>
      <c r="L215" s="1">
        <v>31</v>
      </c>
      <c r="M215" s="1">
        <v>81</v>
      </c>
      <c r="N215" s="1">
        <v>8</v>
      </c>
      <c r="O215" s="1">
        <v>51</v>
      </c>
      <c r="P215" s="1">
        <v>71</v>
      </c>
      <c r="Q215" s="1">
        <v>105</v>
      </c>
    </row>
    <row r="216" spans="1:17" ht="15.75" customHeight="1">
      <c r="A216" s="1">
        <v>2016</v>
      </c>
      <c r="B216" s="1">
        <v>62</v>
      </c>
      <c r="C216" s="1" t="s">
        <v>116</v>
      </c>
      <c r="D216" s="1">
        <v>5.758</v>
      </c>
      <c r="E216" s="1" t="s">
        <v>286</v>
      </c>
      <c r="F216" s="1">
        <v>69</v>
      </c>
      <c r="G216" s="1">
        <v>17</v>
      </c>
      <c r="H216" s="1">
        <v>34</v>
      </c>
      <c r="I216" s="1">
        <v>23</v>
      </c>
      <c r="J216" s="1">
        <v>20</v>
      </c>
      <c r="K216" s="1">
        <v>50</v>
      </c>
      <c r="L216" s="1">
        <v>82</v>
      </c>
      <c r="M216" s="1">
        <v>95</v>
      </c>
      <c r="N216" s="1">
        <v>71</v>
      </c>
      <c r="O216" s="1">
        <v>50</v>
      </c>
      <c r="P216" s="1">
        <v>23</v>
      </c>
      <c r="Q216" s="1">
        <v>106</v>
      </c>
    </row>
    <row r="217" spans="1:17" ht="15.75" customHeight="1">
      <c r="A217" s="1">
        <v>2016</v>
      </c>
      <c r="B217" s="1">
        <v>63</v>
      </c>
      <c r="C217" s="1" t="s">
        <v>118</v>
      </c>
      <c r="D217" s="1">
        <v>5.7149999999999999</v>
      </c>
      <c r="E217" s="1" t="s">
        <v>203</v>
      </c>
      <c r="F217" s="1">
        <v>101</v>
      </c>
      <c r="G217" s="1">
        <v>88</v>
      </c>
      <c r="H217" s="1">
        <v>73</v>
      </c>
      <c r="I217" s="1">
        <v>22</v>
      </c>
      <c r="J217" s="1">
        <v>50</v>
      </c>
      <c r="K217" s="1">
        <v>108</v>
      </c>
      <c r="L217" s="1">
        <v>97</v>
      </c>
      <c r="M217" s="1">
        <v>12</v>
      </c>
      <c r="N217" s="1">
        <v>106</v>
      </c>
      <c r="O217" s="1">
        <v>108</v>
      </c>
      <c r="P217" s="1">
        <v>67</v>
      </c>
      <c r="Q217" s="1">
        <v>62</v>
      </c>
    </row>
    <row r="218" spans="1:17" ht="15.75" customHeight="1">
      <c r="A218" s="1">
        <v>2016</v>
      </c>
      <c r="B218" s="1">
        <v>64</v>
      </c>
      <c r="C218" s="1" t="s">
        <v>121</v>
      </c>
      <c r="D218" s="1">
        <v>5.6289999999999996</v>
      </c>
      <c r="E218" s="1">
        <v>0.152</v>
      </c>
      <c r="F218" s="1">
        <v>66</v>
      </c>
      <c r="G218" s="1">
        <v>75</v>
      </c>
      <c r="H218" s="1">
        <v>54</v>
      </c>
      <c r="I218" s="1">
        <v>71</v>
      </c>
      <c r="J218" s="1">
        <v>56</v>
      </c>
      <c r="K218" s="1">
        <v>27</v>
      </c>
      <c r="L218" s="1">
        <v>107</v>
      </c>
      <c r="M218" s="1">
        <v>53</v>
      </c>
      <c r="N218" s="1">
        <v>56</v>
      </c>
      <c r="O218" s="1">
        <v>27</v>
      </c>
      <c r="P218" s="1">
        <v>9</v>
      </c>
      <c r="Q218" s="1">
        <v>112</v>
      </c>
    </row>
    <row r="219" spans="1:17" ht="15.75" customHeight="1">
      <c r="A219" s="1">
        <v>2016</v>
      </c>
      <c r="B219" s="1">
        <v>65</v>
      </c>
      <c r="C219" s="1" t="s">
        <v>124</v>
      </c>
      <c r="D219" s="1">
        <v>5.6210000000000004</v>
      </c>
      <c r="E219" s="1" t="s">
        <v>287</v>
      </c>
      <c r="F219" s="1">
        <v>104</v>
      </c>
      <c r="G219" s="1">
        <v>96</v>
      </c>
      <c r="H219" s="1">
        <v>33</v>
      </c>
      <c r="I219" s="1">
        <v>13</v>
      </c>
      <c r="J219" s="1">
        <v>80</v>
      </c>
      <c r="K219" s="1">
        <v>41</v>
      </c>
      <c r="L219" s="1">
        <v>111</v>
      </c>
      <c r="M219" s="1">
        <v>84</v>
      </c>
      <c r="N219" s="1">
        <v>102</v>
      </c>
      <c r="O219" s="1">
        <v>41</v>
      </c>
      <c r="P219" s="1">
        <v>46</v>
      </c>
      <c r="Q219" s="1">
        <v>50</v>
      </c>
    </row>
    <row r="220" spans="1:17" ht="15.75" customHeight="1">
      <c r="A220" s="1">
        <v>2016</v>
      </c>
      <c r="B220" s="1">
        <v>66</v>
      </c>
      <c r="C220" s="1" t="s">
        <v>129</v>
      </c>
      <c r="D220" s="1">
        <v>5.6109999999999998</v>
      </c>
      <c r="E220" s="1">
        <v>0.185</v>
      </c>
      <c r="F220" s="1">
        <v>26</v>
      </c>
      <c r="G220" s="1">
        <v>15</v>
      </c>
      <c r="H220" s="1">
        <v>35</v>
      </c>
      <c r="I220" s="1">
        <v>41</v>
      </c>
      <c r="J220" s="1">
        <v>43</v>
      </c>
      <c r="K220" s="1">
        <v>85</v>
      </c>
      <c r="L220" s="1">
        <v>25</v>
      </c>
      <c r="M220" s="1">
        <v>74</v>
      </c>
      <c r="N220" s="1">
        <v>12</v>
      </c>
      <c r="O220" s="1">
        <v>85</v>
      </c>
      <c r="P220" s="1">
        <v>57</v>
      </c>
      <c r="Q220" s="1">
        <v>122</v>
      </c>
    </row>
    <row r="221" spans="1:17" ht="15.75" customHeight="1">
      <c r="A221" s="1">
        <v>2016</v>
      </c>
      <c r="B221" s="1">
        <v>67</v>
      </c>
      <c r="C221" s="1" t="s">
        <v>115</v>
      </c>
      <c r="D221" s="1">
        <v>5.569</v>
      </c>
      <c r="E221" s="1">
        <v>6.5000000000000002E-2</v>
      </c>
      <c r="F221" s="1">
        <v>31</v>
      </c>
      <c r="G221" s="1">
        <v>25</v>
      </c>
      <c r="H221" s="1">
        <v>52</v>
      </c>
      <c r="I221" s="1">
        <v>70</v>
      </c>
      <c r="J221" s="1">
        <v>109</v>
      </c>
      <c r="K221" s="1">
        <v>92</v>
      </c>
      <c r="L221" s="1">
        <v>26</v>
      </c>
      <c r="M221" s="1">
        <v>133</v>
      </c>
      <c r="N221" s="1">
        <v>14</v>
      </c>
      <c r="O221" s="1">
        <v>92</v>
      </c>
      <c r="P221" s="1">
        <v>65</v>
      </c>
      <c r="Q221" s="1">
        <v>135</v>
      </c>
    </row>
    <row r="222" spans="1:17" ht="15.75" customHeight="1">
      <c r="A222" s="1">
        <v>2016</v>
      </c>
      <c r="B222" s="1">
        <v>68</v>
      </c>
      <c r="C222" s="1" t="s">
        <v>122</v>
      </c>
      <c r="D222" s="1">
        <v>5.5250000000000004</v>
      </c>
      <c r="E222" s="1">
        <v>0.185</v>
      </c>
      <c r="F222" s="1">
        <v>128</v>
      </c>
      <c r="G222" s="1">
        <v>59</v>
      </c>
      <c r="H222" s="1">
        <v>86</v>
      </c>
      <c r="I222" s="1">
        <v>86</v>
      </c>
      <c r="J222" s="1">
        <v>52</v>
      </c>
      <c r="K222" s="1">
        <v>95</v>
      </c>
      <c r="L222" s="1">
        <v>78</v>
      </c>
      <c r="M222" s="1">
        <v>126</v>
      </c>
      <c r="N222" s="1">
        <v>95</v>
      </c>
      <c r="O222" s="1">
        <v>64</v>
      </c>
      <c r="P222" s="1">
        <v>3</v>
      </c>
      <c r="Q222" s="1"/>
    </row>
    <row r="223" spans="1:17" ht="15.75" customHeight="1">
      <c r="A223" s="1">
        <v>2016</v>
      </c>
      <c r="B223" s="1">
        <v>69</v>
      </c>
      <c r="C223" s="1" t="s">
        <v>136</v>
      </c>
      <c r="D223" s="1">
        <v>5.5</v>
      </c>
      <c r="E223" s="1">
        <v>0.155</v>
      </c>
      <c r="F223" s="1">
        <v>103</v>
      </c>
      <c r="G223" s="1">
        <v>57</v>
      </c>
      <c r="H223" s="1">
        <v>51</v>
      </c>
      <c r="I223" s="1">
        <v>50</v>
      </c>
      <c r="J223" s="1">
        <v>114</v>
      </c>
      <c r="K223" s="1">
        <v>62</v>
      </c>
      <c r="L223" s="1">
        <v>46</v>
      </c>
      <c r="M223" s="1">
        <v>140</v>
      </c>
      <c r="N223" s="1">
        <v>127</v>
      </c>
      <c r="O223" s="1">
        <v>62</v>
      </c>
      <c r="P223" s="1">
        <v>82</v>
      </c>
      <c r="Q223" s="1">
        <v>6</v>
      </c>
    </row>
    <row r="224" spans="1:17" ht="15.75" customHeight="1">
      <c r="A224" s="1">
        <v>2016</v>
      </c>
      <c r="B224" s="1">
        <v>70</v>
      </c>
      <c r="C224" s="1" t="s">
        <v>126</v>
      </c>
      <c r="D224" s="1">
        <v>5.4930000000000003</v>
      </c>
      <c r="E224" s="1" t="s">
        <v>77</v>
      </c>
      <c r="F224" s="1">
        <v>54</v>
      </c>
      <c r="G224" s="1">
        <v>13</v>
      </c>
      <c r="H224" s="1">
        <v>76</v>
      </c>
      <c r="I224" s="1">
        <v>69</v>
      </c>
      <c r="J224" s="1">
        <v>37</v>
      </c>
      <c r="K224" s="1">
        <v>82</v>
      </c>
      <c r="L224" s="1">
        <v>44</v>
      </c>
      <c r="M224" s="1">
        <v>1</v>
      </c>
      <c r="N224" s="1">
        <v>20</v>
      </c>
      <c r="O224" s="1">
        <v>82</v>
      </c>
      <c r="P224" s="1">
        <v>121</v>
      </c>
      <c r="Q224" s="1">
        <v>131</v>
      </c>
    </row>
    <row r="225" spans="1:17" ht="15.75" customHeight="1">
      <c r="A225" s="1">
        <v>2016</v>
      </c>
      <c r="B225" s="1">
        <v>71</v>
      </c>
      <c r="C225" s="1" t="s">
        <v>132</v>
      </c>
      <c r="D225" s="1">
        <v>5.4720000000000004</v>
      </c>
      <c r="E225" s="1" t="s">
        <v>288</v>
      </c>
      <c r="F225" s="1">
        <v>36</v>
      </c>
      <c r="G225" s="1">
        <v>76</v>
      </c>
      <c r="H225" s="1">
        <v>9</v>
      </c>
      <c r="I225" s="1"/>
      <c r="J225" s="1">
        <v>63</v>
      </c>
      <c r="K225" s="1">
        <v>21</v>
      </c>
      <c r="L225" s="1">
        <v>12</v>
      </c>
      <c r="M225" s="1">
        <v>111</v>
      </c>
      <c r="N225" s="1">
        <v>32</v>
      </c>
      <c r="O225" s="1">
        <v>21</v>
      </c>
      <c r="P225" s="1">
        <v>78</v>
      </c>
      <c r="Q225" s="1">
        <v>34</v>
      </c>
    </row>
    <row r="226" spans="1:17" ht="15.75" customHeight="1">
      <c r="A226" s="1">
        <v>2016</v>
      </c>
      <c r="B226" s="1">
        <v>72</v>
      </c>
      <c r="C226" s="1" t="s">
        <v>141</v>
      </c>
      <c r="D226" s="1">
        <v>5.43</v>
      </c>
      <c r="E226" s="1">
        <v>0.44500000000000001</v>
      </c>
      <c r="F226" s="1">
        <v>111</v>
      </c>
      <c r="G226" s="1">
        <v>79</v>
      </c>
      <c r="H226" s="1">
        <v>95</v>
      </c>
      <c r="I226" s="1">
        <v>94</v>
      </c>
      <c r="J226" s="1">
        <v>17</v>
      </c>
      <c r="K226" s="1">
        <v>96</v>
      </c>
      <c r="L226" s="1">
        <v>54</v>
      </c>
      <c r="M226" s="1">
        <v>9</v>
      </c>
      <c r="N226" s="1">
        <v>79</v>
      </c>
      <c r="O226" s="1">
        <v>96</v>
      </c>
      <c r="P226" s="1">
        <v>14</v>
      </c>
      <c r="Q226" s="1">
        <v>67</v>
      </c>
    </row>
    <row r="227" spans="1:17" ht="15.75" customHeight="1">
      <c r="A227" s="1">
        <v>2016</v>
      </c>
      <c r="B227" s="1">
        <v>73</v>
      </c>
      <c r="C227" s="1" t="s">
        <v>145</v>
      </c>
      <c r="D227" s="1">
        <v>5.3949999999999996</v>
      </c>
      <c r="E227" s="1">
        <v>0.58199999999999996</v>
      </c>
      <c r="F227" s="1">
        <v>108</v>
      </c>
      <c r="G227" s="1">
        <v>47</v>
      </c>
      <c r="H227" s="1">
        <v>62</v>
      </c>
      <c r="I227" s="1">
        <v>51</v>
      </c>
      <c r="J227" s="1">
        <v>121</v>
      </c>
      <c r="K227" s="1">
        <v>74</v>
      </c>
      <c r="L227" s="1">
        <v>105</v>
      </c>
      <c r="M227" s="1">
        <v>135</v>
      </c>
      <c r="N227" s="1">
        <v>83</v>
      </c>
      <c r="O227" s="1">
        <v>74</v>
      </c>
      <c r="P227" s="1">
        <v>130</v>
      </c>
      <c r="Q227" s="1">
        <v>138</v>
      </c>
    </row>
    <row r="228" spans="1:17" ht="15.75" customHeight="1">
      <c r="A228" s="1">
        <v>2016</v>
      </c>
      <c r="B228" s="1">
        <v>74</v>
      </c>
      <c r="C228" s="1" t="s">
        <v>138</v>
      </c>
      <c r="D228" s="1">
        <v>5.3360000000000003</v>
      </c>
      <c r="E228" s="1" t="s">
        <v>289</v>
      </c>
      <c r="F228" s="1">
        <v>125</v>
      </c>
      <c r="G228" s="1">
        <v>80</v>
      </c>
      <c r="H228" s="1">
        <v>93</v>
      </c>
      <c r="I228" s="1">
        <v>38</v>
      </c>
      <c r="J228" s="1">
        <v>74</v>
      </c>
      <c r="K228" s="1">
        <v>75</v>
      </c>
      <c r="L228" s="1">
        <v>94</v>
      </c>
      <c r="M228" s="1">
        <v>93</v>
      </c>
      <c r="N228" s="1">
        <v>75</v>
      </c>
      <c r="O228" s="1">
        <v>93</v>
      </c>
      <c r="P228" s="1">
        <v>46</v>
      </c>
      <c r="Q228" s="1"/>
    </row>
    <row r="229" spans="1:17" ht="15.75" customHeight="1">
      <c r="A229" s="1">
        <v>2016</v>
      </c>
      <c r="B229" s="1">
        <v>75</v>
      </c>
      <c r="C229" s="8" t="s">
        <v>290</v>
      </c>
      <c r="D229" s="5">
        <v>5.3239999999999998</v>
      </c>
      <c r="E229" s="6">
        <v>0.54900000000000004</v>
      </c>
      <c r="F229" s="6">
        <v>38</v>
      </c>
      <c r="G229" s="6">
        <v>44</v>
      </c>
      <c r="H229" s="6">
        <v>41</v>
      </c>
      <c r="I229" s="7">
        <v>52</v>
      </c>
      <c r="J229" s="6">
        <v>130</v>
      </c>
      <c r="K229" s="6">
        <v>104</v>
      </c>
      <c r="L229" s="6">
        <v>123</v>
      </c>
      <c r="M229" s="6">
        <v>100</v>
      </c>
      <c r="N229" s="6">
        <v>52</v>
      </c>
      <c r="O229" s="6">
        <v>104</v>
      </c>
      <c r="P229" s="6">
        <v>123</v>
      </c>
      <c r="Q229" s="6">
        <v>120</v>
      </c>
    </row>
    <row r="230" spans="1:17" ht="15.75" customHeight="1">
      <c r="A230" s="1">
        <v>2016</v>
      </c>
      <c r="B230" s="1">
        <v>76</v>
      </c>
      <c r="C230" s="1" t="s">
        <v>130</v>
      </c>
      <c r="D230" s="1">
        <v>5.3109999999999999</v>
      </c>
      <c r="E230" s="1" t="s">
        <v>291</v>
      </c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5.75" customHeight="1">
      <c r="A231" s="1">
        <v>2016</v>
      </c>
      <c r="B231" s="1">
        <v>77</v>
      </c>
      <c r="C231" s="1" t="s">
        <v>131</v>
      </c>
      <c r="D231" s="1">
        <v>5.2930000000000001</v>
      </c>
      <c r="E231" s="1" t="s">
        <v>189</v>
      </c>
      <c r="F231" s="1">
        <v>50</v>
      </c>
      <c r="G231" s="1">
        <v>90</v>
      </c>
      <c r="H231" s="1">
        <v>44</v>
      </c>
      <c r="I231" s="1">
        <v>35</v>
      </c>
      <c r="J231" s="1">
        <v>107</v>
      </c>
      <c r="K231" s="1">
        <v>63</v>
      </c>
      <c r="L231" s="1">
        <v>103</v>
      </c>
      <c r="M231" s="1">
        <v>112</v>
      </c>
      <c r="N231" s="1">
        <v>103</v>
      </c>
      <c r="O231" s="1">
        <v>63</v>
      </c>
      <c r="P231" s="1">
        <v>108</v>
      </c>
      <c r="Q231" s="1">
        <v>139</v>
      </c>
    </row>
    <row r="232" spans="1:17" ht="15.75" customHeight="1">
      <c r="A232" s="1">
        <v>2016</v>
      </c>
      <c r="B232" s="1">
        <v>78</v>
      </c>
      <c r="C232" s="1" t="s">
        <v>135</v>
      </c>
      <c r="D232" s="1">
        <v>5.2789999999999999</v>
      </c>
      <c r="E232" s="1">
        <v>5.7000000000000002E-2</v>
      </c>
      <c r="F232" s="1">
        <v>95</v>
      </c>
      <c r="G232" s="1">
        <v>78</v>
      </c>
      <c r="H232" s="1">
        <v>89</v>
      </c>
      <c r="I232" s="1"/>
      <c r="J232" s="1">
        <v>51</v>
      </c>
      <c r="K232" s="1">
        <v>32</v>
      </c>
      <c r="L232" s="1">
        <v>126</v>
      </c>
      <c r="M232" s="1">
        <v>101</v>
      </c>
      <c r="N232" s="1">
        <v>32</v>
      </c>
      <c r="O232" s="1">
        <v>136</v>
      </c>
      <c r="P232" s="1">
        <v>52</v>
      </c>
      <c r="Q232" s="1"/>
    </row>
    <row r="233" spans="1:17" ht="15.75" customHeight="1">
      <c r="A233" s="1">
        <v>2016</v>
      </c>
      <c r="B233" s="1">
        <v>79</v>
      </c>
      <c r="C233" s="1" t="s">
        <v>142</v>
      </c>
      <c r="D233" s="1">
        <v>5.2729999999999997</v>
      </c>
      <c r="E233" s="1">
        <v>0.29499999999999998</v>
      </c>
      <c r="F233" s="1">
        <v>60</v>
      </c>
      <c r="G233" s="1">
        <v>110</v>
      </c>
      <c r="H233" s="1">
        <v>70</v>
      </c>
      <c r="I233" s="1">
        <v>36</v>
      </c>
      <c r="J233" s="1">
        <v>135</v>
      </c>
      <c r="K233" s="1">
        <v>62</v>
      </c>
      <c r="L233" s="1">
        <v>5</v>
      </c>
      <c r="M233" s="1">
        <v>135</v>
      </c>
      <c r="N233" s="1">
        <v>135</v>
      </c>
      <c r="O233" s="1">
        <v>130</v>
      </c>
      <c r="P233" s="1"/>
      <c r="Q233" s="1"/>
    </row>
    <row r="234" spans="1:17" ht="15.75" customHeight="1">
      <c r="A234" s="1">
        <v>2016</v>
      </c>
      <c r="B234" s="1">
        <v>80</v>
      </c>
      <c r="C234" s="1" t="s">
        <v>152</v>
      </c>
      <c r="D234" s="1">
        <v>5.2690000000000001</v>
      </c>
      <c r="E234" s="1" t="s">
        <v>292</v>
      </c>
      <c r="F234" s="1">
        <v>51</v>
      </c>
      <c r="G234" s="1">
        <v>127</v>
      </c>
      <c r="H234" s="1">
        <v>110</v>
      </c>
      <c r="I234" s="1">
        <v>107</v>
      </c>
      <c r="J234" s="1">
        <v>116</v>
      </c>
      <c r="K234" s="1">
        <v>47</v>
      </c>
      <c r="L234" s="1">
        <v>55</v>
      </c>
      <c r="M234" s="1">
        <v>132</v>
      </c>
      <c r="N234" s="1">
        <v>100</v>
      </c>
      <c r="O234" s="1">
        <v>47</v>
      </c>
      <c r="P234" s="1">
        <v>111</v>
      </c>
      <c r="Q234" s="1">
        <v>74</v>
      </c>
    </row>
    <row r="235" spans="1:17" ht="15.75" customHeight="1">
      <c r="A235" s="1">
        <v>2016</v>
      </c>
      <c r="B235" s="1">
        <v>81</v>
      </c>
      <c r="C235" s="1" t="s">
        <v>137</v>
      </c>
      <c r="D235" s="1">
        <v>5.2619999999999996</v>
      </c>
      <c r="E235" s="1" t="s">
        <v>293</v>
      </c>
      <c r="F235" s="1">
        <v>116</v>
      </c>
      <c r="G235" s="1">
        <v>95</v>
      </c>
      <c r="H235" s="1">
        <v>87</v>
      </c>
      <c r="I235" s="1">
        <v>85</v>
      </c>
      <c r="J235" s="1">
        <v>49</v>
      </c>
      <c r="K235" s="1">
        <v>2</v>
      </c>
      <c r="L235" s="1">
        <v>104</v>
      </c>
      <c r="M235" s="1">
        <v>25</v>
      </c>
      <c r="N235" s="1">
        <v>108</v>
      </c>
      <c r="O235" s="1">
        <v>2</v>
      </c>
      <c r="P235" s="1">
        <v>1</v>
      </c>
      <c r="Q235" s="1">
        <v>77</v>
      </c>
    </row>
    <row r="236" spans="1:17" ht="15.75" customHeight="1">
      <c r="A236" s="1">
        <v>2016</v>
      </c>
      <c r="B236" s="1">
        <v>82</v>
      </c>
      <c r="C236" s="1" t="s">
        <v>93</v>
      </c>
      <c r="D236" s="1">
        <v>5.25</v>
      </c>
      <c r="E236" s="1" t="s">
        <v>294</v>
      </c>
      <c r="F236" s="1">
        <v>124</v>
      </c>
      <c r="G236" s="1">
        <v>40</v>
      </c>
      <c r="H236" s="1">
        <v>129</v>
      </c>
      <c r="I236" s="1">
        <v>83</v>
      </c>
      <c r="J236" s="1">
        <v>137</v>
      </c>
      <c r="K236" s="1">
        <v>121</v>
      </c>
      <c r="L236" s="1">
        <v>106</v>
      </c>
      <c r="M236" s="1">
        <v>64</v>
      </c>
      <c r="N236" s="1">
        <v>128</v>
      </c>
      <c r="O236" s="1">
        <v>121</v>
      </c>
      <c r="P236" s="1">
        <v>116</v>
      </c>
      <c r="Q236" s="1">
        <v>84</v>
      </c>
    </row>
    <row r="237" spans="1:17" ht="15.75" customHeight="1">
      <c r="A237" s="1">
        <v>2016</v>
      </c>
      <c r="B237" s="1">
        <v>83</v>
      </c>
      <c r="C237" s="1" t="s">
        <v>147</v>
      </c>
      <c r="D237" s="1">
        <v>5.2370000000000001</v>
      </c>
      <c r="E237" s="1" t="s">
        <v>295</v>
      </c>
      <c r="F237" s="1">
        <v>89</v>
      </c>
      <c r="G237" s="1">
        <v>62</v>
      </c>
      <c r="H237" s="1">
        <v>56</v>
      </c>
      <c r="I237" s="1">
        <v>42</v>
      </c>
      <c r="J237" s="1">
        <v>128</v>
      </c>
      <c r="K237" s="1">
        <v>78</v>
      </c>
      <c r="L237" s="1">
        <v>87</v>
      </c>
      <c r="M237" s="1">
        <v>122</v>
      </c>
      <c r="N237" s="1">
        <v>104</v>
      </c>
      <c r="O237" s="1">
        <v>78</v>
      </c>
      <c r="P237" s="1">
        <v>120</v>
      </c>
      <c r="Q237" s="1">
        <v>109</v>
      </c>
    </row>
    <row r="238" spans="1:17" ht="15.75" customHeight="1">
      <c r="A238" s="1">
        <v>2016</v>
      </c>
      <c r="B238" s="1">
        <v>84</v>
      </c>
      <c r="C238" s="1" t="s">
        <v>150</v>
      </c>
      <c r="D238" s="1">
        <v>5.2350000000000003</v>
      </c>
      <c r="E238" s="1">
        <v>0.35</v>
      </c>
      <c r="F238" s="1">
        <v>78</v>
      </c>
      <c r="G238" s="1">
        <v>121</v>
      </c>
      <c r="H238" s="1">
        <v>94</v>
      </c>
      <c r="I238" s="1">
        <v>80</v>
      </c>
      <c r="J238" s="1">
        <v>57</v>
      </c>
      <c r="K238" s="1">
        <v>140</v>
      </c>
      <c r="L238" s="1">
        <v>34</v>
      </c>
      <c r="M238" s="1">
        <v>72</v>
      </c>
      <c r="N238" s="1">
        <v>25</v>
      </c>
      <c r="O238" s="1">
        <v>140</v>
      </c>
      <c r="P238" s="1">
        <v>131</v>
      </c>
      <c r="Q238" s="1">
        <v>98</v>
      </c>
    </row>
    <row r="239" spans="1:17" ht="15.75" customHeight="1">
      <c r="A239" s="1">
        <v>2016</v>
      </c>
      <c r="B239" s="1">
        <v>85</v>
      </c>
      <c r="C239" s="1" t="s">
        <v>140</v>
      </c>
      <c r="D239" s="1">
        <v>5.234</v>
      </c>
      <c r="E239" s="1">
        <v>0.63</v>
      </c>
      <c r="F239" s="1">
        <v>12</v>
      </c>
      <c r="G239" s="1">
        <v>99</v>
      </c>
      <c r="H239" s="1">
        <v>59</v>
      </c>
      <c r="I239" s="1">
        <v>66</v>
      </c>
      <c r="J239" s="1">
        <v>96</v>
      </c>
      <c r="K239" s="1">
        <v>126</v>
      </c>
      <c r="L239" s="1">
        <v>21</v>
      </c>
      <c r="M239" s="1">
        <v>131</v>
      </c>
      <c r="N239" s="1">
        <v>16</v>
      </c>
      <c r="O239" s="1">
        <v>126</v>
      </c>
      <c r="P239" s="1">
        <v>88</v>
      </c>
      <c r="Q239" s="1">
        <v>129</v>
      </c>
    </row>
    <row r="240" spans="1:17" ht="15.75" customHeight="1">
      <c r="A240" s="1">
        <v>2016</v>
      </c>
      <c r="B240" s="1">
        <v>86</v>
      </c>
      <c r="C240" s="1" t="s">
        <v>149</v>
      </c>
      <c r="D240" s="1">
        <v>5.23</v>
      </c>
      <c r="E240" s="1">
        <v>0.26700000000000002</v>
      </c>
      <c r="F240" s="1">
        <v>139</v>
      </c>
      <c r="G240" s="1">
        <v>48</v>
      </c>
      <c r="H240" s="1">
        <v>63</v>
      </c>
      <c r="I240" s="1">
        <v>77</v>
      </c>
      <c r="J240" s="1">
        <v>32</v>
      </c>
      <c r="K240" s="1">
        <v>79</v>
      </c>
      <c r="L240" s="1">
        <v>40</v>
      </c>
      <c r="M240" s="1">
        <v>44</v>
      </c>
      <c r="N240" s="1">
        <v>73</v>
      </c>
      <c r="O240" s="1">
        <v>79</v>
      </c>
      <c r="P240" s="1">
        <v>17</v>
      </c>
      <c r="Q240" s="1">
        <v>22</v>
      </c>
    </row>
    <row r="241" spans="1:17" ht="15.75" customHeight="1">
      <c r="A241" s="1">
        <v>2016</v>
      </c>
      <c r="B241" s="1">
        <v>87</v>
      </c>
      <c r="C241" s="1" t="s">
        <v>160</v>
      </c>
      <c r="D241" s="1">
        <v>5.2270000000000003</v>
      </c>
      <c r="E241" s="1" t="s">
        <v>296</v>
      </c>
      <c r="F241" s="1">
        <v>96</v>
      </c>
      <c r="G241" s="1">
        <v>89</v>
      </c>
      <c r="H241" s="1">
        <v>43</v>
      </c>
      <c r="I241" s="1">
        <v>24</v>
      </c>
      <c r="J241" s="1">
        <v>135</v>
      </c>
      <c r="K241" s="1">
        <v>131</v>
      </c>
      <c r="L241" s="1">
        <v>112</v>
      </c>
      <c r="M241" s="1">
        <v>97</v>
      </c>
      <c r="N241" s="1">
        <v>101</v>
      </c>
      <c r="O241" s="1">
        <v>131</v>
      </c>
      <c r="P241" s="1">
        <v>115</v>
      </c>
      <c r="Q241" s="1">
        <v>71</v>
      </c>
    </row>
    <row r="242" spans="1:17" ht="15.75" customHeight="1">
      <c r="A242" s="1">
        <v>2016</v>
      </c>
      <c r="B242" s="1">
        <v>88</v>
      </c>
      <c r="C242" s="1" t="s">
        <v>154</v>
      </c>
      <c r="D242" s="1">
        <v>5.2249999999999996</v>
      </c>
      <c r="E242" s="1">
        <v>0.29399999999999998</v>
      </c>
      <c r="F242" s="1">
        <v>86</v>
      </c>
      <c r="G242" s="1">
        <v>77</v>
      </c>
      <c r="H242" s="1">
        <v>68</v>
      </c>
      <c r="I242" s="1">
        <v>45</v>
      </c>
      <c r="J242" s="1">
        <v>110</v>
      </c>
      <c r="K242" s="1">
        <v>40</v>
      </c>
      <c r="L242" s="1">
        <v>90</v>
      </c>
      <c r="M242" s="1">
        <v>130</v>
      </c>
      <c r="N242" s="1">
        <v>66</v>
      </c>
      <c r="O242" s="1">
        <v>40</v>
      </c>
      <c r="P242" s="1">
        <v>104</v>
      </c>
      <c r="Q242" s="1">
        <v>81</v>
      </c>
    </row>
    <row r="243" spans="1:17" ht="15.75" customHeight="1">
      <c r="A243" s="1">
        <v>2016</v>
      </c>
      <c r="B243" s="1">
        <v>89</v>
      </c>
      <c r="C243" s="1" t="s">
        <v>155</v>
      </c>
      <c r="D243" s="1">
        <v>5.1950000000000003</v>
      </c>
      <c r="E243" s="1">
        <v>9.4E-2</v>
      </c>
      <c r="F243" s="1">
        <v>75</v>
      </c>
      <c r="G243" s="1">
        <v>39</v>
      </c>
      <c r="H243" s="1">
        <v>37</v>
      </c>
      <c r="I243" s="1">
        <v>25</v>
      </c>
      <c r="J243" s="1">
        <v>46</v>
      </c>
      <c r="K243" s="1">
        <v>113</v>
      </c>
      <c r="L243" s="1">
        <v>122</v>
      </c>
      <c r="M243" s="1">
        <v>71</v>
      </c>
      <c r="N243" s="1">
        <v>99</v>
      </c>
      <c r="O243" s="1">
        <v>113</v>
      </c>
      <c r="P243" s="1">
        <v>80</v>
      </c>
      <c r="Q243" s="1">
        <v>78</v>
      </c>
    </row>
    <row r="244" spans="1:17" ht="15.75" customHeight="1">
      <c r="A244" s="1">
        <v>2016</v>
      </c>
      <c r="B244" s="1">
        <v>90</v>
      </c>
      <c r="C244" s="1" t="s">
        <v>146</v>
      </c>
      <c r="D244" s="1">
        <v>5.1820000000000004</v>
      </c>
      <c r="E244" s="1">
        <v>0.36899999999999999</v>
      </c>
      <c r="F244" s="1">
        <v>88</v>
      </c>
      <c r="G244" s="1">
        <v>86</v>
      </c>
      <c r="H244" s="1">
        <v>75</v>
      </c>
      <c r="I244" s="1">
        <v>47</v>
      </c>
      <c r="J244" s="1">
        <v>117</v>
      </c>
      <c r="K244" s="1">
        <v>31</v>
      </c>
      <c r="L244" s="1">
        <v>129</v>
      </c>
      <c r="M244" s="1">
        <v>114</v>
      </c>
      <c r="N244" s="1">
        <v>89</v>
      </c>
      <c r="O244" s="1">
        <v>31</v>
      </c>
      <c r="P244" s="1">
        <v>133</v>
      </c>
      <c r="Q244" s="1">
        <v>59</v>
      </c>
    </row>
    <row r="245" spans="1:17" ht="15.75" customHeight="1">
      <c r="A245" s="1">
        <v>2016</v>
      </c>
      <c r="B245" s="1">
        <v>91</v>
      </c>
      <c r="C245" s="1" t="s">
        <v>167</v>
      </c>
      <c r="D245" s="1">
        <v>5.181</v>
      </c>
      <c r="E245" s="1">
        <v>3.9E-2</v>
      </c>
      <c r="F245" s="1">
        <v>136</v>
      </c>
      <c r="G245" s="1">
        <v>101</v>
      </c>
      <c r="H245" s="1">
        <v>101</v>
      </c>
      <c r="I245" s="1">
        <v>89</v>
      </c>
      <c r="J245" s="1">
        <v>40</v>
      </c>
      <c r="K245" s="1">
        <v>49</v>
      </c>
      <c r="L245" s="1">
        <v>56</v>
      </c>
      <c r="M245" s="1">
        <v>13</v>
      </c>
      <c r="N245" s="1">
        <v>82</v>
      </c>
      <c r="O245" s="1">
        <v>49</v>
      </c>
      <c r="P245" s="1">
        <v>21</v>
      </c>
      <c r="Q245" s="1">
        <v>53</v>
      </c>
    </row>
    <row r="246" spans="1:17" ht="15.75" customHeight="1">
      <c r="A246" s="1">
        <v>2016</v>
      </c>
      <c r="B246" s="1">
        <v>92</v>
      </c>
      <c r="C246" s="1" t="s">
        <v>156</v>
      </c>
      <c r="D246" s="1">
        <v>5.1749999999999998</v>
      </c>
      <c r="E246" s="1">
        <v>0.60099999999999998</v>
      </c>
      <c r="F246" s="1">
        <v>80</v>
      </c>
      <c r="G246" s="1">
        <v>61</v>
      </c>
      <c r="H246" s="1">
        <v>60</v>
      </c>
      <c r="I246" s="1">
        <v>57</v>
      </c>
      <c r="J246" s="1">
        <v>98</v>
      </c>
      <c r="K246" s="1">
        <v>34</v>
      </c>
      <c r="L246" s="1">
        <v>99</v>
      </c>
      <c r="M246" s="1">
        <v>102</v>
      </c>
      <c r="N246" s="1">
        <v>80</v>
      </c>
      <c r="O246" s="1">
        <v>34</v>
      </c>
      <c r="P246" s="1">
        <v>106</v>
      </c>
      <c r="Q246" s="1">
        <v>75</v>
      </c>
    </row>
    <row r="247" spans="1:17" ht="15.75" customHeight="1">
      <c r="A247" s="1">
        <v>2016</v>
      </c>
      <c r="B247" s="1">
        <v>93</v>
      </c>
      <c r="C247" s="1" t="s">
        <v>134</v>
      </c>
      <c r="D247" s="1">
        <v>5.1509999999999998</v>
      </c>
      <c r="E247" s="1">
        <v>81</v>
      </c>
      <c r="F247" s="1">
        <v>132</v>
      </c>
      <c r="G247" s="1">
        <v>138</v>
      </c>
      <c r="H247" s="1">
        <v>13</v>
      </c>
      <c r="I247" s="1">
        <v>133</v>
      </c>
      <c r="J247" s="1">
        <v>94</v>
      </c>
      <c r="K247" s="1">
        <v>15</v>
      </c>
      <c r="L247" s="1">
        <v>18</v>
      </c>
      <c r="M247" s="1">
        <v>19</v>
      </c>
      <c r="N247" s="1">
        <v>94</v>
      </c>
      <c r="O247" s="1">
        <v>48</v>
      </c>
      <c r="P247" s="1">
        <v>17</v>
      </c>
      <c r="Q247" s="1"/>
    </row>
    <row r="248" spans="1:17" ht="15.75" customHeight="1">
      <c r="A248" s="1">
        <v>2016</v>
      </c>
      <c r="B248" s="3">
        <v>95</v>
      </c>
      <c r="C248" s="8" t="s">
        <v>297</v>
      </c>
      <c r="D248" s="5">
        <v>5.0739999999999998</v>
      </c>
      <c r="E248" s="9" t="s">
        <v>215</v>
      </c>
      <c r="F248" s="6">
        <v>114</v>
      </c>
      <c r="G248" s="6">
        <v>87</v>
      </c>
      <c r="H248" s="6">
        <v>103</v>
      </c>
      <c r="I248" s="7">
        <v>119</v>
      </c>
      <c r="J248" s="6">
        <v>64</v>
      </c>
      <c r="K248" s="6">
        <v>66</v>
      </c>
      <c r="L248" s="6">
        <v>118</v>
      </c>
      <c r="M248" s="6">
        <v>26</v>
      </c>
      <c r="N248" s="6">
        <v>59</v>
      </c>
      <c r="O248" s="6">
        <v>66</v>
      </c>
      <c r="P248" s="6">
        <v>30</v>
      </c>
      <c r="Q248" s="6">
        <v>16</v>
      </c>
    </row>
    <row r="249" spans="1:17" ht="15.75" customHeight="1">
      <c r="A249" s="1">
        <v>2016</v>
      </c>
      <c r="B249" s="1">
        <v>96</v>
      </c>
      <c r="C249" s="1" t="s">
        <v>162</v>
      </c>
      <c r="D249" s="1">
        <v>5.0410000000000004</v>
      </c>
      <c r="E249" s="1">
        <v>0.66100000000000003</v>
      </c>
      <c r="F249" s="1">
        <v>17</v>
      </c>
      <c r="G249" s="1">
        <v>65</v>
      </c>
      <c r="H249" s="1">
        <v>119</v>
      </c>
      <c r="I249" s="1">
        <v>73</v>
      </c>
      <c r="J249" s="1">
        <v>99</v>
      </c>
      <c r="K249" s="1">
        <v>89</v>
      </c>
      <c r="L249" s="1">
        <v>24</v>
      </c>
      <c r="M249" s="1">
        <v>103</v>
      </c>
      <c r="N249" s="1">
        <v>37</v>
      </c>
      <c r="O249" s="1">
        <v>89</v>
      </c>
      <c r="P249" s="1">
        <v>5</v>
      </c>
      <c r="Q249" s="1">
        <v>85</v>
      </c>
    </row>
    <row r="250" spans="1:17" ht="15.75" customHeight="1">
      <c r="A250" s="1">
        <v>2016</v>
      </c>
      <c r="B250" s="1">
        <v>97</v>
      </c>
      <c r="C250" s="1" t="s">
        <v>143</v>
      </c>
      <c r="D250" s="1">
        <v>5.0110000000000001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5.75" customHeight="1">
      <c r="A251" s="1">
        <v>2016</v>
      </c>
      <c r="B251" s="1">
        <v>98</v>
      </c>
      <c r="C251" s="1" t="s">
        <v>144</v>
      </c>
      <c r="D251" s="1">
        <v>5.0039999999999996</v>
      </c>
      <c r="E251" s="1" t="s">
        <v>56</v>
      </c>
      <c r="F251" s="1">
        <v>49</v>
      </c>
      <c r="G251" s="1">
        <v>33</v>
      </c>
      <c r="H251" s="1">
        <v>104</v>
      </c>
      <c r="I251" s="1">
        <v>72</v>
      </c>
      <c r="J251" s="1">
        <v>58</v>
      </c>
      <c r="K251" s="1">
        <v>61</v>
      </c>
      <c r="L251" s="1">
        <v>120</v>
      </c>
      <c r="M251" s="1">
        <v>67</v>
      </c>
      <c r="N251" s="1">
        <v>3</v>
      </c>
      <c r="O251" s="1">
        <v>61</v>
      </c>
      <c r="P251" s="1">
        <v>96</v>
      </c>
      <c r="Q251" s="1">
        <v>80</v>
      </c>
    </row>
    <row r="252" spans="1:17" ht="15.75" customHeight="1">
      <c r="A252" s="1">
        <v>2016</v>
      </c>
      <c r="B252" s="1">
        <v>99</v>
      </c>
      <c r="C252" s="1" t="s">
        <v>172</v>
      </c>
      <c r="D252" s="1">
        <v>4.9619999999999997</v>
      </c>
      <c r="E252" s="1">
        <v>0.80600000000000005</v>
      </c>
      <c r="F252" s="1">
        <v>109</v>
      </c>
      <c r="G252" s="1">
        <v>73</v>
      </c>
      <c r="H252" s="1">
        <v>113</v>
      </c>
      <c r="I252" s="1">
        <v>97</v>
      </c>
      <c r="J252" s="1">
        <v>45</v>
      </c>
      <c r="K252" s="1">
        <v>37</v>
      </c>
      <c r="L252" s="1">
        <v>74</v>
      </c>
      <c r="M252" s="1">
        <v>128</v>
      </c>
      <c r="N252" s="1">
        <v>116</v>
      </c>
      <c r="O252" s="1">
        <v>37</v>
      </c>
      <c r="P252" s="1">
        <v>27</v>
      </c>
      <c r="Q252" s="1">
        <v>92</v>
      </c>
    </row>
    <row r="253" spans="1:17" ht="15.75" customHeight="1">
      <c r="A253" s="1">
        <v>2016</v>
      </c>
      <c r="B253" s="1">
        <v>100</v>
      </c>
      <c r="C253" s="1" t="s">
        <v>163</v>
      </c>
      <c r="D253" s="1">
        <v>4.9550000000000001</v>
      </c>
      <c r="E253" s="1">
        <v>0.121</v>
      </c>
      <c r="F253" s="1">
        <v>19</v>
      </c>
      <c r="G253" s="1">
        <v>7</v>
      </c>
      <c r="H253" s="1">
        <v>78</v>
      </c>
      <c r="I253" s="1">
        <v>93</v>
      </c>
      <c r="J253" s="1">
        <v>78</v>
      </c>
      <c r="K253" s="1">
        <v>35</v>
      </c>
      <c r="L253" s="1">
        <v>114</v>
      </c>
      <c r="M253" s="1">
        <v>118</v>
      </c>
      <c r="N253" s="1">
        <v>10</v>
      </c>
      <c r="O253" s="1">
        <v>35</v>
      </c>
      <c r="P253" s="1">
        <v>12</v>
      </c>
      <c r="Q253" s="1">
        <v>72</v>
      </c>
    </row>
    <row r="254" spans="1:17" ht="15.75" customHeight="1">
      <c r="A254" s="1">
        <v>2016</v>
      </c>
      <c r="B254" s="1">
        <v>101</v>
      </c>
      <c r="C254" s="1" t="s">
        <v>185</v>
      </c>
      <c r="D254" s="1">
        <v>4.8289999999999997</v>
      </c>
      <c r="E254" s="1" t="s">
        <v>298</v>
      </c>
      <c r="F254" s="1">
        <v>132</v>
      </c>
      <c r="G254" s="1">
        <v>60</v>
      </c>
      <c r="H254" s="1">
        <v>77</v>
      </c>
      <c r="I254" s="1">
        <v>113</v>
      </c>
      <c r="J254" s="1">
        <v>71</v>
      </c>
      <c r="K254" s="1">
        <v>81</v>
      </c>
      <c r="L254" s="1">
        <v>70</v>
      </c>
      <c r="M254" s="1">
        <v>29</v>
      </c>
      <c r="N254" s="1">
        <v>85</v>
      </c>
      <c r="O254" s="1">
        <v>81</v>
      </c>
      <c r="P254" s="1">
        <v>18</v>
      </c>
      <c r="Q254" s="1">
        <v>11</v>
      </c>
    </row>
    <row r="255" spans="1:17" ht="15.75" customHeight="1">
      <c r="A255" s="1">
        <v>2016</v>
      </c>
      <c r="B255" s="1">
        <v>102</v>
      </c>
      <c r="C255" s="1" t="s">
        <v>159</v>
      </c>
      <c r="D255" s="1">
        <v>4.8049999999999997</v>
      </c>
      <c r="E255" s="1" t="s">
        <v>299</v>
      </c>
      <c r="F255" s="1">
        <v>76</v>
      </c>
      <c r="G255" s="1">
        <v>115</v>
      </c>
      <c r="H255" s="1">
        <v>84</v>
      </c>
      <c r="I255" s="1">
        <v>53</v>
      </c>
      <c r="J255" s="1">
        <v>120</v>
      </c>
      <c r="K255" s="1">
        <v>118</v>
      </c>
      <c r="L255" s="1">
        <v>66</v>
      </c>
      <c r="M255" s="1">
        <v>126</v>
      </c>
      <c r="N255" s="1">
        <v>124</v>
      </c>
      <c r="O255" s="1">
        <v>118</v>
      </c>
      <c r="P255" s="1">
        <v>113</v>
      </c>
      <c r="Q255" s="1">
        <v>30</v>
      </c>
    </row>
    <row r="256" spans="1:17" ht="15.75" customHeight="1">
      <c r="A256" s="1">
        <v>2016</v>
      </c>
      <c r="B256" s="1">
        <v>103</v>
      </c>
      <c r="C256" s="1" t="s">
        <v>173</v>
      </c>
      <c r="D256" s="1">
        <v>4.7750000000000004</v>
      </c>
      <c r="E256" s="1">
        <v>7.4999999999999997E-2</v>
      </c>
      <c r="F256" s="1">
        <v>102</v>
      </c>
      <c r="G256" s="1">
        <v>81</v>
      </c>
      <c r="H256" s="1">
        <v>100</v>
      </c>
      <c r="I256" s="1"/>
      <c r="J256" s="1">
        <v>124</v>
      </c>
      <c r="K256" s="1">
        <v>127</v>
      </c>
      <c r="L256" s="1">
        <v>69</v>
      </c>
      <c r="M256" s="1">
        <v>124</v>
      </c>
      <c r="N256" s="1">
        <v>127</v>
      </c>
      <c r="O256" s="1">
        <v>128</v>
      </c>
      <c r="P256" s="1">
        <v>103</v>
      </c>
      <c r="Q256" s="1"/>
    </row>
    <row r="257" spans="1:17" ht="15.75" customHeight="1">
      <c r="A257" s="1">
        <v>2016</v>
      </c>
      <c r="B257" s="1">
        <v>104</v>
      </c>
      <c r="C257" s="1" t="s">
        <v>191</v>
      </c>
      <c r="D257" s="1">
        <v>4.7350000000000003</v>
      </c>
      <c r="E257" s="1">
        <v>0.46200000000000002</v>
      </c>
      <c r="F257" s="1">
        <v>64</v>
      </c>
      <c r="G257" s="1">
        <v>85</v>
      </c>
      <c r="H257" s="1">
        <v>79</v>
      </c>
      <c r="I257" s="1">
        <v>90</v>
      </c>
      <c r="J257" s="1">
        <v>111</v>
      </c>
      <c r="K257" s="1">
        <v>111</v>
      </c>
      <c r="L257" s="1">
        <v>75</v>
      </c>
      <c r="M257" s="1">
        <v>125</v>
      </c>
      <c r="N257" s="1">
        <v>117</v>
      </c>
      <c r="O257" s="1">
        <v>111</v>
      </c>
      <c r="P257" s="1">
        <v>132</v>
      </c>
      <c r="Q257" s="1">
        <v>51</v>
      </c>
    </row>
    <row r="258" spans="1:17" ht="15.75" customHeight="1">
      <c r="A258" s="1">
        <v>2016</v>
      </c>
      <c r="B258" s="1">
        <v>105</v>
      </c>
      <c r="C258" s="1" t="s">
        <v>205</v>
      </c>
      <c r="D258" s="1">
        <v>4.7140000000000004</v>
      </c>
      <c r="E258" s="1">
        <v>0.73299999999999998</v>
      </c>
      <c r="F258" s="1">
        <v>48</v>
      </c>
      <c r="G258" s="1">
        <v>27</v>
      </c>
      <c r="H258" s="1">
        <v>53</v>
      </c>
      <c r="I258" s="1">
        <v>64</v>
      </c>
      <c r="J258" s="1">
        <v>101</v>
      </c>
      <c r="K258" s="1">
        <v>109</v>
      </c>
      <c r="L258" s="1">
        <v>125</v>
      </c>
      <c r="M258" s="1">
        <v>123</v>
      </c>
      <c r="N258" s="1">
        <v>11</v>
      </c>
      <c r="O258" s="1">
        <v>109</v>
      </c>
      <c r="P258" s="1">
        <v>139</v>
      </c>
      <c r="Q258" s="1">
        <v>125</v>
      </c>
    </row>
    <row r="259" spans="1:17" ht="15.75" customHeight="1">
      <c r="A259" s="1">
        <v>2016</v>
      </c>
      <c r="B259" s="1">
        <v>106</v>
      </c>
      <c r="C259" s="1" t="s">
        <v>178</v>
      </c>
      <c r="D259" s="1">
        <v>4.7089999999999996</v>
      </c>
      <c r="E259" s="1">
        <v>0.39100000000000001</v>
      </c>
      <c r="F259" s="1">
        <v>141</v>
      </c>
      <c r="G259" s="1">
        <v>120</v>
      </c>
      <c r="H259" s="1">
        <v>124</v>
      </c>
      <c r="I259" s="1">
        <v>129</v>
      </c>
      <c r="J259" s="1">
        <v>106</v>
      </c>
      <c r="K259" s="1">
        <v>72</v>
      </c>
      <c r="L259" s="1">
        <v>95</v>
      </c>
      <c r="M259" s="1">
        <v>89</v>
      </c>
      <c r="N259" s="1">
        <v>134</v>
      </c>
      <c r="O259" s="1">
        <v>72</v>
      </c>
      <c r="P259" s="1">
        <v>8</v>
      </c>
      <c r="Q259" s="1">
        <v>1</v>
      </c>
    </row>
    <row r="260" spans="1:17" ht="15.75" customHeight="1">
      <c r="A260" s="1">
        <v>2016</v>
      </c>
      <c r="B260" s="1">
        <v>107</v>
      </c>
      <c r="C260" s="1" t="s">
        <v>182</v>
      </c>
      <c r="D260" s="1">
        <v>4.6950000000000003</v>
      </c>
      <c r="E260" s="1">
        <v>0.27500000000000002</v>
      </c>
      <c r="F260" s="1">
        <v>100</v>
      </c>
      <c r="G260" s="1">
        <v>119</v>
      </c>
      <c r="H260" s="1">
        <v>112</v>
      </c>
      <c r="I260" s="1">
        <v>126</v>
      </c>
      <c r="J260" s="1">
        <v>97</v>
      </c>
      <c r="K260" s="1">
        <v>90</v>
      </c>
      <c r="L260" s="1">
        <v>102</v>
      </c>
      <c r="M260" s="1">
        <v>82</v>
      </c>
      <c r="N260" s="1">
        <v>114</v>
      </c>
      <c r="O260" s="1">
        <v>90</v>
      </c>
      <c r="P260" s="1">
        <v>66</v>
      </c>
      <c r="Q260" s="1">
        <v>36</v>
      </c>
    </row>
    <row r="261" spans="1:17" ht="15.75" customHeight="1">
      <c r="A261" s="1">
        <v>2016</v>
      </c>
      <c r="B261" s="1">
        <v>108</v>
      </c>
      <c r="C261" s="1" t="s">
        <v>169</v>
      </c>
      <c r="D261" s="1">
        <v>4.6920000000000002</v>
      </c>
      <c r="E261" s="1">
        <v>4.9000000000000002E-2</v>
      </c>
      <c r="F261" s="1">
        <v>115</v>
      </c>
      <c r="G261" s="1">
        <v>134</v>
      </c>
      <c r="H261" s="1">
        <v>74</v>
      </c>
      <c r="I261" s="1">
        <v>55</v>
      </c>
      <c r="J261" s="1">
        <v>72</v>
      </c>
      <c r="K261" s="1">
        <v>23</v>
      </c>
      <c r="L261" s="1">
        <v>33</v>
      </c>
      <c r="M261" s="1">
        <v>98</v>
      </c>
      <c r="N261" s="1">
        <v>139</v>
      </c>
      <c r="O261" s="1">
        <v>23</v>
      </c>
      <c r="P261" s="1">
        <v>41</v>
      </c>
      <c r="Q261" s="1">
        <v>29</v>
      </c>
    </row>
    <row r="262" spans="1:17" ht="15.75" customHeight="1">
      <c r="A262" s="1">
        <v>2016</v>
      </c>
      <c r="B262" s="1">
        <v>109</v>
      </c>
      <c r="C262" s="1" t="s">
        <v>174</v>
      </c>
      <c r="D262" s="1">
        <v>4.6440000000000001</v>
      </c>
      <c r="E262" s="1" t="s">
        <v>300</v>
      </c>
      <c r="F262" s="1">
        <v>123</v>
      </c>
      <c r="G262" s="1">
        <v>125</v>
      </c>
      <c r="H262" s="1">
        <v>81</v>
      </c>
      <c r="I262" s="1">
        <v>33</v>
      </c>
      <c r="J262" s="1">
        <v>90</v>
      </c>
      <c r="K262" s="1">
        <v>65</v>
      </c>
      <c r="L262" s="1">
        <v>115</v>
      </c>
      <c r="M262" s="1">
        <v>113</v>
      </c>
      <c r="N262" s="1">
        <v>96</v>
      </c>
      <c r="O262" s="1">
        <v>65</v>
      </c>
      <c r="P262" s="1">
        <v>119</v>
      </c>
      <c r="Q262" s="1">
        <v>97</v>
      </c>
    </row>
    <row r="263" spans="1:17" ht="15.75" customHeight="1">
      <c r="A263" s="1">
        <v>2016</v>
      </c>
      <c r="B263" s="1">
        <v>110</v>
      </c>
      <c r="C263" s="1" t="s">
        <v>176</v>
      </c>
      <c r="D263" s="1">
        <v>4.6079999999999997</v>
      </c>
      <c r="E263" s="1" t="s">
        <v>258</v>
      </c>
      <c r="F263" s="1">
        <v>58</v>
      </c>
      <c r="G263" s="1">
        <v>122</v>
      </c>
      <c r="H263" s="1">
        <v>105</v>
      </c>
      <c r="I263" s="1">
        <v>78</v>
      </c>
      <c r="J263" s="1">
        <v>29</v>
      </c>
      <c r="K263" s="1">
        <v>117</v>
      </c>
      <c r="L263" s="1">
        <v>28</v>
      </c>
      <c r="M263" s="1">
        <v>139</v>
      </c>
      <c r="N263" s="1">
        <v>49</v>
      </c>
      <c r="O263" s="1">
        <v>117</v>
      </c>
      <c r="P263" s="1">
        <v>129</v>
      </c>
      <c r="Q263" s="1">
        <v>124</v>
      </c>
    </row>
    <row r="264" spans="1:17" ht="15.75" customHeight="1">
      <c r="A264" s="1">
        <v>2016</v>
      </c>
      <c r="B264" s="1">
        <v>111</v>
      </c>
      <c r="C264" s="1" t="s">
        <v>181</v>
      </c>
      <c r="D264" s="1">
        <v>4.5739999999999998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ht="15.75" customHeight="1">
      <c r="A265" s="1">
        <v>2016</v>
      </c>
      <c r="B265" s="1">
        <v>112</v>
      </c>
      <c r="C265" s="1" t="s">
        <v>193</v>
      </c>
      <c r="D265" s="1">
        <v>4.5529999999999999</v>
      </c>
      <c r="E265" s="1">
        <v>0.15</v>
      </c>
      <c r="F265" s="1">
        <v>106</v>
      </c>
      <c r="G265" s="1">
        <v>114</v>
      </c>
      <c r="H265" s="1">
        <v>111</v>
      </c>
      <c r="I265" s="1">
        <v>106</v>
      </c>
      <c r="J265" s="1">
        <v>83</v>
      </c>
      <c r="K265" s="1">
        <v>20</v>
      </c>
      <c r="L265" s="1">
        <v>79</v>
      </c>
      <c r="M265" s="1">
        <v>42</v>
      </c>
      <c r="N265" s="1">
        <v>43</v>
      </c>
      <c r="O265" s="1">
        <v>20</v>
      </c>
      <c r="P265" s="1">
        <v>2</v>
      </c>
      <c r="Q265" s="1">
        <v>4</v>
      </c>
    </row>
    <row r="266" spans="1:17" ht="15.75" customHeight="1">
      <c r="A266" s="1">
        <v>2016</v>
      </c>
      <c r="B266" s="3">
        <v>113</v>
      </c>
      <c r="C266" s="8" t="s">
        <v>301</v>
      </c>
      <c r="D266" s="5">
        <v>4.55</v>
      </c>
      <c r="E266" s="9" t="s">
        <v>302</v>
      </c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</row>
    <row r="267" spans="1:17" ht="15.75" customHeight="1">
      <c r="A267" s="1">
        <v>2016</v>
      </c>
      <c r="B267" s="3">
        <v>114</v>
      </c>
      <c r="C267" s="8" t="s">
        <v>303</v>
      </c>
      <c r="D267" s="5">
        <v>4.5449999999999999</v>
      </c>
      <c r="E267" s="6">
        <v>0.106</v>
      </c>
      <c r="F267" s="6">
        <v>40</v>
      </c>
      <c r="G267" s="6">
        <v>94</v>
      </c>
      <c r="H267" s="6">
        <v>107</v>
      </c>
      <c r="I267" s="10">
        <v>100</v>
      </c>
      <c r="J267" s="6">
        <v>28</v>
      </c>
      <c r="K267" s="6">
        <v>1</v>
      </c>
      <c r="L267" s="6">
        <v>22</v>
      </c>
      <c r="M267" s="6">
        <v>65</v>
      </c>
      <c r="N267" s="6">
        <v>86</v>
      </c>
      <c r="O267" s="6">
        <v>1</v>
      </c>
      <c r="P267" s="6">
        <v>3</v>
      </c>
      <c r="Q267" s="6">
        <v>57</v>
      </c>
    </row>
    <row r="268" spans="1:17" ht="15.75" customHeight="1">
      <c r="A268" s="1">
        <v>2016</v>
      </c>
      <c r="B268" s="1">
        <v>115</v>
      </c>
      <c r="C268" s="1" t="s">
        <v>204</v>
      </c>
      <c r="D268" s="1">
        <v>4.5350000000000001</v>
      </c>
      <c r="E268" s="1">
        <v>0.57599999999999996</v>
      </c>
      <c r="F268" s="1">
        <v>35</v>
      </c>
      <c r="G268" s="1">
        <v>71</v>
      </c>
      <c r="H268" s="1">
        <v>114</v>
      </c>
      <c r="I268" s="1">
        <v>101</v>
      </c>
      <c r="J268" s="1">
        <v>86</v>
      </c>
      <c r="K268" s="1">
        <v>122</v>
      </c>
      <c r="L268" s="1">
        <v>58</v>
      </c>
      <c r="M268" s="1">
        <v>16</v>
      </c>
      <c r="N268" s="1">
        <v>55</v>
      </c>
      <c r="O268" s="1">
        <v>122</v>
      </c>
      <c r="P268" s="1">
        <v>52</v>
      </c>
      <c r="Q268" s="1">
        <v>33</v>
      </c>
    </row>
    <row r="269" spans="1:17" ht="15.75" customHeight="1">
      <c r="A269" s="1">
        <v>2016</v>
      </c>
      <c r="B269" s="1">
        <v>116</v>
      </c>
      <c r="C269" s="1" t="s">
        <v>170</v>
      </c>
      <c r="D269" s="1">
        <v>4.5140000000000002</v>
      </c>
      <c r="E269" s="1" t="s">
        <v>304</v>
      </c>
      <c r="F269" s="1">
        <v>140</v>
      </c>
      <c r="G269" s="1">
        <v>104</v>
      </c>
      <c r="H269" s="1">
        <v>115</v>
      </c>
      <c r="I269" s="1">
        <v>121</v>
      </c>
      <c r="J269" s="1">
        <v>59</v>
      </c>
      <c r="K269" s="1">
        <v>44</v>
      </c>
      <c r="L269" s="1">
        <v>48</v>
      </c>
      <c r="M269" s="1">
        <v>58</v>
      </c>
      <c r="N269" s="1">
        <v>118</v>
      </c>
      <c r="O269" s="1">
        <v>44</v>
      </c>
      <c r="P269" s="1">
        <v>19</v>
      </c>
      <c r="Q269" s="1">
        <v>15</v>
      </c>
    </row>
    <row r="270" spans="1:17" ht="15.75" customHeight="1">
      <c r="A270" s="1">
        <v>2016</v>
      </c>
      <c r="B270" s="1">
        <v>117</v>
      </c>
      <c r="C270" s="1" t="s">
        <v>179</v>
      </c>
      <c r="D270" s="1">
        <v>4.4969999999999999</v>
      </c>
      <c r="E270" s="1" t="s">
        <v>305</v>
      </c>
      <c r="F270" s="1">
        <v>135</v>
      </c>
      <c r="G270" s="1">
        <v>111</v>
      </c>
      <c r="H270" s="1">
        <v>72</v>
      </c>
      <c r="I270" s="1">
        <v>96</v>
      </c>
      <c r="J270" s="1">
        <v>108</v>
      </c>
      <c r="K270" s="1">
        <v>77</v>
      </c>
      <c r="L270" s="1">
        <v>60</v>
      </c>
      <c r="M270" s="1">
        <v>138</v>
      </c>
      <c r="N270" s="1">
        <v>141</v>
      </c>
      <c r="O270" s="1">
        <v>77</v>
      </c>
      <c r="P270" s="1">
        <v>87</v>
      </c>
      <c r="Q270" s="1">
        <v>2</v>
      </c>
    </row>
    <row r="271" spans="1:17" ht="15.75" customHeight="1">
      <c r="A271" s="1">
        <v>2016</v>
      </c>
      <c r="B271" s="1">
        <v>118</v>
      </c>
      <c r="C271" s="1" t="s">
        <v>306</v>
      </c>
      <c r="D271" s="1">
        <v>4.4649999999999999</v>
      </c>
      <c r="E271" s="1">
        <v>0.35099999999999998</v>
      </c>
      <c r="F271" s="1">
        <v>87</v>
      </c>
      <c r="G271" s="1">
        <v>98</v>
      </c>
      <c r="H271" s="1">
        <v>58</v>
      </c>
      <c r="I271" s="1">
        <v>111</v>
      </c>
      <c r="J271" s="1">
        <v>103</v>
      </c>
      <c r="K271" s="1">
        <v>124</v>
      </c>
      <c r="L271" s="1">
        <v>73</v>
      </c>
      <c r="M271" s="1">
        <v>88</v>
      </c>
      <c r="N271" s="1">
        <v>131</v>
      </c>
      <c r="O271" s="1">
        <v>124</v>
      </c>
      <c r="P271" s="1">
        <v>112</v>
      </c>
      <c r="Q271" s="1">
        <v>37</v>
      </c>
    </row>
    <row r="272" spans="1:17" ht="15.75" customHeight="1">
      <c r="A272" s="1">
        <v>2016</v>
      </c>
      <c r="B272" s="1">
        <v>119</v>
      </c>
      <c r="C272" s="1" t="s">
        <v>183</v>
      </c>
      <c r="D272" s="1">
        <v>4.46</v>
      </c>
      <c r="E272" s="1" t="s">
        <v>80</v>
      </c>
      <c r="F272" s="1">
        <v>34</v>
      </c>
      <c r="G272" s="1">
        <v>112</v>
      </c>
      <c r="H272" s="1">
        <v>132</v>
      </c>
      <c r="I272" s="1">
        <v>102</v>
      </c>
      <c r="J272" s="1">
        <v>85</v>
      </c>
      <c r="K272" s="1">
        <v>91</v>
      </c>
      <c r="L272" s="1">
        <v>32</v>
      </c>
      <c r="M272" s="1">
        <v>86</v>
      </c>
      <c r="N272" s="1">
        <v>61</v>
      </c>
      <c r="O272" s="1">
        <v>91</v>
      </c>
      <c r="P272" s="1">
        <v>85</v>
      </c>
      <c r="Q272" s="1">
        <v>108</v>
      </c>
    </row>
    <row r="273" spans="1:17" ht="15.75" customHeight="1">
      <c r="A273" s="1">
        <v>2016</v>
      </c>
      <c r="B273" s="1">
        <v>120</v>
      </c>
      <c r="C273" s="1" t="s">
        <v>187</v>
      </c>
      <c r="D273" s="1">
        <v>4.4400000000000004</v>
      </c>
      <c r="E273" s="1">
        <v>0.28899999999999998</v>
      </c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ht="15.75" customHeight="1">
      <c r="A274" s="1">
        <v>2016</v>
      </c>
      <c r="B274" s="1">
        <v>121</v>
      </c>
      <c r="C274" s="1" t="s">
        <v>192</v>
      </c>
      <c r="D274" s="1">
        <v>4.3760000000000003</v>
      </c>
      <c r="E274" s="1">
        <v>0.06</v>
      </c>
      <c r="F274" s="1">
        <v>72</v>
      </c>
      <c r="G274" s="1">
        <v>113</v>
      </c>
      <c r="H274" s="1">
        <v>83</v>
      </c>
      <c r="I274" s="1">
        <v>63</v>
      </c>
      <c r="J274" s="1">
        <v>123</v>
      </c>
      <c r="K274" s="1">
        <v>119</v>
      </c>
      <c r="L274" s="1">
        <v>121</v>
      </c>
      <c r="M274" s="1">
        <v>129</v>
      </c>
      <c r="N274" s="1">
        <v>132</v>
      </c>
      <c r="O274" s="1">
        <v>119</v>
      </c>
      <c r="P274" s="1">
        <v>140</v>
      </c>
      <c r="Q274" s="1">
        <v>91</v>
      </c>
    </row>
    <row r="275" spans="1:17" ht="15.75" customHeight="1">
      <c r="A275" s="1">
        <v>2016</v>
      </c>
      <c r="B275" s="1">
        <v>122</v>
      </c>
      <c r="C275" s="1" t="s">
        <v>188</v>
      </c>
      <c r="D275" s="1">
        <v>4.3150000000000004</v>
      </c>
      <c r="E275" s="1" t="s">
        <v>307</v>
      </c>
      <c r="F275" s="1">
        <v>25</v>
      </c>
      <c r="G275" s="1">
        <v>131</v>
      </c>
      <c r="H275" s="1">
        <v>99</v>
      </c>
      <c r="I275" s="1">
        <v>99</v>
      </c>
      <c r="J275" s="1">
        <v>55</v>
      </c>
      <c r="K275" s="1">
        <v>59</v>
      </c>
      <c r="L275" s="1">
        <v>47</v>
      </c>
      <c r="M275" s="1">
        <v>77</v>
      </c>
      <c r="N275" s="1">
        <v>109</v>
      </c>
      <c r="O275" s="1">
        <v>59</v>
      </c>
      <c r="P275" s="1">
        <v>34</v>
      </c>
      <c r="Q275" s="1">
        <v>119</v>
      </c>
    </row>
    <row r="276" spans="1:17" ht="15.75" customHeight="1">
      <c r="A276" s="1">
        <v>2016</v>
      </c>
      <c r="B276" s="1">
        <v>123</v>
      </c>
      <c r="C276" s="1" t="s">
        <v>206</v>
      </c>
      <c r="D276" s="1">
        <v>4.2919999999999998</v>
      </c>
      <c r="E276" s="1" t="s">
        <v>308</v>
      </c>
      <c r="F276" s="1">
        <v>82</v>
      </c>
      <c r="G276" s="1">
        <v>97</v>
      </c>
      <c r="H276" s="1">
        <v>102</v>
      </c>
      <c r="I276" s="1">
        <v>92</v>
      </c>
      <c r="J276" s="1">
        <v>136</v>
      </c>
      <c r="K276" s="1">
        <v>137</v>
      </c>
      <c r="L276" s="1">
        <v>85</v>
      </c>
      <c r="M276" s="1">
        <v>50</v>
      </c>
      <c r="N276" s="1">
        <v>38</v>
      </c>
      <c r="O276" s="1">
        <v>137</v>
      </c>
      <c r="P276" s="1">
        <v>124</v>
      </c>
      <c r="Q276" s="1">
        <v>111</v>
      </c>
    </row>
    <row r="277" spans="1:17" ht="15.75" customHeight="1">
      <c r="A277" s="1">
        <v>2016</v>
      </c>
      <c r="B277" s="1">
        <v>124</v>
      </c>
      <c r="C277" s="1" t="s">
        <v>202</v>
      </c>
      <c r="D277" s="1">
        <v>4.2910000000000004</v>
      </c>
      <c r="E277" s="1" t="s">
        <v>309</v>
      </c>
      <c r="F277" s="1">
        <v>126</v>
      </c>
      <c r="G277" s="1">
        <v>130</v>
      </c>
      <c r="H277" s="1">
        <v>96</v>
      </c>
      <c r="I277" s="1">
        <v>116</v>
      </c>
      <c r="J277" s="1">
        <v>66</v>
      </c>
      <c r="K277" s="1">
        <v>115</v>
      </c>
      <c r="L277" s="1">
        <v>53</v>
      </c>
      <c r="M277" s="1">
        <v>105</v>
      </c>
      <c r="N277" s="1">
        <v>88</v>
      </c>
      <c r="O277" s="1">
        <v>115</v>
      </c>
      <c r="P277" s="1">
        <v>94</v>
      </c>
      <c r="Q277" s="1">
        <v>24</v>
      </c>
    </row>
    <row r="278" spans="1:17" ht="15.75" customHeight="1">
      <c r="A278" s="1">
        <v>2016</v>
      </c>
      <c r="B278" s="1">
        <v>125</v>
      </c>
      <c r="C278" s="1" t="s">
        <v>201</v>
      </c>
      <c r="D278" s="1">
        <v>4.2859999999999996</v>
      </c>
      <c r="E278" s="1">
        <v>9.9000000000000005E-2</v>
      </c>
      <c r="F278" s="1">
        <v>53</v>
      </c>
      <c r="G278" s="1">
        <v>136</v>
      </c>
      <c r="H278" s="1">
        <v>71</v>
      </c>
      <c r="I278" s="1">
        <v>74</v>
      </c>
      <c r="J278" s="1">
        <v>125</v>
      </c>
      <c r="K278" s="1">
        <v>138</v>
      </c>
      <c r="L278" s="1">
        <v>20</v>
      </c>
      <c r="M278" s="1">
        <v>137</v>
      </c>
      <c r="N278" s="1">
        <v>41</v>
      </c>
      <c r="O278" s="1">
        <v>138</v>
      </c>
      <c r="P278" s="1">
        <v>125</v>
      </c>
      <c r="Q278" s="1">
        <v>114</v>
      </c>
    </row>
    <row r="279" spans="1:17" ht="15.75" customHeight="1">
      <c r="A279" s="1">
        <v>2016</v>
      </c>
      <c r="B279" s="1">
        <v>126</v>
      </c>
      <c r="C279" s="1" t="s">
        <v>199</v>
      </c>
      <c r="D279" s="1">
        <v>4.28</v>
      </c>
      <c r="E279" s="1" t="s">
        <v>310</v>
      </c>
      <c r="F279" s="1">
        <v>14</v>
      </c>
      <c r="G279" s="1">
        <v>63</v>
      </c>
      <c r="H279" s="1">
        <v>139</v>
      </c>
      <c r="I279" s="1">
        <v>127</v>
      </c>
      <c r="J279" s="1">
        <v>115</v>
      </c>
      <c r="K279" s="1">
        <v>130</v>
      </c>
      <c r="L279" s="1">
        <v>100</v>
      </c>
      <c r="M279" s="1">
        <v>91</v>
      </c>
      <c r="N279" s="1">
        <v>39</v>
      </c>
      <c r="O279" s="1">
        <v>130</v>
      </c>
      <c r="P279" s="1">
        <v>117</v>
      </c>
      <c r="Q279" s="1">
        <v>121</v>
      </c>
    </row>
    <row r="280" spans="1:17" ht="15.75" customHeight="1">
      <c r="A280" s="1">
        <v>2016</v>
      </c>
      <c r="B280" s="1">
        <v>127</v>
      </c>
      <c r="C280" s="1" t="s">
        <v>311</v>
      </c>
      <c r="D280" s="1">
        <v>4.1900000000000004</v>
      </c>
      <c r="E280" s="1" t="s">
        <v>280</v>
      </c>
      <c r="F280" s="1">
        <v>28</v>
      </c>
      <c r="G280" s="1">
        <v>74</v>
      </c>
      <c r="H280" s="1">
        <v>127</v>
      </c>
      <c r="I280" s="1">
        <v>123</v>
      </c>
      <c r="J280" s="1">
        <v>104</v>
      </c>
      <c r="K280" s="1">
        <v>125</v>
      </c>
      <c r="L280" s="1">
        <v>94</v>
      </c>
      <c r="M280" s="1">
        <v>33</v>
      </c>
      <c r="N280" s="1">
        <v>91</v>
      </c>
      <c r="O280" s="1">
        <v>125</v>
      </c>
      <c r="P280" s="1">
        <v>114</v>
      </c>
      <c r="Q280" s="1">
        <v>70</v>
      </c>
    </row>
    <row r="281" spans="1:17" ht="15.75" customHeight="1">
      <c r="A281" s="1">
        <v>2016</v>
      </c>
      <c r="B281" s="1">
        <v>128</v>
      </c>
      <c r="C281" s="1" t="s">
        <v>220</v>
      </c>
      <c r="D281" s="1">
        <v>4.18</v>
      </c>
      <c r="E281" s="1">
        <v>110</v>
      </c>
      <c r="F281" s="1">
        <v>128</v>
      </c>
      <c r="G281" s="1">
        <v>108</v>
      </c>
      <c r="H281" s="1">
        <v>75</v>
      </c>
      <c r="I281" s="1"/>
      <c r="J281" s="1">
        <v>99</v>
      </c>
      <c r="K281" s="1">
        <v>45</v>
      </c>
      <c r="L281" s="1">
        <v>56</v>
      </c>
      <c r="M281" s="1">
        <v>123</v>
      </c>
      <c r="N281" s="1">
        <v>99</v>
      </c>
      <c r="O281" s="1">
        <v>127</v>
      </c>
      <c r="P281" s="1">
        <v>43</v>
      </c>
      <c r="Q281" s="1"/>
    </row>
    <row r="282" spans="1:17" ht="15.75" customHeight="1">
      <c r="A282" s="1">
        <v>2016</v>
      </c>
      <c r="B282" s="1">
        <v>129</v>
      </c>
      <c r="C282" s="1" t="s">
        <v>221</v>
      </c>
      <c r="D282" s="1">
        <v>4.1680000000000001</v>
      </c>
      <c r="E282" s="1">
        <v>0.10100000000000001</v>
      </c>
      <c r="F282" s="1">
        <v>118</v>
      </c>
      <c r="G282" s="1">
        <v>109</v>
      </c>
      <c r="H282" s="1">
        <v>109</v>
      </c>
      <c r="I282" s="1">
        <v>98</v>
      </c>
      <c r="J282" s="1">
        <v>2</v>
      </c>
      <c r="K282" s="1">
        <v>60</v>
      </c>
      <c r="L282" s="1">
        <v>84</v>
      </c>
      <c r="M282" s="1">
        <v>48</v>
      </c>
      <c r="N282" s="1">
        <v>129</v>
      </c>
      <c r="O282" s="1">
        <v>60</v>
      </c>
      <c r="P282" s="1">
        <v>134</v>
      </c>
      <c r="Q282" s="1">
        <v>140</v>
      </c>
    </row>
    <row r="283" spans="1:17" ht="15.75" customHeight="1">
      <c r="A283" s="1">
        <v>2016</v>
      </c>
      <c r="B283" s="1">
        <v>130</v>
      </c>
      <c r="C283" s="1" t="s">
        <v>211</v>
      </c>
      <c r="D283" s="1">
        <v>4.1390000000000002</v>
      </c>
      <c r="E283" s="1" t="s">
        <v>212</v>
      </c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ht="15.75" customHeight="1">
      <c r="A284" s="1">
        <v>2016</v>
      </c>
      <c r="B284" s="1">
        <v>131</v>
      </c>
      <c r="C284" s="1" t="s">
        <v>197</v>
      </c>
      <c r="D284" s="1">
        <v>4.12</v>
      </c>
      <c r="E284" s="1" t="s">
        <v>312</v>
      </c>
      <c r="F284" s="1">
        <v>130</v>
      </c>
      <c r="G284" s="1">
        <v>123</v>
      </c>
      <c r="H284" s="1">
        <v>106</v>
      </c>
      <c r="I284" s="1">
        <v>108</v>
      </c>
      <c r="J284" s="1">
        <v>82</v>
      </c>
      <c r="K284" s="1">
        <v>48</v>
      </c>
      <c r="L284" s="1">
        <v>109</v>
      </c>
      <c r="M284" s="1">
        <v>70</v>
      </c>
      <c r="N284" s="1">
        <v>90</v>
      </c>
      <c r="O284" s="1">
        <v>48</v>
      </c>
      <c r="P284" s="1">
        <v>13</v>
      </c>
      <c r="Q284" s="1">
        <v>31</v>
      </c>
    </row>
    <row r="285" spans="1:17" ht="15.75" customHeight="1">
      <c r="A285" s="1">
        <v>2016</v>
      </c>
      <c r="B285" s="3">
        <v>132</v>
      </c>
      <c r="C285" s="8" t="s">
        <v>313</v>
      </c>
      <c r="D285" s="5">
        <v>4.0960000000000001</v>
      </c>
      <c r="E285" s="9" t="s">
        <v>314</v>
      </c>
      <c r="F285" s="6">
        <v>62</v>
      </c>
      <c r="G285" s="6">
        <v>52</v>
      </c>
      <c r="H285" s="6">
        <v>67</v>
      </c>
      <c r="I285" s="10">
        <v>82</v>
      </c>
      <c r="J285" s="6">
        <v>134</v>
      </c>
      <c r="K285" s="6">
        <v>53</v>
      </c>
      <c r="L285" s="6">
        <v>108</v>
      </c>
      <c r="M285" s="6">
        <v>121</v>
      </c>
      <c r="N285" s="6">
        <v>36</v>
      </c>
      <c r="O285" s="6">
        <v>53</v>
      </c>
      <c r="P285" s="6">
        <v>84</v>
      </c>
      <c r="Q285" s="6">
        <v>100</v>
      </c>
    </row>
    <row r="286" spans="1:17" ht="15.75" customHeight="1">
      <c r="A286" s="1">
        <v>2016</v>
      </c>
      <c r="B286" s="3">
        <v>133</v>
      </c>
      <c r="C286" s="8" t="s">
        <v>315</v>
      </c>
      <c r="D286" s="5">
        <v>4.0810000000000004</v>
      </c>
      <c r="E286" s="9" t="s">
        <v>316</v>
      </c>
      <c r="F286" s="6">
        <v>137</v>
      </c>
      <c r="G286" s="6">
        <v>106</v>
      </c>
      <c r="H286" s="6">
        <v>125</v>
      </c>
      <c r="I286" s="7">
        <v>109</v>
      </c>
      <c r="J286" s="6">
        <v>87</v>
      </c>
      <c r="K286" s="6">
        <v>55</v>
      </c>
      <c r="L286" s="6">
        <v>67</v>
      </c>
      <c r="M286" s="6">
        <v>69</v>
      </c>
      <c r="N286" s="6">
        <v>130</v>
      </c>
      <c r="O286" s="6">
        <v>55</v>
      </c>
      <c r="P286" s="6">
        <v>28</v>
      </c>
      <c r="Q286" s="6">
        <v>9</v>
      </c>
    </row>
    <row r="287" spans="1:17" ht="15.75" customHeight="1">
      <c r="A287" s="1">
        <v>2016</v>
      </c>
      <c r="B287" s="1">
        <v>134</v>
      </c>
      <c r="C287" s="1" t="s">
        <v>229</v>
      </c>
      <c r="D287" s="1">
        <v>4.032</v>
      </c>
      <c r="E287" s="1" t="s">
        <v>317</v>
      </c>
      <c r="F287" s="1">
        <v>56</v>
      </c>
      <c r="G287" s="1">
        <v>105</v>
      </c>
      <c r="H287" s="1">
        <v>130</v>
      </c>
      <c r="I287" s="1">
        <v>120</v>
      </c>
      <c r="J287" s="1">
        <v>113</v>
      </c>
      <c r="K287" s="1">
        <v>106</v>
      </c>
      <c r="L287" s="1">
        <v>36</v>
      </c>
      <c r="M287" s="1">
        <v>99</v>
      </c>
      <c r="N287" s="1">
        <v>105</v>
      </c>
      <c r="O287" s="1">
        <v>106</v>
      </c>
      <c r="P287" s="1">
        <v>59</v>
      </c>
      <c r="Q287" s="1">
        <v>63</v>
      </c>
    </row>
    <row r="288" spans="1:17" ht="15.75" customHeight="1">
      <c r="A288" s="1">
        <v>2016</v>
      </c>
      <c r="B288" s="1">
        <v>135</v>
      </c>
      <c r="C288" s="1" t="s">
        <v>224</v>
      </c>
      <c r="D288" s="1">
        <v>4.0279999999999996</v>
      </c>
      <c r="E288" s="1" t="s">
        <v>318</v>
      </c>
      <c r="F288" s="1">
        <v>94</v>
      </c>
      <c r="G288" s="1">
        <v>116</v>
      </c>
      <c r="H288" s="1">
        <v>137</v>
      </c>
      <c r="I288" s="1">
        <v>124</v>
      </c>
      <c r="J288" s="1">
        <v>100</v>
      </c>
      <c r="K288" s="1">
        <v>123</v>
      </c>
      <c r="L288" s="1">
        <v>71</v>
      </c>
      <c r="M288" s="1">
        <v>76</v>
      </c>
      <c r="N288" s="1">
        <v>98</v>
      </c>
      <c r="O288" s="1">
        <v>123</v>
      </c>
      <c r="P288" s="1">
        <v>118</v>
      </c>
      <c r="Q288" s="1">
        <v>88</v>
      </c>
    </row>
    <row r="289" spans="1:17" ht="15.75" customHeight="1">
      <c r="A289" s="1">
        <v>2016</v>
      </c>
      <c r="B289" s="1">
        <v>136</v>
      </c>
      <c r="C289" s="1" t="s">
        <v>210</v>
      </c>
      <c r="D289" s="1">
        <v>3.97</v>
      </c>
      <c r="E289" s="1" t="s">
        <v>105</v>
      </c>
      <c r="F289" s="1">
        <v>90</v>
      </c>
      <c r="G289" s="1">
        <v>138</v>
      </c>
      <c r="H289" s="1">
        <v>136</v>
      </c>
      <c r="I289" s="1">
        <v>114</v>
      </c>
      <c r="J289" s="1">
        <v>60</v>
      </c>
      <c r="K289" s="1">
        <v>98</v>
      </c>
      <c r="L289" s="1">
        <v>78</v>
      </c>
      <c r="M289" s="1">
        <v>107</v>
      </c>
      <c r="N289" s="1">
        <v>97</v>
      </c>
      <c r="O289" s="1">
        <v>98</v>
      </c>
      <c r="P289" s="1">
        <v>22</v>
      </c>
      <c r="Q289" s="1">
        <v>14</v>
      </c>
    </row>
    <row r="290" spans="1:17" ht="15.75" customHeight="1">
      <c r="A290" s="1">
        <v>2016</v>
      </c>
      <c r="B290" s="1">
        <v>137</v>
      </c>
      <c r="C290" s="1" t="s">
        <v>227</v>
      </c>
      <c r="D290" s="1">
        <v>3.9359999999999999</v>
      </c>
      <c r="E290" s="1" t="s">
        <v>319</v>
      </c>
      <c r="F290" s="1">
        <v>107</v>
      </c>
      <c r="G290" s="1">
        <v>129</v>
      </c>
      <c r="H290" s="1">
        <v>133</v>
      </c>
      <c r="I290" s="1">
        <v>132</v>
      </c>
      <c r="J290" s="1">
        <v>132</v>
      </c>
      <c r="K290" s="1">
        <v>88</v>
      </c>
      <c r="L290" s="1">
        <v>77</v>
      </c>
      <c r="M290" s="1">
        <v>116</v>
      </c>
      <c r="N290" s="1">
        <v>135</v>
      </c>
      <c r="O290" s="1">
        <v>88</v>
      </c>
      <c r="P290" s="1">
        <v>90</v>
      </c>
      <c r="Q290" s="1">
        <v>96</v>
      </c>
    </row>
    <row r="291" spans="1:17" ht="15.75" customHeight="1">
      <c r="A291" s="1">
        <v>2016</v>
      </c>
      <c r="B291" s="1">
        <v>138</v>
      </c>
      <c r="C291" s="1" t="s">
        <v>208</v>
      </c>
      <c r="D291" s="1">
        <v>3.875</v>
      </c>
      <c r="E291" s="1" t="s">
        <v>320</v>
      </c>
      <c r="F291" s="1">
        <v>131</v>
      </c>
      <c r="G291" s="1">
        <v>102</v>
      </c>
      <c r="H291" s="1">
        <v>117</v>
      </c>
      <c r="I291" s="1">
        <v>131</v>
      </c>
      <c r="J291" s="1">
        <v>88</v>
      </c>
      <c r="K291" s="1">
        <v>128</v>
      </c>
      <c r="L291" s="1">
        <v>37</v>
      </c>
      <c r="M291" s="1">
        <v>61</v>
      </c>
      <c r="N291" s="1">
        <v>29</v>
      </c>
      <c r="O291" s="1">
        <v>128</v>
      </c>
      <c r="P291" s="1">
        <v>62</v>
      </c>
      <c r="Q291" s="1">
        <v>20</v>
      </c>
    </row>
    <row r="292" spans="1:17" ht="15.75" customHeight="1">
      <c r="A292" s="1">
        <v>2016</v>
      </c>
      <c r="B292" s="1">
        <v>139</v>
      </c>
      <c r="C292" s="1" t="s">
        <v>321</v>
      </c>
      <c r="D292" s="1">
        <v>3.8079999999999998</v>
      </c>
      <c r="E292" s="1" t="s">
        <v>322</v>
      </c>
      <c r="F292" s="1">
        <v>138</v>
      </c>
      <c r="G292" s="1">
        <v>91</v>
      </c>
      <c r="H292" s="1">
        <v>121</v>
      </c>
      <c r="I292" s="1">
        <v>135</v>
      </c>
      <c r="J292" s="1">
        <v>91</v>
      </c>
      <c r="K292" s="1">
        <v>132</v>
      </c>
      <c r="L292" s="1">
        <v>43</v>
      </c>
      <c r="M292" s="1">
        <v>60</v>
      </c>
      <c r="N292" s="1">
        <v>70</v>
      </c>
      <c r="O292" s="1">
        <v>132</v>
      </c>
      <c r="P292" s="1">
        <v>49</v>
      </c>
      <c r="Q292" s="1">
        <v>19</v>
      </c>
    </row>
    <row r="293" spans="1:17" ht="15.75" customHeight="1">
      <c r="A293" s="1">
        <v>2016</v>
      </c>
      <c r="B293" s="1">
        <v>140</v>
      </c>
      <c r="C293" s="1" t="s">
        <v>222</v>
      </c>
      <c r="D293" s="1">
        <v>3.7949999999999999</v>
      </c>
      <c r="E293" s="1" t="s">
        <v>323</v>
      </c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ht="15.75" customHeight="1">
      <c r="A294" s="1">
        <v>2016</v>
      </c>
      <c r="B294" s="1">
        <v>141</v>
      </c>
      <c r="C294" s="1" t="s">
        <v>245</v>
      </c>
      <c r="D294" s="1">
        <v>3.794</v>
      </c>
      <c r="E294" s="1" t="s">
        <v>324</v>
      </c>
      <c r="F294" s="1">
        <v>32</v>
      </c>
      <c r="G294" s="1">
        <v>135</v>
      </c>
      <c r="H294" s="1">
        <v>123</v>
      </c>
      <c r="I294" s="1">
        <v>128</v>
      </c>
      <c r="J294" s="1">
        <v>133</v>
      </c>
      <c r="K294" s="1">
        <v>84</v>
      </c>
      <c r="L294" s="1">
        <v>57</v>
      </c>
      <c r="M294" s="1">
        <v>134</v>
      </c>
      <c r="N294" s="1">
        <v>111</v>
      </c>
      <c r="O294" s="1">
        <v>84</v>
      </c>
      <c r="P294" s="1">
        <v>61</v>
      </c>
      <c r="Q294" s="1">
        <v>79</v>
      </c>
    </row>
    <row r="295" spans="1:17" ht="15.75" customHeight="1">
      <c r="A295" s="1">
        <v>2016</v>
      </c>
      <c r="B295" s="1">
        <v>142</v>
      </c>
      <c r="C295" s="1" t="s">
        <v>218</v>
      </c>
      <c r="D295" s="1">
        <v>3.766</v>
      </c>
      <c r="E295" s="1" t="s">
        <v>325</v>
      </c>
      <c r="F295" s="1">
        <v>127</v>
      </c>
      <c r="G295" s="1">
        <v>103</v>
      </c>
      <c r="H295" s="1">
        <v>66</v>
      </c>
      <c r="I295" s="1">
        <v>115</v>
      </c>
      <c r="J295" s="1">
        <v>38</v>
      </c>
      <c r="K295" s="1">
        <v>136</v>
      </c>
      <c r="L295" s="1">
        <v>38</v>
      </c>
      <c r="M295" s="1">
        <v>73</v>
      </c>
      <c r="N295" s="1">
        <v>60</v>
      </c>
      <c r="O295" s="1">
        <v>136</v>
      </c>
      <c r="P295" s="1">
        <v>109</v>
      </c>
      <c r="Q295" s="1">
        <v>25</v>
      </c>
    </row>
    <row r="296" spans="1:17" ht="15.75" customHeight="1">
      <c r="A296" s="1">
        <v>2016</v>
      </c>
      <c r="B296" s="1">
        <v>143</v>
      </c>
      <c r="C296" s="1" t="s">
        <v>244</v>
      </c>
      <c r="D296" s="1">
        <v>3.657</v>
      </c>
      <c r="E296" s="1">
        <v>0.129</v>
      </c>
      <c r="F296" s="1">
        <v>84</v>
      </c>
      <c r="G296" s="1">
        <v>140</v>
      </c>
      <c r="H296" s="1">
        <v>122</v>
      </c>
      <c r="I296" s="1">
        <v>112</v>
      </c>
      <c r="J296" s="1">
        <v>68</v>
      </c>
      <c r="K296" s="1">
        <v>116</v>
      </c>
      <c r="L296" s="1">
        <v>81</v>
      </c>
      <c r="M296" s="1">
        <v>110</v>
      </c>
      <c r="N296" s="1">
        <v>133</v>
      </c>
      <c r="O296" s="1">
        <v>116</v>
      </c>
      <c r="P296" s="1">
        <v>81</v>
      </c>
      <c r="Q296" s="1">
        <v>102</v>
      </c>
    </row>
    <row r="297" spans="1:17" ht="15.75" customHeight="1">
      <c r="A297" s="1">
        <v>2016</v>
      </c>
      <c r="B297" s="1">
        <v>144</v>
      </c>
      <c r="C297" s="1" t="s">
        <v>235</v>
      </c>
      <c r="D297" s="1">
        <v>3.6440000000000001</v>
      </c>
      <c r="E297" s="1" t="s">
        <v>273</v>
      </c>
      <c r="F297" s="1">
        <v>7</v>
      </c>
      <c r="G297" s="1">
        <v>108</v>
      </c>
      <c r="H297" s="1">
        <v>134</v>
      </c>
      <c r="I297" s="1">
        <v>110</v>
      </c>
      <c r="J297" s="1">
        <v>127</v>
      </c>
      <c r="K297" s="1">
        <v>134</v>
      </c>
      <c r="L297" s="1">
        <v>96</v>
      </c>
      <c r="M297" s="1">
        <v>66</v>
      </c>
      <c r="N297" s="1">
        <v>24</v>
      </c>
      <c r="O297" s="1">
        <v>134</v>
      </c>
      <c r="P297" s="1">
        <v>74</v>
      </c>
      <c r="Q297" s="1">
        <v>134</v>
      </c>
    </row>
    <row r="298" spans="1:17" ht="15.75" customHeight="1">
      <c r="A298" s="1">
        <v>2016</v>
      </c>
      <c r="B298" s="1">
        <v>145</v>
      </c>
      <c r="C298" s="1" t="s">
        <v>216</v>
      </c>
      <c r="D298" s="1">
        <v>3.6030000000000002</v>
      </c>
      <c r="E298" s="1" t="s">
        <v>326</v>
      </c>
      <c r="F298" s="1">
        <v>83</v>
      </c>
      <c r="G298" s="1">
        <v>133</v>
      </c>
      <c r="H298" s="1">
        <v>116</v>
      </c>
      <c r="I298" s="1">
        <v>118</v>
      </c>
      <c r="J298" s="1">
        <v>139</v>
      </c>
      <c r="K298" s="1">
        <v>29</v>
      </c>
      <c r="L298" s="1">
        <v>83</v>
      </c>
      <c r="M298" s="1">
        <v>127</v>
      </c>
      <c r="N298" s="1">
        <v>115</v>
      </c>
      <c r="O298" s="1">
        <v>29</v>
      </c>
      <c r="P298" s="1">
        <v>38</v>
      </c>
      <c r="Q298" s="1">
        <v>123</v>
      </c>
    </row>
    <row r="299" spans="1:17" ht="15.75" customHeight="1">
      <c r="A299" s="1">
        <v>2016</v>
      </c>
      <c r="B299" s="1">
        <v>146</v>
      </c>
      <c r="C299" s="1" t="s">
        <v>233</v>
      </c>
      <c r="D299" s="1">
        <v>3.593</v>
      </c>
      <c r="E299" s="1" t="s">
        <v>327</v>
      </c>
      <c r="F299" s="1">
        <v>68</v>
      </c>
      <c r="G299" s="1">
        <v>100</v>
      </c>
      <c r="H299" s="1">
        <v>131</v>
      </c>
      <c r="I299" s="1">
        <v>104</v>
      </c>
      <c r="J299" s="1">
        <v>131</v>
      </c>
      <c r="K299" s="1">
        <v>139</v>
      </c>
      <c r="L299" s="1">
        <v>141</v>
      </c>
      <c r="M299" s="1">
        <v>44</v>
      </c>
      <c r="N299" s="1">
        <v>139</v>
      </c>
      <c r="O299" s="1">
        <v>137</v>
      </c>
      <c r="P299" s="1">
        <v>127</v>
      </c>
      <c r="Q299" s="1"/>
    </row>
    <row r="300" spans="1:17" ht="15.75" customHeight="1">
      <c r="A300" s="1">
        <v>2016</v>
      </c>
      <c r="B300" s="1">
        <v>147</v>
      </c>
      <c r="C300" s="1" t="s">
        <v>226</v>
      </c>
      <c r="D300" s="1">
        <v>3.5910000000000002</v>
      </c>
      <c r="E300" s="1">
        <v>134</v>
      </c>
      <c r="F300" s="1">
        <v>137</v>
      </c>
      <c r="G300" s="1">
        <v>138</v>
      </c>
      <c r="H300" s="1">
        <v>103</v>
      </c>
      <c r="I300" s="1">
        <v>130</v>
      </c>
      <c r="J300" s="1">
        <v>52</v>
      </c>
      <c r="K300" s="1">
        <v>96</v>
      </c>
      <c r="L300" s="1">
        <v>140</v>
      </c>
      <c r="M300" s="1">
        <v>103</v>
      </c>
      <c r="N300" s="1">
        <v>51</v>
      </c>
      <c r="O300" s="1">
        <v>45</v>
      </c>
      <c r="P300" s="1"/>
      <c r="Q300" s="10"/>
    </row>
    <row r="301" spans="1:17" ht="15.75" customHeight="1">
      <c r="A301" s="1">
        <v>2016</v>
      </c>
      <c r="B301" s="1">
        <v>148</v>
      </c>
      <c r="C301" s="1" t="s">
        <v>238</v>
      </c>
      <c r="D301" s="1">
        <v>3.5329999999999999</v>
      </c>
      <c r="E301" s="1" t="s">
        <v>328</v>
      </c>
      <c r="F301" s="1">
        <v>121</v>
      </c>
      <c r="G301" s="1">
        <v>124</v>
      </c>
      <c r="H301" s="1">
        <v>135</v>
      </c>
      <c r="I301" s="1">
        <v>122</v>
      </c>
      <c r="J301" s="1">
        <v>77</v>
      </c>
      <c r="K301" s="1">
        <v>100</v>
      </c>
      <c r="L301" s="1">
        <v>116</v>
      </c>
      <c r="M301" s="1">
        <v>87</v>
      </c>
      <c r="N301" s="1">
        <v>138</v>
      </c>
      <c r="O301" s="1">
        <v>100</v>
      </c>
      <c r="P301" s="1">
        <v>4</v>
      </c>
      <c r="Q301" s="1">
        <v>5</v>
      </c>
    </row>
    <row r="302" spans="1:17" ht="15.75" customHeight="1">
      <c r="A302" s="1">
        <v>2016</v>
      </c>
      <c r="B302" s="1">
        <v>149</v>
      </c>
      <c r="C302" s="1" t="s">
        <v>240</v>
      </c>
      <c r="D302" s="1">
        <v>3.5070000000000001</v>
      </c>
      <c r="E302" s="1" t="s">
        <v>329</v>
      </c>
      <c r="F302" s="1">
        <v>71</v>
      </c>
      <c r="G302" s="1">
        <v>117</v>
      </c>
      <c r="H302" s="1">
        <v>120</v>
      </c>
      <c r="I302" s="1">
        <v>125</v>
      </c>
      <c r="J302" s="1">
        <v>92</v>
      </c>
      <c r="K302" s="1">
        <v>120</v>
      </c>
      <c r="L302" s="1">
        <v>62</v>
      </c>
      <c r="M302" s="1">
        <v>63</v>
      </c>
      <c r="N302" s="1">
        <v>119</v>
      </c>
      <c r="O302" s="1">
        <v>120</v>
      </c>
      <c r="P302" s="1">
        <v>86</v>
      </c>
      <c r="Q302" s="1">
        <v>60</v>
      </c>
    </row>
    <row r="303" spans="1:17" ht="15.75" customHeight="1">
      <c r="A303" s="1">
        <v>2016</v>
      </c>
      <c r="B303" s="1">
        <v>150</v>
      </c>
      <c r="C303" s="1" t="s">
        <v>247</v>
      </c>
      <c r="D303" s="1">
        <v>3.4950000000000001</v>
      </c>
      <c r="E303" s="1">
        <v>0.55900000000000005</v>
      </c>
      <c r="F303" s="1">
        <v>117</v>
      </c>
      <c r="G303" s="1">
        <v>139</v>
      </c>
      <c r="H303" s="1">
        <v>126</v>
      </c>
      <c r="I303" s="1">
        <v>117</v>
      </c>
      <c r="J303" s="1">
        <v>89</v>
      </c>
      <c r="K303" s="1">
        <v>114</v>
      </c>
      <c r="L303" s="1">
        <v>72</v>
      </c>
      <c r="M303" s="1">
        <v>90</v>
      </c>
      <c r="N303" s="1">
        <v>136</v>
      </c>
      <c r="O303" s="1">
        <v>114</v>
      </c>
      <c r="P303" s="1">
        <v>91</v>
      </c>
      <c r="Q303" s="1">
        <v>86</v>
      </c>
    </row>
    <row r="304" spans="1:17" ht="15.75" customHeight="1">
      <c r="A304" s="1">
        <v>2016</v>
      </c>
      <c r="B304" s="1">
        <v>151</v>
      </c>
      <c r="C304" s="1" t="s">
        <v>242</v>
      </c>
      <c r="D304" s="1">
        <v>3.4710000000000001</v>
      </c>
      <c r="E304" s="1" t="s">
        <v>330</v>
      </c>
      <c r="F304" s="1">
        <v>44</v>
      </c>
      <c r="G304" s="1">
        <v>118</v>
      </c>
      <c r="H304" s="1">
        <v>128</v>
      </c>
      <c r="I304" s="1">
        <v>103</v>
      </c>
      <c r="J304" s="1">
        <v>16</v>
      </c>
      <c r="K304" s="1">
        <v>97</v>
      </c>
      <c r="L304" s="1">
        <v>2</v>
      </c>
      <c r="M304" s="1">
        <v>45</v>
      </c>
      <c r="N304" s="1">
        <v>78</v>
      </c>
      <c r="O304" s="1">
        <v>97</v>
      </c>
      <c r="P304" s="1">
        <v>92</v>
      </c>
      <c r="Q304" s="1">
        <v>89</v>
      </c>
    </row>
    <row r="305" spans="1:17" ht="15.75" customHeight="1">
      <c r="A305" s="1">
        <v>2016</v>
      </c>
      <c r="B305" s="1">
        <v>152</v>
      </c>
      <c r="C305" s="1" t="s">
        <v>248</v>
      </c>
      <c r="D305" s="1">
        <v>3.4620000000000002</v>
      </c>
      <c r="E305" s="1" t="s">
        <v>331</v>
      </c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ht="15.75" customHeight="1">
      <c r="A306" s="1">
        <v>2016</v>
      </c>
      <c r="B306" s="1">
        <v>153</v>
      </c>
      <c r="C306" s="1" t="s">
        <v>236</v>
      </c>
      <c r="D306" s="1">
        <v>3.3490000000000002</v>
      </c>
      <c r="E306" s="1" t="s">
        <v>302</v>
      </c>
      <c r="F306" s="1">
        <v>112</v>
      </c>
      <c r="G306" s="1">
        <v>126</v>
      </c>
      <c r="H306" s="1">
        <v>118</v>
      </c>
      <c r="I306" s="1">
        <v>105</v>
      </c>
      <c r="J306" s="1">
        <v>69</v>
      </c>
      <c r="K306" s="1">
        <v>38</v>
      </c>
      <c r="L306" s="1">
        <v>42</v>
      </c>
      <c r="M306" s="1">
        <v>75</v>
      </c>
      <c r="N306" s="1">
        <v>57</v>
      </c>
      <c r="O306" s="1">
        <v>38</v>
      </c>
      <c r="P306" s="1">
        <v>110</v>
      </c>
      <c r="Q306" s="1">
        <v>61</v>
      </c>
    </row>
    <row r="307" spans="1:17" ht="15.75" customHeight="1">
      <c r="A307" s="1">
        <v>2016</v>
      </c>
      <c r="B307" s="1">
        <v>154</v>
      </c>
      <c r="C307" s="1" t="s">
        <v>250</v>
      </c>
      <c r="D307" s="1">
        <v>2.9049999999999998</v>
      </c>
      <c r="E307" s="1" t="s">
        <v>251</v>
      </c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ht="15.75" customHeight="1">
      <c r="A308" s="1">
        <v>2016</v>
      </c>
      <c r="B308" s="1">
        <v>155</v>
      </c>
      <c r="C308" s="1" t="s">
        <v>332</v>
      </c>
      <c r="D308" s="1">
        <v>2.6930000000000001</v>
      </c>
      <c r="E308" s="1" t="s">
        <v>333</v>
      </c>
      <c r="F308" s="1">
        <v>92</v>
      </c>
      <c r="G308" s="1">
        <v>141</v>
      </c>
      <c r="H308" s="1">
        <v>140</v>
      </c>
      <c r="I308" s="1">
        <v>134</v>
      </c>
      <c r="J308" s="1">
        <v>118</v>
      </c>
      <c r="K308" s="1">
        <v>112</v>
      </c>
      <c r="L308" s="1">
        <v>92</v>
      </c>
      <c r="M308" s="1">
        <v>120</v>
      </c>
      <c r="N308" s="1">
        <v>137</v>
      </c>
      <c r="O308" s="1">
        <v>112</v>
      </c>
      <c r="P308" s="1">
        <v>53</v>
      </c>
      <c r="Q308" s="1">
        <v>101</v>
      </c>
    </row>
    <row r="309" spans="1:17" ht="15.75" customHeight="1">
      <c r="A309" s="1">
        <v>2017</v>
      </c>
      <c r="B309" s="1">
        <v>1</v>
      </c>
      <c r="C309" s="1" t="s">
        <v>37</v>
      </c>
      <c r="D309" s="1">
        <v>7.6319999999999997</v>
      </c>
      <c r="E309" s="1">
        <v>0.24299999999999999</v>
      </c>
      <c r="F309" s="1">
        <v>2</v>
      </c>
      <c r="G309" s="1">
        <v>2</v>
      </c>
      <c r="H309" s="1">
        <v>18</v>
      </c>
      <c r="I309" s="1">
        <v>21</v>
      </c>
      <c r="J309" s="1">
        <v>3</v>
      </c>
      <c r="K309" s="1">
        <v>37</v>
      </c>
      <c r="L309" s="1">
        <v>3</v>
      </c>
      <c r="M309" s="1">
        <v>23</v>
      </c>
      <c r="N309" s="1">
        <v>10</v>
      </c>
      <c r="O309" s="1">
        <v>37</v>
      </c>
      <c r="P309" s="1">
        <v>49</v>
      </c>
      <c r="Q309" s="1">
        <v>60</v>
      </c>
    </row>
    <row r="310" spans="1:17" ht="15.75" customHeight="1">
      <c r="A310" s="1">
        <v>2017</v>
      </c>
      <c r="B310" s="1">
        <v>2</v>
      </c>
      <c r="C310" s="1" t="s">
        <v>35</v>
      </c>
      <c r="D310" s="1">
        <v>7.5940000000000003</v>
      </c>
      <c r="E310" s="1" t="s">
        <v>203</v>
      </c>
      <c r="F310" s="1">
        <v>15</v>
      </c>
      <c r="G310" s="1">
        <v>5</v>
      </c>
      <c r="H310" s="1">
        <v>4</v>
      </c>
      <c r="I310" s="1">
        <v>11</v>
      </c>
      <c r="J310" s="1">
        <v>6</v>
      </c>
      <c r="K310" s="1">
        <v>8</v>
      </c>
      <c r="L310" s="1">
        <v>7</v>
      </c>
      <c r="M310" s="1">
        <v>4</v>
      </c>
      <c r="N310" s="1">
        <v>25</v>
      </c>
      <c r="O310" s="1">
        <v>8</v>
      </c>
      <c r="P310" s="1">
        <v>29</v>
      </c>
      <c r="Q310" s="1">
        <v>55</v>
      </c>
    </row>
    <row r="311" spans="1:17" ht="15.75" customHeight="1">
      <c r="A311" s="1">
        <v>2017</v>
      </c>
      <c r="B311" s="1">
        <v>3</v>
      </c>
      <c r="C311" s="1" t="s">
        <v>30</v>
      </c>
      <c r="D311" s="1">
        <v>7.5549999999999997</v>
      </c>
      <c r="E311" s="1" t="s">
        <v>148</v>
      </c>
      <c r="F311" s="1">
        <v>23</v>
      </c>
      <c r="G311" s="1">
        <v>4</v>
      </c>
      <c r="H311" s="1">
        <v>10</v>
      </c>
      <c r="I311" s="1">
        <v>20</v>
      </c>
      <c r="J311" s="1">
        <v>5</v>
      </c>
      <c r="K311" s="1">
        <v>16</v>
      </c>
      <c r="L311" s="1">
        <v>2</v>
      </c>
      <c r="M311" s="1">
        <v>14</v>
      </c>
      <c r="N311" s="1">
        <v>27</v>
      </c>
      <c r="O311" s="1">
        <v>16</v>
      </c>
      <c r="P311" s="1">
        <v>54</v>
      </c>
      <c r="Q311" s="1">
        <v>40</v>
      </c>
    </row>
    <row r="312" spans="1:17" ht="15.75" customHeight="1">
      <c r="A312" s="1">
        <v>2017</v>
      </c>
      <c r="B312" s="1">
        <v>4</v>
      </c>
      <c r="C312" s="1" t="s">
        <v>34</v>
      </c>
      <c r="D312" s="1">
        <v>7.4950000000000001</v>
      </c>
      <c r="E312" s="1">
        <v>0.14000000000000001</v>
      </c>
      <c r="F312" s="1">
        <v>18</v>
      </c>
      <c r="G312" s="1">
        <v>1</v>
      </c>
      <c r="H312" s="1">
        <v>11</v>
      </c>
      <c r="I312" s="1">
        <v>7</v>
      </c>
      <c r="J312" s="1">
        <v>9</v>
      </c>
      <c r="K312" s="1">
        <v>7</v>
      </c>
      <c r="L312" s="1">
        <v>46</v>
      </c>
      <c r="M312" s="1">
        <v>1</v>
      </c>
      <c r="N312" s="1">
        <v>2</v>
      </c>
      <c r="O312" s="1">
        <v>7</v>
      </c>
      <c r="P312" s="1">
        <v>41</v>
      </c>
      <c r="Q312" s="1">
        <v>80</v>
      </c>
    </row>
    <row r="313" spans="1:17" ht="15.75" customHeight="1">
      <c r="A313" s="1">
        <v>2017</v>
      </c>
      <c r="B313" s="1">
        <v>5</v>
      </c>
      <c r="C313" s="1" t="s">
        <v>32</v>
      </c>
      <c r="D313" s="1">
        <v>7.4870000000000001</v>
      </c>
      <c r="E313" s="1" t="s">
        <v>334</v>
      </c>
      <c r="F313" s="1">
        <v>10</v>
      </c>
      <c r="G313" s="1">
        <v>7</v>
      </c>
      <c r="H313" s="1">
        <v>5</v>
      </c>
      <c r="I313" s="1">
        <v>8</v>
      </c>
      <c r="J313" s="1">
        <v>14</v>
      </c>
      <c r="K313" s="1">
        <v>13</v>
      </c>
      <c r="L313" s="1">
        <v>8</v>
      </c>
      <c r="M313" s="1">
        <v>36</v>
      </c>
      <c r="N313" s="1">
        <v>20</v>
      </c>
      <c r="O313" s="1">
        <v>13</v>
      </c>
      <c r="P313" s="1">
        <v>11</v>
      </c>
      <c r="Q313" s="1">
        <v>118</v>
      </c>
    </row>
    <row r="314" spans="1:17" ht="15.75" customHeight="1">
      <c r="A314" s="1">
        <v>2017</v>
      </c>
      <c r="B314" s="1">
        <v>6</v>
      </c>
      <c r="C314" s="1" t="s">
        <v>40</v>
      </c>
      <c r="D314" s="1">
        <v>7.4409999999999998</v>
      </c>
      <c r="E314" s="1" t="s">
        <v>335</v>
      </c>
      <c r="F314" s="1">
        <v>1</v>
      </c>
      <c r="G314" s="1">
        <v>13</v>
      </c>
      <c r="H314" s="1">
        <v>9</v>
      </c>
      <c r="I314" s="1"/>
      <c r="J314" s="1">
        <v>19</v>
      </c>
      <c r="K314" s="1">
        <v>6</v>
      </c>
      <c r="L314" s="1">
        <v>12</v>
      </c>
      <c r="M314" s="1">
        <v>38</v>
      </c>
      <c r="N314" s="1">
        <v>15</v>
      </c>
      <c r="O314" s="1">
        <v>6</v>
      </c>
      <c r="P314" s="1">
        <v>12</v>
      </c>
      <c r="Q314" s="1">
        <v>70</v>
      </c>
    </row>
    <row r="315" spans="1:17" ht="15.75" customHeight="1">
      <c r="A315" s="1">
        <v>2017</v>
      </c>
      <c r="B315" s="1">
        <v>7</v>
      </c>
      <c r="C315" s="1" t="s">
        <v>38</v>
      </c>
      <c r="D315" s="1">
        <v>7.3280000000000003</v>
      </c>
      <c r="E315" s="1" t="s">
        <v>336</v>
      </c>
      <c r="F315" s="1">
        <v>13</v>
      </c>
      <c r="G315" s="1">
        <v>15</v>
      </c>
      <c r="H315" s="1">
        <v>17</v>
      </c>
      <c r="I315" s="1">
        <v>19</v>
      </c>
      <c r="J315" s="1">
        <v>7</v>
      </c>
      <c r="K315" s="1">
        <v>17</v>
      </c>
      <c r="L315" s="1">
        <v>11</v>
      </c>
      <c r="M315" s="1">
        <v>6</v>
      </c>
      <c r="N315" s="1">
        <v>36</v>
      </c>
      <c r="O315" s="1">
        <v>17</v>
      </c>
      <c r="P315" s="1">
        <v>26</v>
      </c>
      <c r="Q315" s="1">
        <v>45</v>
      </c>
    </row>
    <row r="316" spans="1:17" ht="15.75" customHeight="1">
      <c r="A316" s="1">
        <v>2017</v>
      </c>
      <c r="B316" s="1">
        <v>8</v>
      </c>
      <c r="C316" s="1" t="s">
        <v>42</v>
      </c>
      <c r="D316" s="1">
        <v>7.3239999999999998</v>
      </c>
      <c r="E316" s="1">
        <v>0.10299999999999999</v>
      </c>
      <c r="F316" s="1">
        <v>20</v>
      </c>
      <c r="G316" s="1">
        <v>3</v>
      </c>
      <c r="H316" s="1">
        <v>27</v>
      </c>
      <c r="I316" s="1">
        <v>29</v>
      </c>
      <c r="J316" s="1">
        <v>8</v>
      </c>
      <c r="K316" s="1">
        <v>5</v>
      </c>
      <c r="L316" s="1">
        <v>5</v>
      </c>
      <c r="M316" s="1">
        <v>22</v>
      </c>
      <c r="N316" s="1">
        <v>7</v>
      </c>
      <c r="O316" s="1">
        <v>5</v>
      </c>
      <c r="P316" s="1">
        <v>5</v>
      </c>
      <c r="Q316" s="1">
        <v>21</v>
      </c>
    </row>
    <row r="317" spans="1:17" ht="15.75" customHeight="1">
      <c r="A317" s="1">
        <v>2017</v>
      </c>
      <c r="B317" s="1">
        <v>9</v>
      </c>
      <c r="C317" s="1" t="s">
        <v>45</v>
      </c>
      <c r="D317" s="1">
        <v>7.3140000000000001</v>
      </c>
      <c r="E317" s="1" t="s">
        <v>337</v>
      </c>
      <c r="F317" s="1">
        <v>31</v>
      </c>
      <c r="G317" s="1">
        <v>27</v>
      </c>
      <c r="H317" s="1">
        <v>14</v>
      </c>
      <c r="I317" s="1">
        <v>12</v>
      </c>
      <c r="J317" s="1">
        <v>11</v>
      </c>
      <c r="K317" s="1">
        <v>15</v>
      </c>
      <c r="L317" s="1">
        <v>6</v>
      </c>
      <c r="M317" s="1">
        <v>24</v>
      </c>
      <c r="N317" s="1">
        <v>8</v>
      </c>
      <c r="O317" s="1">
        <v>15</v>
      </c>
      <c r="P317" s="1">
        <v>112</v>
      </c>
      <c r="Q317" s="1">
        <v>73</v>
      </c>
    </row>
    <row r="318" spans="1:17" ht="15.75" customHeight="1">
      <c r="A318" s="1">
        <v>2017</v>
      </c>
      <c r="B318" s="1">
        <v>10</v>
      </c>
      <c r="C318" s="1" t="s">
        <v>43</v>
      </c>
      <c r="D318" s="1">
        <v>7.2720000000000002</v>
      </c>
      <c r="E318" s="1" t="s">
        <v>289</v>
      </c>
      <c r="F318" s="1">
        <v>27</v>
      </c>
      <c r="G318" s="1">
        <v>6</v>
      </c>
      <c r="H318" s="1">
        <v>16</v>
      </c>
      <c r="I318" s="1">
        <v>16</v>
      </c>
      <c r="J318" s="1">
        <v>22</v>
      </c>
      <c r="K318" s="1">
        <v>3</v>
      </c>
      <c r="L318" s="1">
        <v>13</v>
      </c>
      <c r="M318" s="1">
        <v>39</v>
      </c>
      <c r="N318" s="1">
        <v>38</v>
      </c>
      <c r="O318" s="1">
        <v>3</v>
      </c>
      <c r="P318" s="1">
        <v>6</v>
      </c>
      <c r="Q318" s="1">
        <v>24</v>
      </c>
    </row>
    <row r="319" spans="1:17" ht="15.75" customHeight="1">
      <c r="A319" s="1">
        <v>2017</v>
      </c>
      <c r="B319" s="1">
        <v>11</v>
      </c>
      <c r="C319" s="1" t="s">
        <v>47</v>
      </c>
      <c r="D319" s="1">
        <v>7.19</v>
      </c>
      <c r="E319" s="1" t="s">
        <v>139</v>
      </c>
      <c r="F319" s="1">
        <v>9</v>
      </c>
      <c r="G319" s="1">
        <v>24</v>
      </c>
      <c r="H319" s="1">
        <v>32</v>
      </c>
      <c r="I319" s="1">
        <v>6</v>
      </c>
      <c r="J319" s="1">
        <v>84</v>
      </c>
      <c r="K319" s="1">
        <v>25</v>
      </c>
      <c r="L319" s="1">
        <v>74</v>
      </c>
      <c r="M319" s="1">
        <v>89</v>
      </c>
      <c r="N319" s="1">
        <v>70</v>
      </c>
      <c r="O319" s="1">
        <v>25</v>
      </c>
      <c r="P319" s="1">
        <v>55</v>
      </c>
      <c r="Q319" s="1">
        <v>79</v>
      </c>
    </row>
    <row r="320" spans="1:17" ht="15.75" customHeight="1">
      <c r="A320" s="1">
        <v>2017</v>
      </c>
      <c r="B320" s="1">
        <v>12</v>
      </c>
      <c r="C320" s="1" t="s">
        <v>49</v>
      </c>
      <c r="D320" s="1">
        <v>7.1390000000000002</v>
      </c>
      <c r="E320" s="1" t="s">
        <v>338</v>
      </c>
      <c r="F320" s="1">
        <v>11</v>
      </c>
      <c r="G320" s="1">
        <v>36</v>
      </c>
      <c r="H320" s="1">
        <v>12</v>
      </c>
      <c r="I320" s="1">
        <v>17</v>
      </c>
      <c r="J320" s="1">
        <v>34</v>
      </c>
      <c r="K320" s="1">
        <v>21</v>
      </c>
      <c r="L320" s="1">
        <v>18</v>
      </c>
      <c r="M320" s="1">
        <v>59</v>
      </c>
      <c r="N320" s="1">
        <v>12</v>
      </c>
      <c r="O320" s="1">
        <v>21</v>
      </c>
      <c r="P320" s="1">
        <v>50</v>
      </c>
      <c r="Q320" s="1">
        <v>62</v>
      </c>
    </row>
    <row r="321" spans="1:17" ht="15.75" customHeight="1">
      <c r="A321" s="1">
        <v>2017</v>
      </c>
      <c r="B321" s="1">
        <v>13</v>
      </c>
      <c r="C321" s="1" t="s">
        <v>52</v>
      </c>
      <c r="D321" s="1">
        <v>7.0720000000000001</v>
      </c>
      <c r="E321" s="1" t="s">
        <v>339</v>
      </c>
      <c r="F321" s="1">
        <v>56</v>
      </c>
      <c r="G321" s="1">
        <v>20</v>
      </c>
      <c r="H321" s="1">
        <v>57</v>
      </c>
      <c r="I321" s="1">
        <v>31</v>
      </c>
      <c r="J321" s="1">
        <v>10</v>
      </c>
      <c r="K321" s="1">
        <v>71</v>
      </c>
      <c r="L321" s="1">
        <v>52</v>
      </c>
      <c r="M321" s="1">
        <v>11</v>
      </c>
      <c r="N321" s="1">
        <v>68</v>
      </c>
      <c r="O321" s="1">
        <v>71</v>
      </c>
      <c r="P321" s="1">
        <v>86</v>
      </c>
      <c r="Q321" s="1">
        <v>39</v>
      </c>
    </row>
    <row r="322" spans="1:17" ht="15.75" customHeight="1">
      <c r="A322" s="1">
        <v>2017</v>
      </c>
      <c r="B322" s="1">
        <v>14</v>
      </c>
      <c r="C322" s="1" t="s">
        <v>57</v>
      </c>
      <c r="D322" s="1">
        <v>6.9770000000000003</v>
      </c>
      <c r="E322" s="1" t="s">
        <v>264</v>
      </c>
      <c r="F322" s="1">
        <v>29</v>
      </c>
      <c r="G322" s="1">
        <v>8</v>
      </c>
      <c r="H322" s="1">
        <v>3</v>
      </c>
      <c r="I322" s="1">
        <v>18</v>
      </c>
      <c r="J322" s="1">
        <v>25</v>
      </c>
      <c r="K322" s="1">
        <v>9</v>
      </c>
      <c r="L322" s="1">
        <v>10</v>
      </c>
      <c r="M322" s="1">
        <v>17</v>
      </c>
      <c r="N322" s="1">
        <v>32</v>
      </c>
      <c r="O322" s="1">
        <v>9</v>
      </c>
      <c r="P322" s="1">
        <v>7</v>
      </c>
      <c r="Q322" s="1">
        <v>25</v>
      </c>
    </row>
    <row r="323" spans="1:17" ht="15.75" customHeight="1">
      <c r="A323" s="1">
        <v>2017</v>
      </c>
      <c r="B323" s="1">
        <v>15</v>
      </c>
      <c r="C323" s="8" t="s">
        <v>340</v>
      </c>
      <c r="D323" s="5">
        <v>6.9649999999999999</v>
      </c>
      <c r="E323" s="6">
        <v>0.29299999999999998</v>
      </c>
      <c r="F323" s="6">
        <v>6</v>
      </c>
      <c r="G323" s="6">
        <v>49</v>
      </c>
      <c r="H323" s="6">
        <v>13</v>
      </c>
      <c r="I323" s="10">
        <v>28</v>
      </c>
      <c r="J323" s="6">
        <v>55</v>
      </c>
      <c r="K323" s="6">
        <v>19</v>
      </c>
      <c r="L323" s="6">
        <v>14</v>
      </c>
      <c r="M323" s="6">
        <v>52</v>
      </c>
      <c r="N323" s="6">
        <v>21</v>
      </c>
      <c r="O323" s="6">
        <v>19</v>
      </c>
      <c r="P323" s="6">
        <v>45</v>
      </c>
      <c r="Q323" s="6">
        <v>42</v>
      </c>
    </row>
    <row r="324" spans="1:17" ht="15.75" customHeight="1">
      <c r="A324" s="1">
        <v>2017</v>
      </c>
      <c r="B324" s="3">
        <v>16</v>
      </c>
      <c r="C324" s="8" t="s">
        <v>341</v>
      </c>
      <c r="D324" s="5">
        <v>6.9269999999999996</v>
      </c>
      <c r="E324" s="9" t="s">
        <v>342</v>
      </c>
      <c r="F324" s="6">
        <v>8</v>
      </c>
      <c r="G324" s="6">
        <v>21</v>
      </c>
      <c r="H324" s="6">
        <v>15</v>
      </c>
      <c r="I324" s="7">
        <v>24</v>
      </c>
      <c r="J324" s="6">
        <v>49</v>
      </c>
      <c r="K324" s="6">
        <v>27</v>
      </c>
      <c r="L324" s="6">
        <v>19</v>
      </c>
      <c r="M324" s="6">
        <v>46</v>
      </c>
      <c r="N324" s="6">
        <v>47</v>
      </c>
      <c r="O324" s="6">
        <v>27</v>
      </c>
      <c r="P324" s="6">
        <v>44</v>
      </c>
      <c r="Q324" s="6">
        <v>75</v>
      </c>
    </row>
    <row r="325" spans="1:17" ht="15.75" customHeight="1">
      <c r="A325" s="1">
        <v>2017</v>
      </c>
      <c r="B325" s="3">
        <v>17</v>
      </c>
      <c r="C325" s="8" t="s">
        <v>343</v>
      </c>
      <c r="D325" s="5">
        <v>6.91</v>
      </c>
      <c r="E325" s="9" t="s">
        <v>281</v>
      </c>
      <c r="F325" s="6">
        <v>4</v>
      </c>
      <c r="G325" s="6">
        <v>37</v>
      </c>
      <c r="H325" s="6">
        <v>1</v>
      </c>
      <c r="I325" s="10">
        <v>4</v>
      </c>
      <c r="J325" s="6">
        <v>27</v>
      </c>
      <c r="K325" s="6">
        <v>26</v>
      </c>
      <c r="L325" s="6">
        <v>9</v>
      </c>
      <c r="M325" s="6">
        <v>40</v>
      </c>
      <c r="N325" s="6">
        <v>14</v>
      </c>
      <c r="O325" s="6">
        <v>26</v>
      </c>
      <c r="P325" s="6">
        <v>25</v>
      </c>
      <c r="Q325" s="6">
        <v>116</v>
      </c>
    </row>
    <row r="326" spans="1:17" ht="15.75" customHeight="1">
      <c r="A326" s="1">
        <v>2017</v>
      </c>
      <c r="B326" s="1">
        <v>18</v>
      </c>
      <c r="C326" s="1" t="s">
        <v>51</v>
      </c>
      <c r="D326" s="1">
        <v>6.8860000000000001</v>
      </c>
      <c r="E326" s="1" t="s">
        <v>258</v>
      </c>
      <c r="F326" s="1">
        <v>42</v>
      </c>
      <c r="G326" s="1">
        <v>22</v>
      </c>
      <c r="H326" s="1">
        <v>7</v>
      </c>
      <c r="I326" s="1">
        <v>61</v>
      </c>
      <c r="J326" s="1">
        <v>41</v>
      </c>
      <c r="K326" s="1">
        <v>12</v>
      </c>
      <c r="L326" s="1">
        <v>37</v>
      </c>
      <c r="M326" s="1">
        <v>25</v>
      </c>
      <c r="N326" s="1">
        <v>62</v>
      </c>
      <c r="O326" s="1">
        <v>12</v>
      </c>
      <c r="P326" s="1">
        <v>8</v>
      </c>
      <c r="Q326" s="1">
        <v>10</v>
      </c>
    </row>
    <row r="327" spans="1:17" ht="15.75" customHeight="1">
      <c r="A327" s="1">
        <v>2017</v>
      </c>
      <c r="B327" s="1">
        <v>19</v>
      </c>
      <c r="C327" s="1" t="s">
        <v>64</v>
      </c>
      <c r="D327" s="1">
        <v>6.8140000000000001</v>
      </c>
      <c r="E327" s="1" t="s">
        <v>344</v>
      </c>
      <c r="F327" s="1">
        <v>14</v>
      </c>
      <c r="G327" s="1">
        <v>11</v>
      </c>
      <c r="H327" s="1">
        <v>24</v>
      </c>
      <c r="I327" s="1">
        <v>26</v>
      </c>
      <c r="J327" s="1">
        <v>73</v>
      </c>
      <c r="K327" s="1">
        <v>4</v>
      </c>
      <c r="L327" s="1">
        <v>16</v>
      </c>
      <c r="M327" s="1">
        <v>47</v>
      </c>
      <c r="N327" s="1">
        <v>29</v>
      </c>
      <c r="O327" s="1">
        <v>4</v>
      </c>
      <c r="P327" s="1">
        <v>23</v>
      </c>
      <c r="Q327" s="1">
        <v>29</v>
      </c>
    </row>
    <row r="328" spans="1:17" ht="15.75" customHeight="1">
      <c r="A328" s="1">
        <v>2017</v>
      </c>
      <c r="B328" s="1">
        <v>20</v>
      </c>
      <c r="C328" s="1" t="s">
        <v>71</v>
      </c>
      <c r="D328" s="1">
        <v>6.774</v>
      </c>
      <c r="E328" s="1" t="s">
        <v>345</v>
      </c>
      <c r="F328" s="1">
        <v>53</v>
      </c>
      <c r="G328" s="1">
        <v>69</v>
      </c>
      <c r="H328" s="1">
        <v>6</v>
      </c>
      <c r="I328" s="1">
        <v>27</v>
      </c>
      <c r="J328" s="1">
        <v>4</v>
      </c>
      <c r="K328" s="1">
        <v>11</v>
      </c>
      <c r="L328" s="1">
        <v>34</v>
      </c>
      <c r="M328" s="1">
        <v>28</v>
      </c>
      <c r="N328" s="1">
        <v>11</v>
      </c>
      <c r="O328" s="1">
        <v>58</v>
      </c>
      <c r="P328" s="1">
        <v>16</v>
      </c>
      <c r="Q328" s="1"/>
    </row>
    <row r="329" spans="1:17" ht="15.75" customHeight="1">
      <c r="A329" s="1">
        <v>2017</v>
      </c>
      <c r="B329" s="1">
        <v>21</v>
      </c>
      <c r="C329" s="1" t="s">
        <v>70</v>
      </c>
      <c r="D329" s="1">
        <v>6.7110000000000003</v>
      </c>
      <c r="E329" s="1">
        <v>0.42099999999999999</v>
      </c>
      <c r="F329" s="1">
        <v>25</v>
      </c>
      <c r="G329" s="1">
        <v>41</v>
      </c>
      <c r="H329" s="1">
        <v>29</v>
      </c>
      <c r="I329" s="1">
        <v>35</v>
      </c>
      <c r="J329" s="1">
        <v>61</v>
      </c>
      <c r="K329" s="1">
        <v>90</v>
      </c>
      <c r="L329" s="1">
        <v>111</v>
      </c>
      <c r="M329" s="1">
        <v>69</v>
      </c>
      <c r="N329" s="1">
        <v>39</v>
      </c>
      <c r="O329" s="1">
        <v>90</v>
      </c>
      <c r="P329" s="1">
        <v>72</v>
      </c>
      <c r="Q329" s="1">
        <v>142</v>
      </c>
    </row>
    <row r="330" spans="1:17" ht="15.75" customHeight="1">
      <c r="A330" s="1">
        <v>2017</v>
      </c>
      <c r="B330" s="1">
        <v>22</v>
      </c>
      <c r="C330" s="1" t="s">
        <v>74</v>
      </c>
      <c r="D330" s="1">
        <v>6.6269999999999998</v>
      </c>
      <c r="E330" s="1">
        <v>0.66300000000000003</v>
      </c>
      <c r="F330" s="1">
        <v>51</v>
      </c>
      <c r="G330" s="1">
        <v>12</v>
      </c>
      <c r="H330" s="1">
        <v>25</v>
      </c>
      <c r="I330" s="1">
        <v>9</v>
      </c>
      <c r="J330" s="1">
        <v>15</v>
      </c>
      <c r="K330" s="1">
        <v>10</v>
      </c>
      <c r="L330" s="1">
        <v>39</v>
      </c>
      <c r="M330" s="1">
        <v>73</v>
      </c>
      <c r="N330" s="1">
        <v>88</v>
      </c>
      <c r="O330" s="1">
        <v>10</v>
      </c>
      <c r="P330" s="1">
        <v>51</v>
      </c>
      <c r="Q330" s="1">
        <v>58</v>
      </c>
    </row>
    <row r="331" spans="1:17" ht="15.75" customHeight="1">
      <c r="A331" s="1">
        <v>2017</v>
      </c>
      <c r="B331" s="1">
        <v>23</v>
      </c>
      <c r="C331" s="1" t="s">
        <v>76</v>
      </c>
      <c r="D331" s="1">
        <v>6.4889999999999999</v>
      </c>
      <c r="E331" s="1" t="s">
        <v>346</v>
      </c>
      <c r="F331" s="1">
        <v>19</v>
      </c>
      <c r="G331" s="1">
        <v>16</v>
      </c>
      <c r="H331" s="1">
        <v>23</v>
      </c>
      <c r="I331" s="1">
        <v>15</v>
      </c>
      <c r="J331" s="1">
        <v>58</v>
      </c>
      <c r="K331" s="1">
        <v>67</v>
      </c>
      <c r="L331" s="1">
        <v>23</v>
      </c>
      <c r="M331" s="1">
        <v>42</v>
      </c>
      <c r="N331" s="1">
        <v>51</v>
      </c>
      <c r="O331" s="1">
        <v>67</v>
      </c>
      <c r="P331" s="1">
        <v>31</v>
      </c>
      <c r="Q331" s="1">
        <v>124</v>
      </c>
    </row>
    <row r="332" spans="1:17" ht="15.75" customHeight="1">
      <c r="A332" s="1">
        <v>2017</v>
      </c>
      <c r="B332" s="1">
        <v>24</v>
      </c>
      <c r="C332" s="1" t="s">
        <v>61</v>
      </c>
      <c r="D332" s="1">
        <v>6.4880000000000004</v>
      </c>
      <c r="E332" s="1" t="s">
        <v>347</v>
      </c>
      <c r="F332" s="1">
        <v>75</v>
      </c>
      <c r="G332" s="1">
        <v>87</v>
      </c>
      <c r="H332" s="1">
        <v>58</v>
      </c>
      <c r="I332" s="1">
        <v>67</v>
      </c>
      <c r="J332" s="1">
        <v>44</v>
      </c>
      <c r="K332" s="1">
        <v>117</v>
      </c>
      <c r="L332" s="1">
        <v>79</v>
      </c>
      <c r="M332" s="1">
        <v>16</v>
      </c>
      <c r="N332" s="1">
        <v>42</v>
      </c>
      <c r="O332" s="1">
        <v>117</v>
      </c>
      <c r="P332" s="1">
        <v>105</v>
      </c>
      <c r="Q332" s="1">
        <v>100</v>
      </c>
    </row>
    <row r="333" spans="1:17" ht="15.75" customHeight="1">
      <c r="A333" s="1">
        <v>2017</v>
      </c>
      <c r="B333" s="1">
        <v>25</v>
      </c>
      <c r="C333" s="1" t="s">
        <v>66</v>
      </c>
      <c r="D333" s="1">
        <v>6.476</v>
      </c>
      <c r="E333" s="1" t="s">
        <v>139</v>
      </c>
      <c r="F333" s="1">
        <v>64</v>
      </c>
      <c r="G333" s="1">
        <v>56</v>
      </c>
      <c r="H333" s="1">
        <v>51</v>
      </c>
      <c r="I333" s="1">
        <v>32</v>
      </c>
      <c r="J333" s="1">
        <v>78</v>
      </c>
      <c r="K333" s="1">
        <v>50</v>
      </c>
      <c r="L333" s="1">
        <v>91</v>
      </c>
      <c r="M333" s="1">
        <v>20</v>
      </c>
      <c r="N333" s="1">
        <v>80</v>
      </c>
      <c r="O333" s="1">
        <v>50</v>
      </c>
      <c r="P333" s="1">
        <v>102</v>
      </c>
      <c r="Q333" s="1">
        <v>52</v>
      </c>
    </row>
    <row r="334" spans="1:17" ht="15.75" customHeight="1">
      <c r="A334" s="1">
        <v>2017</v>
      </c>
      <c r="B334" s="1">
        <v>26</v>
      </c>
      <c r="C334" s="1" t="s">
        <v>81</v>
      </c>
      <c r="D334" s="1">
        <v>6.4409999999999998</v>
      </c>
      <c r="E334" s="1">
        <v>0.22</v>
      </c>
      <c r="F334" s="1">
        <v>41</v>
      </c>
      <c r="G334" s="1">
        <v>50</v>
      </c>
      <c r="H334" s="1">
        <v>21</v>
      </c>
      <c r="I334" s="1"/>
      <c r="J334" s="1">
        <v>88</v>
      </c>
      <c r="K334" s="1">
        <v>49</v>
      </c>
      <c r="L334" s="1">
        <v>53</v>
      </c>
      <c r="M334" s="1">
        <v>45</v>
      </c>
      <c r="N334" s="1">
        <v>1</v>
      </c>
      <c r="O334" s="1">
        <v>49</v>
      </c>
      <c r="P334" s="1">
        <v>76</v>
      </c>
      <c r="Q334" s="1">
        <v>85</v>
      </c>
    </row>
    <row r="335" spans="1:17" ht="15.75" customHeight="1">
      <c r="A335" s="1">
        <v>2017</v>
      </c>
      <c r="B335" s="1">
        <v>27</v>
      </c>
      <c r="C335" s="1" t="s">
        <v>67</v>
      </c>
      <c r="D335" s="1">
        <v>6.43</v>
      </c>
      <c r="E335" s="1" t="s">
        <v>348</v>
      </c>
      <c r="F335" s="1">
        <v>124</v>
      </c>
      <c r="G335" s="1">
        <v>31</v>
      </c>
      <c r="H335" s="1">
        <v>46</v>
      </c>
      <c r="I335" s="1">
        <v>39</v>
      </c>
      <c r="J335" s="1">
        <v>28</v>
      </c>
      <c r="K335" s="1">
        <v>94</v>
      </c>
      <c r="L335" s="1">
        <v>94</v>
      </c>
      <c r="M335" s="1">
        <v>8</v>
      </c>
      <c r="N335" s="1">
        <v>52</v>
      </c>
      <c r="O335" s="1">
        <v>94</v>
      </c>
      <c r="P335" s="1">
        <v>62</v>
      </c>
      <c r="Q335" s="1">
        <v>88</v>
      </c>
    </row>
    <row r="336" spans="1:17" ht="15.75" customHeight="1">
      <c r="A336" s="1">
        <v>2017</v>
      </c>
      <c r="B336" s="1">
        <v>28</v>
      </c>
      <c r="C336" s="1" t="s">
        <v>54</v>
      </c>
      <c r="D336" s="1">
        <v>6.4189999999999996</v>
      </c>
      <c r="E336" s="1" t="s">
        <v>331</v>
      </c>
      <c r="F336" s="1">
        <v>110</v>
      </c>
      <c r="G336" s="1">
        <v>38</v>
      </c>
      <c r="H336" s="1">
        <v>65</v>
      </c>
      <c r="I336" s="1">
        <v>76</v>
      </c>
      <c r="J336" s="1">
        <v>87</v>
      </c>
      <c r="K336" s="1">
        <v>114</v>
      </c>
      <c r="L336" s="1">
        <v>75</v>
      </c>
      <c r="M336" s="1">
        <v>71</v>
      </c>
      <c r="N336" s="1">
        <v>92</v>
      </c>
      <c r="O336" s="1">
        <v>114</v>
      </c>
      <c r="P336" s="1">
        <v>110</v>
      </c>
      <c r="Q336" s="1">
        <v>107</v>
      </c>
    </row>
    <row r="337" spans="1:17" ht="15.75" customHeight="1">
      <c r="A337" s="1">
        <v>2017</v>
      </c>
      <c r="B337" s="1">
        <v>29</v>
      </c>
      <c r="C337" s="1" t="s">
        <v>69</v>
      </c>
      <c r="D337" s="1">
        <v>6.3879999999999999</v>
      </c>
      <c r="E337" s="1" t="s">
        <v>215</v>
      </c>
      <c r="F337" s="1">
        <v>94</v>
      </c>
      <c r="G337" s="1">
        <v>35</v>
      </c>
      <c r="H337" s="1">
        <v>50</v>
      </c>
      <c r="I337" s="1">
        <v>52</v>
      </c>
      <c r="J337" s="1">
        <v>60</v>
      </c>
      <c r="K337" s="1">
        <v>104</v>
      </c>
      <c r="L337" s="1">
        <v>95</v>
      </c>
      <c r="M337" s="1">
        <v>44</v>
      </c>
      <c r="N337" s="1">
        <v>81</v>
      </c>
      <c r="O337" s="1">
        <v>104</v>
      </c>
      <c r="P337" s="1">
        <v>99</v>
      </c>
      <c r="Q337" s="1">
        <v>69</v>
      </c>
    </row>
    <row r="338" spans="1:17" ht="15.75" customHeight="1">
      <c r="A338" s="1">
        <v>2017</v>
      </c>
      <c r="B338" s="1">
        <v>30</v>
      </c>
      <c r="C338" s="1" t="s">
        <v>86</v>
      </c>
      <c r="D338" s="1">
        <v>6.3819999999999997</v>
      </c>
      <c r="E338" s="1">
        <v>0.41699999999999998</v>
      </c>
      <c r="F338" s="1">
        <v>136</v>
      </c>
      <c r="G338" s="1">
        <v>75</v>
      </c>
      <c r="H338" s="1">
        <v>91</v>
      </c>
      <c r="I338" s="1">
        <v>91</v>
      </c>
      <c r="J338" s="1">
        <v>20</v>
      </c>
      <c r="K338" s="1">
        <v>85</v>
      </c>
      <c r="L338" s="1">
        <v>78</v>
      </c>
      <c r="M338" s="1">
        <v>3</v>
      </c>
      <c r="N338" s="1">
        <v>93</v>
      </c>
      <c r="O338" s="1">
        <v>85</v>
      </c>
      <c r="P338" s="1">
        <v>38</v>
      </c>
      <c r="Q338" s="1">
        <v>71</v>
      </c>
    </row>
    <row r="339" spans="1:17" ht="15.75" customHeight="1">
      <c r="A339" s="1">
        <v>2017</v>
      </c>
      <c r="B339" s="1">
        <v>31</v>
      </c>
      <c r="C339" s="1" t="s">
        <v>73</v>
      </c>
      <c r="D339" s="1">
        <v>6.3789999999999996</v>
      </c>
      <c r="E339" s="1">
        <v>2.4E-2</v>
      </c>
      <c r="F339" s="1">
        <v>84</v>
      </c>
      <c r="G339" s="1">
        <v>28</v>
      </c>
      <c r="H339" s="1">
        <v>49</v>
      </c>
      <c r="I339" s="1">
        <v>49</v>
      </c>
      <c r="J339" s="1">
        <v>30</v>
      </c>
      <c r="K339" s="1">
        <v>74</v>
      </c>
      <c r="L339" s="1">
        <v>25</v>
      </c>
      <c r="M339" s="1">
        <v>32</v>
      </c>
      <c r="N339" s="1">
        <v>74</v>
      </c>
      <c r="O339" s="1">
        <v>74</v>
      </c>
      <c r="P339" s="1">
        <v>97</v>
      </c>
      <c r="Q339" s="1">
        <v>84</v>
      </c>
    </row>
    <row r="340" spans="1:17" ht="15.75" customHeight="1">
      <c r="A340" s="1">
        <v>2017</v>
      </c>
      <c r="B340" s="1">
        <v>32</v>
      </c>
      <c r="C340" s="1" t="s">
        <v>349</v>
      </c>
      <c r="D340" s="1">
        <v>6.3739999999999997</v>
      </c>
      <c r="E340" s="1" t="s">
        <v>117</v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ht="15.75" customHeight="1">
      <c r="A341" s="1">
        <v>2017</v>
      </c>
      <c r="B341" s="1">
        <v>33</v>
      </c>
      <c r="C341" s="1" t="s">
        <v>79</v>
      </c>
      <c r="D341" s="1">
        <v>6.3710000000000004</v>
      </c>
      <c r="E341" s="1" t="s">
        <v>350</v>
      </c>
      <c r="F341" s="1">
        <v>106</v>
      </c>
      <c r="G341" s="1">
        <v>67</v>
      </c>
      <c r="H341" s="1">
        <v>20</v>
      </c>
      <c r="I341" s="1">
        <v>60</v>
      </c>
      <c r="J341" s="1">
        <v>72</v>
      </c>
      <c r="K341" s="1">
        <v>68</v>
      </c>
      <c r="L341" s="1">
        <v>54</v>
      </c>
      <c r="M341" s="1">
        <v>90</v>
      </c>
      <c r="N341" s="1">
        <v>68</v>
      </c>
      <c r="O341" s="1">
        <v>117</v>
      </c>
      <c r="P341" s="1">
        <v>8</v>
      </c>
      <c r="Q341" s="1"/>
    </row>
    <row r="342" spans="1:17" ht="15.75" customHeight="1">
      <c r="A342" s="1">
        <v>2017</v>
      </c>
      <c r="B342" s="1">
        <v>34</v>
      </c>
      <c r="C342" s="1" t="s">
        <v>63</v>
      </c>
      <c r="D342" s="1">
        <v>6.343</v>
      </c>
      <c r="E342" s="1" t="s">
        <v>351</v>
      </c>
      <c r="F342" s="1">
        <v>3</v>
      </c>
      <c r="G342" s="1">
        <v>44</v>
      </c>
      <c r="H342" s="1">
        <v>2</v>
      </c>
      <c r="I342" s="1">
        <v>2</v>
      </c>
      <c r="J342" s="1">
        <v>12</v>
      </c>
      <c r="K342" s="1">
        <v>14</v>
      </c>
      <c r="L342" s="1">
        <v>1</v>
      </c>
      <c r="M342" s="1">
        <v>30</v>
      </c>
      <c r="N342" s="1">
        <v>11</v>
      </c>
      <c r="O342" s="1">
        <v>14</v>
      </c>
      <c r="P342" s="1">
        <v>9</v>
      </c>
      <c r="Q342" s="1">
        <v>18</v>
      </c>
    </row>
    <row r="343" spans="1:17" ht="15.75" customHeight="1">
      <c r="A343" s="1">
        <v>2017</v>
      </c>
      <c r="B343" s="3">
        <v>35</v>
      </c>
      <c r="C343" s="8" t="s">
        <v>352</v>
      </c>
      <c r="D343" s="5">
        <v>6.3220000000000001</v>
      </c>
      <c r="E343" s="6">
        <v>0.56200000000000006</v>
      </c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</row>
    <row r="344" spans="1:17" ht="15.75" customHeight="1">
      <c r="A344" s="1">
        <v>2017</v>
      </c>
      <c r="B344" s="3">
        <v>36</v>
      </c>
      <c r="C344" s="8" t="s">
        <v>353</v>
      </c>
      <c r="D344" s="5">
        <v>6.31</v>
      </c>
      <c r="E344" s="9" t="s">
        <v>354</v>
      </c>
      <c r="F344" s="6">
        <v>35</v>
      </c>
      <c r="G344" s="6">
        <v>39</v>
      </c>
      <c r="H344" s="6">
        <v>28</v>
      </c>
      <c r="I344" s="7">
        <v>5</v>
      </c>
      <c r="J344" s="6">
        <v>91</v>
      </c>
      <c r="K344" s="6">
        <v>45</v>
      </c>
      <c r="L344" s="6">
        <v>72</v>
      </c>
      <c r="M344" s="6">
        <v>99</v>
      </c>
      <c r="N344" s="6">
        <v>87</v>
      </c>
      <c r="O344" s="6">
        <v>45</v>
      </c>
      <c r="P344" s="6">
        <v>84</v>
      </c>
      <c r="Q344" s="6">
        <v>47</v>
      </c>
    </row>
    <row r="345" spans="1:17" ht="15.75" customHeight="1">
      <c r="A345" s="1">
        <v>2017</v>
      </c>
      <c r="B345" s="1">
        <v>37</v>
      </c>
      <c r="C345" s="1" t="s">
        <v>75</v>
      </c>
      <c r="D345" s="1">
        <v>6.26</v>
      </c>
      <c r="E345" s="1" t="s">
        <v>255</v>
      </c>
      <c r="F345" s="1">
        <v>112</v>
      </c>
      <c r="G345" s="1">
        <v>33</v>
      </c>
      <c r="H345" s="1">
        <v>67</v>
      </c>
      <c r="I345" s="1">
        <v>40</v>
      </c>
      <c r="J345" s="1">
        <v>57</v>
      </c>
      <c r="K345" s="1">
        <v>106</v>
      </c>
      <c r="L345" s="1">
        <v>118</v>
      </c>
      <c r="M345" s="1">
        <v>12</v>
      </c>
      <c r="N345" s="1">
        <v>84</v>
      </c>
      <c r="O345" s="1">
        <v>106</v>
      </c>
      <c r="P345" s="1">
        <v>88</v>
      </c>
      <c r="Q345" s="1">
        <v>50</v>
      </c>
    </row>
    <row r="346" spans="1:17" ht="15.75" customHeight="1">
      <c r="A346" s="1">
        <v>2017</v>
      </c>
      <c r="B346" s="1">
        <v>38</v>
      </c>
      <c r="C346" s="1" t="s">
        <v>91</v>
      </c>
      <c r="D346" s="1">
        <v>6.1920000000000002</v>
      </c>
      <c r="E346" s="1" t="s">
        <v>355</v>
      </c>
      <c r="F346" s="1">
        <v>81</v>
      </c>
      <c r="G346" s="1">
        <v>25</v>
      </c>
      <c r="H346" s="1">
        <v>40</v>
      </c>
      <c r="I346" s="1">
        <v>78</v>
      </c>
      <c r="J346" s="1">
        <v>47</v>
      </c>
      <c r="K346" s="1">
        <v>41</v>
      </c>
      <c r="L346" s="1">
        <v>130</v>
      </c>
      <c r="M346" s="1">
        <v>21</v>
      </c>
      <c r="N346" s="1">
        <v>56</v>
      </c>
      <c r="O346" s="1">
        <v>41</v>
      </c>
      <c r="P346" s="1">
        <v>30</v>
      </c>
      <c r="Q346" s="1">
        <v>13</v>
      </c>
    </row>
    <row r="347" spans="1:17" ht="15.75" customHeight="1">
      <c r="A347" s="1">
        <v>2017</v>
      </c>
      <c r="B347" s="1">
        <v>39</v>
      </c>
      <c r="C347" s="1" t="s">
        <v>95</v>
      </c>
      <c r="D347" s="1">
        <v>6.173</v>
      </c>
      <c r="E347" s="1">
        <v>0.20399999999999999</v>
      </c>
      <c r="F347" s="1">
        <v>45</v>
      </c>
      <c r="G347" s="1">
        <v>29</v>
      </c>
      <c r="H347" s="1">
        <v>39</v>
      </c>
      <c r="I347" s="1">
        <v>48</v>
      </c>
      <c r="J347" s="1">
        <v>109</v>
      </c>
      <c r="K347" s="1">
        <v>55</v>
      </c>
      <c r="L347" s="1">
        <v>131</v>
      </c>
      <c r="M347" s="1">
        <v>51</v>
      </c>
      <c r="N347" s="1">
        <v>31</v>
      </c>
      <c r="O347" s="1">
        <v>55</v>
      </c>
      <c r="P347" s="1">
        <v>61</v>
      </c>
      <c r="Q347" s="1">
        <v>136</v>
      </c>
    </row>
    <row r="348" spans="1:17" ht="15.75" customHeight="1">
      <c r="A348" s="1">
        <v>2017</v>
      </c>
      <c r="B348" s="1">
        <v>40</v>
      </c>
      <c r="C348" s="1" t="s">
        <v>96</v>
      </c>
      <c r="D348" s="1">
        <v>6.1669999999999998</v>
      </c>
      <c r="E348" s="1">
        <v>0.35799999999999998</v>
      </c>
      <c r="F348" s="1">
        <v>101</v>
      </c>
      <c r="G348" s="1">
        <v>73</v>
      </c>
      <c r="H348" s="1">
        <v>94</v>
      </c>
      <c r="I348" s="1">
        <v>79</v>
      </c>
      <c r="J348" s="1">
        <v>89</v>
      </c>
      <c r="K348" s="1">
        <v>131</v>
      </c>
      <c r="L348" s="1">
        <v>68</v>
      </c>
      <c r="M348" s="1">
        <v>5</v>
      </c>
      <c r="N348" s="1">
        <v>63</v>
      </c>
      <c r="O348" s="1">
        <v>131</v>
      </c>
      <c r="P348" s="1">
        <v>96</v>
      </c>
      <c r="Q348" s="1">
        <v>120</v>
      </c>
    </row>
    <row r="349" spans="1:17" ht="15.75" customHeight="1">
      <c r="A349" s="1">
        <v>2017</v>
      </c>
      <c r="B349" s="1">
        <v>41</v>
      </c>
      <c r="C349" s="1" t="s">
        <v>98</v>
      </c>
      <c r="D349" s="1">
        <v>6.141</v>
      </c>
      <c r="E349" s="1">
        <v>0.63400000000000001</v>
      </c>
      <c r="F349" s="1">
        <v>121</v>
      </c>
      <c r="G349" s="1">
        <v>68</v>
      </c>
      <c r="H349" s="1">
        <v>103</v>
      </c>
      <c r="I349" s="1">
        <v>43</v>
      </c>
      <c r="J349" s="1">
        <v>17</v>
      </c>
      <c r="K349" s="1">
        <v>69</v>
      </c>
      <c r="L349" s="1">
        <v>35</v>
      </c>
      <c r="M349" s="1">
        <v>9</v>
      </c>
      <c r="N349" s="1">
        <v>95</v>
      </c>
      <c r="O349" s="1">
        <v>69</v>
      </c>
      <c r="P349" s="1">
        <v>59</v>
      </c>
      <c r="Q349" s="1">
        <v>65</v>
      </c>
    </row>
    <row r="350" spans="1:17" ht="15.75" customHeight="1">
      <c r="A350" s="1">
        <v>2017</v>
      </c>
      <c r="B350" s="1">
        <v>42</v>
      </c>
      <c r="C350" s="1" t="s">
        <v>109</v>
      </c>
      <c r="D350" s="1">
        <v>6.1230000000000002</v>
      </c>
      <c r="E350" s="1">
        <v>0.30099999999999999</v>
      </c>
      <c r="F350" s="1">
        <v>17</v>
      </c>
      <c r="G350" s="1">
        <v>54</v>
      </c>
      <c r="H350" s="1">
        <v>41</v>
      </c>
      <c r="I350" s="1">
        <v>42</v>
      </c>
      <c r="J350" s="1">
        <v>62</v>
      </c>
      <c r="K350" s="1">
        <v>78</v>
      </c>
      <c r="L350" s="1">
        <v>27</v>
      </c>
      <c r="M350" s="1">
        <v>111</v>
      </c>
      <c r="N350" s="1">
        <v>26</v>
      </c>
      <c r="O350" s="1">
        <v>78</v>
      </c>
      <c r="P350" s="1">
        <v>98</v>
      </c>
      <c r="Q350" s="1">
        <v>133</v>
      </c>
    </row>
    <row r="351" spans="1:17" ht="15.75" customHeight="1">
      <c r="A351" s="1">
        <v>2017</v>
      </c>
      <c r="B351" s="1">
        <v>43</v>
      </c>
      <c r="C351" s="1" t="s">
        <v>90</v>
      </c>
      <c r="D351" s="1">
        <v>6.1050000000000004</v>
      </c>
      <c r="E351" s="1">
        <v>0.79300000000000004</v>
      </c>
      <c r="F351" s="1">
        <v>72</v>
      </c>
      <c r="G351" s="1">
        <v>60</v>
      </c>
      <c r="H351" s="1">
        <v>19</v>
      </c>
      <c r="I351" s="1">
        <v>65</v>
      </c>
      <c r="J351" s="1">
        <v>24</v>
      </c>
      <c r="K351" s="1">
        <v>23</v>
      </c>
      <c r="L351" s="1">
        <v>26</v>
      </c>
      <c r="M351" s="1">
        <v>78</v>
      </c>
      <c r="N351" s="1">
        <v>23</v>
      </c>
      <c r="O351" s="1">
        <v>24</v>
      </c>
      <c r="P351" s="1">
        <v>6</v>
      </c>
      <c r="Q351" s="1"/>
    </row>
    <row r="352" spans="1:17" ht="15.75" customHeight="1">
      <c r="A352" s="1">
        <v>2017</v>
      </c>
      <c r="B352" s="1">
        <v>44</v>
      </c>
      <c r="C352" s="1" t="s">
        <v>99</v>
      </c>
      <c r="D352" s="1">
        <v>6.0960000000000001</v>
      </c>
      <c r="E352" s="1">
        <v>0.47299999999999998</v>
      </c>
      <c r="F352" s="1">
        <v>90</v>
      </c>
      <c r="G352" s="1">
        <v>9</v>
      </c>
      <c r="H352" s="1">
        <v>100</v>
      </c>
      <c r="I352" s="1">
        <v>94</v>
      </c>
      <c r="J352" s="1">
        <v>1</v>
      </c>
      <c r="K352" s="1">
        <v>39</v>
      </c>
      <c r="L352" s="1">
        <v>17</v>
      </c>
      <c r="M352" s="1">
        <v>31</v>
      </c>
      <c r="N352" s="1">
        <v>24</v>
      </c>
      <c r="O352" s="1">
        <v>39</v>
      </c>
      <c r="P352" s="1">
        <v>68</v>
      </c>
      <c r="Q352" s="1">
        <v>74</v>
      </c>
    </row>
    <row r="353" spans="1:17" ht="15.75" customHeight="1">
      <c r="A353" s="1">
        <v>2017</v>
      </c>
      <c r="B353" s="1">
        <v>45</v>
      </c>
      <c r="C353" s="1" t="s">
        <v>88</v>
      </c>
      <c r="D353" s="1">
        <v>6.0830000000000002</v>
      </c>
      <c r="E353" s="1" t="s">
        <v>111</v>
      </c>
      <c r="F353" s="1">
        <v>89</v>
      </c>
      <c r="G353" s="1">
        <v>63</v>
      </c>
      <c r="H353" s="1">
        <v>22</v>
      </c>
      <c r="I353" s="1">
        <v>14</v>
      </c>
      <c r="J353" s="1">
        <v>37</v>
      </c>
      <c r="K353" s="1">
        <v>35</v>
      </c>
      <c r="L353" s="1">
        <v>80</v>
      </c>
      <c r="M353" s="1">
        <v>91</v>
      </c>
      <c r="N353" s="1">
        <v>35</v>
      </c>
      <c r="O353" s="1">
        <v>121</v>
      </c>
      <c r="P353" s="1">
        <v>3</v>
      </c>
      <c r="Q353" s="1"/>
    </row>
    <row r="354" spans="1:17" ht="15.75" customHeight="1">
      <c r="A354" s="1">
        <v>2017</v>
      </c>
      <c r="B354" s="1">
        <v>46</v>
      </c>
      <c r="C354" s="1" t="s">
        <v>78</v>
      </c>
      <c r="D354" s="1">
        <v>6.0720000000000001</v>
      </c>
      <c r="E354" s="1" t="s">
        <v>356</v>
      </c>
      <c r="F354" s="1">
        <v>76</v>
      </c>
      <c r="G354" s="1">
        <v>57</v>
      </c>
      <c r="H354" s="1">
        <v>60</v>
      </c>
      <c r="I354" s="1">
        <v>44</v>
      </c>
      <c r="J354" s="1">
        <v>16</v>
      </c>
      <c r="K354" s="1">
        <v>22</v>
      </c>
      <c r="L354" s="1">
        <v>122</v>
      </c>
      <c r="M354" s="1">
        <v>15</v>
      </c>
      <c r="N354" s="1">
        <v>43</v>
      </c>
      <c r="O354" s="1">
        <v>22</v>
      </c>
      <c r="P354" s="1">
        <v>114</v>
      </c>
      <c r="Q354" s="1">
        <v>129</v>
      </c>
    </row>
    <row r="355" spans="1:17" ht="15.75" customHeight="1">
      <c r="A355" s="1">
        <v>2017</v>
      </c>
      <c r="B355" s="1">
        <v>47</v>
      </c>
      <c r="C355" s="1" t="s">
        <v>100</v>
      </c>
      <c r="D355" s="1">
        <v>6</v>
      </c>
      <c r="E355" s="1" t="s">
        <v>299</v>
      </c>
      <c r="F355" s="1">
        <v>47</v>
      </c>
      <c r="G355" s="1">
        <v>23</v>
      </c>
      <c r="H355" s="1">
        <v>26</v>
      </c>
      <c r="I355" s="1">
        <v>10</v>
      </c>
      <c r="J355" s="1">
        <v>124</v>
      </c>
      <c r="K355" s="1">
        <v>44</v>
      </c>
      <c r="L355" s="1">
        <v>112</v>
      </c>
      <c r="M355" s="1">
        <v>94</v>
      </c>
      <c r="N355" s="1">
        <v>104</v>
      </c>
      <c r="O355" s="1">
        <v>44</v>
      </c>
      <c r="P355" s="1">
        <v>82</v>
      </c>
      <c r="Q355" s="1">
        <v>97</v>
      </c>
    </row>
    <row r="356" spans="1:17" ht="15.75" customHeight="1">
      <c r="A356" s="1">
        <v>2017</v>
      </c>
      <c r="B356" s="1">
        <v>48</v>
      </c>
      <c r="C356" s="1" t="s">
        <v>102</v>
      </c>
      <c r="D356" s="1">
        <v>5.9729999999999999</v>
      </c>
      <c r="E356" s="1">
        <v>0.108</v>
      </c>
      <c r="F356" s="1">
        <v>127</v>
      </c>
      <c r="G356" s="1">
        <v>65</v>
      </c>
      <c r="H356" s="1">
        <v>83</v>
      </c>
      <c r="I356" s="1">
        <v>45</v>
      </c>
      <c r="J356" s="1">
        <v>39</v>
      </c>
      <c r="K356" s="1">
        <v>120</v>
      </c>
      <c r="L356" s="1">
        <v>49</v>
      </c>
      <c r="M356" s="1">
        <v>10</v>
      </c>
      <c r="N356" s="1">
        <v>98</v>
      </c>
      <c r="O356" s="1">
        <v>120</v>
      </c>
      <c r="P356" s="1">
        <v>79</v>
      </c>
      <c r="Q356" s="1">
        <v>117</v>
      </c>
    </row>
    <row r="357" spans="1:17" ht="15.75" customHeight="1">
      <c r="A357" s="1">
        <v>2017</v>
      </c>
      <c r="B357" s="1">
        <v>49</v>
      </c>
      <c r="C357" s="1" t="s">
        <v>103</v>
      </c>
      <c r="D357" s="1">
        <v>5.9560000000000004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 ht="15.75" customHeight="1">
      <c r="A358" s="1">
        <v>2017</v>
      </c>
      <c r="B358" s="1">
        <v>50</v>
      </c>
      <c r="C358" s="1" t="s">
        <v>114</v>
      </c>
      <c r="D358" s="1">
        <v>5.952</v>
      </c>
      <c r="E358" s="1">
        <v>0.52600000000000002</v>
      </c>
      <c r="F358" s="1">
        <v>65</v>
      </c>
      <c r="G358" s="1">
        <v>18</v>
      </c>
      <c r="H358" s="1">
        <v>36</v>
      </c>
      <c r="I358" s="1">
        <v>64</v>
      </c>
      <c r="J358" s="1">
        <v>96</v>
      </c>
      <c r="K358" s="1">
        <v>92</v>
      </c>
      <c r="L358" s="1">
        <v>71</v>
      </c>
      <c r="M358" s="1">
        <v>103</v>
      </c>
      <c r="N358" s="1">
        <v>19</v>
      </c>
      <c r="O358" s="1">
        <v>92</v>
      </c>
      <c r="P358" s="1">
        <v>77</v>
      </c>
      <c r="Q358" s="1">
        <v>90</v>
      </c>
    </row>
    <row r="359" spans="1:17" ht="15.75" customHeight="1">
      <c r="A359" s="1">
        <v>2017</v>
      </c>
      <c r="B359" s="1">
        <v>51</v>
      </c>
      <c r="C359" s="1" t="s">
        <v>116</v>
      </c>
      <c r="D359" s="1">
        <v>5.9480000000000004</v>
      </c>
      <c r="E359" s="1" t="s">
        <v>357</v>
      </c>
      <c r="F359" s="1">
        <v>50</v>
      </c>
      <c r="G359" s="1">
        <v>17</v>
      </c>
      <c r="H359" s="1">
        <v>34</v>
      </c>
      <c r="I359" s="1">
        <v>23</v>
      </c>
      <c r="J359" s="1">
        <v>18</v>
      </c>
      <c r="K359" s="1">
        <v>43</v>
      </c>
      <c r="L359" s="1">
        <v>87</v>
      </c>
      <c r="M359" s="1">
        <v>105</v>
      </c>
      <c r="N359" s="1">
        <v>76</v>
      </c>
      <c r="O359" s="1">
        <v>43</v>
      </c>
      <c r="P359" s="1">
        <v>19</v>
      </c>
      <c r="Q359" s="1">
        <v>93</v>
      </c>
    </row>
    <row r="360" spans="1:17" ht="15.75" customHeight="1">
      <c r="A360" s="1">
        <v>2017</v>
      </c>
      <c r="B360" s="1">
        <v>52</v>
      </c>
      <c r="C360" s="1" t="s">
        <v>128</v>
      </c>
      <c r="D360" s="1">
        <v>5.9450000000000003</v>
      </c>
      <c r="E360" s="1">
        <v>0.91200000000000003</v>
      </c>
      <c r="F360" s="1">
        <v>62</v>
      </c>
      <c r="G360" s="1">
        <v>82</v>
      </c>
      <c r="H360" s="1">
        <v>44</v>
      </c>
      <c r="I360" s="1">
        <v>62</v>
      </c>
      <c r="J360" s="1">
        <v>56</v>
      </c>
      <c r="K360" s="1">
        <v>93</v>
      </c>
      <c r="L360" s="1">
        <v>134</v>
      </c>
      <c r="M360" s="1">
        <v>87</v>
      </c>
      <c r="N360" s="1">
        <v>41</v>
      </c>
      <c r="O360" s="1">
        <v>93</v>
      </c>
      <c r="P360" s="1">
        <v>139</v>
      </c>
      <c r="Q360" s="1">
        <v>57</v>
      </c>
    </row>
    <row r="361" spans="1:17" ht="15.75" customHeight="1">
      <c r="A361" s="1">
        <v>2017</v>
      </c>
      <c r="B361" s="1">
        <v>53</v>
      </c>
      <c r="C361" s="1" t="s">
        <v>123</v>
      </c>
      <c r="D361" s="1">
        <v>5.9329999999999998</v>
      </c>
      <c r="E361" s="1">
        <v>0.88700000000000001</v>
      </c>
      <c r="F361" s="1">
        <v>36</v>
      </c>
      <c r="G361" s="1">
        <v>47</v>
      </c>
      <c r="H361" s="1">
        <v>43</v>
      </c>
      <c r="I361" s="1">
        <v>66</v>
      </c>
      <c r="J361" s="1">
        <v>113</v>
      </c>
      <c r="K361" s="1">
        <v>89</v>
      </c>
      <c r="L361" s="1">
        <v>77</v>
      </c>
      <c r="M361" s="1">
        <v>113</v>
      </c>
      <c r="N361" s="1">
        <v>44</v>
      </c>
      <c r="O361" s="1">
        <v>89</v>
      </c>
      <c r="P361" s="1">
        <v>129</v>
      </c>
      <c r="Q361" s="1">
        <v>141</v>
      </c>
    </row>
    <row r="362" spans="1:17" ht="15.75" customHeight="1">
      <c r="A362" s="1">
        <v>2017</v>
      </c>
      <c r="B362" s="3">
        <v>54</v>
      </c>
      <c r="C362" s="8" t="s">
        <v>358</v>
      </c>
      <c r="D362" s="5">
        <v>5.915</v>
      </c>
      <c r="E362" s="9" t="s">
        <v>336</v>
      </c>
      <c r="F362" s="6">
        <v>49</v>
      </c>
      <c r="G362" s="6">
        <v>53</v>
      </c>
      <c r="H362" s="6">
        <v>30</v>
      </c>
      <c r="I362" s="7">
        <v>1</v>
      </c>
      <c r="J362" s="6">
        <v>52</v>
      </c>
      <c r="K362" s="6">
        <v>100</v>
      </c>
      <c r="L362" s="6">
        <v>32</v>
      </c>
      <c r="M362" s="6">
        <v>63</v>
      </c>
      <c r="N362" s="6">
        <v>9</v>
      </c>
      <c r="O362" s="6">
        <v>100</v>
      </c>
      <c r="P362" s="6">
        <v>56</v>
      </c>
      <c r="Q362" s="6">
        <v>144</v>
      </c>
    </row>
    <row r="363" spans="1:17" ht="15.75" customHeight="1">
      <c r="A363" s="1">
        <v>2017</v>
      </c>
      <c r="B363" s="3">
        <v>55</v>
      </c>
      <c r="C363" s="8" t="s">
        <v>359</v>
      </c>
      <c r="D363" s="5">
        <v>5.891</v>
      </c>
      <c r="E363" s="6">
        <v>0.41399999999999998</v>
      </c>
      <c r="F363" s="6">
        <v>77</v>
      </c>
      <c r="G363" s="6">
        <v>32</v>
      </c>
      <c r="H363" s="6">
        <v>55</v>
      </c>
      <c r="I363" s="10">
        <v>74</v>
      </c>
      <c r="J363" s="6">
        <v>21</v>
      </c>
      <c r="K363" s="6">
        <v>29</v>
      </c>
      <c r="L363" s="6">
        <v>83</v>
      </c>
      <c r="M363" s="6">
        <v>66</v>
      </c>
      <c r="N363" s="6">
        <v>5</v>
      </c>
      <c r="O363" s="6">
        <v>29</v>
      </c>
      <c r="P363" s="6">
        <v>10</v>
      </c>
      <c r="Q363" s="6">
        <v>46</v>
      </c>
    </row>
    <row r="364" spans="1:17" ht="15.75" customHeight="1">
      <c r="A364" s="1">
        <v>2017</v>
      </c>
      <c r="B364" s="1">
        <v>56</v>
      </c>
      <c r="C364" s="1" t="s">
        <v>130</v>
      </c>
      <c r="D364" s="1">
        <v>5.89</v>
      </c>
      <c r="E364" s="1">
        <v>0.51600000000000001</v>
      </c>
      <c r="F364" s="1">
        <v>93</v>
      </c>
      <c r="G364" s="1">
        <v>30</v>
      </c>
      <c r="H364" s="1">
        <v>95</v>
      </c>
      <c r="I364" s="1">
        <v>82</v>
      </c>
      <c r="J364" s="1">
        <v>45</v>
      </c>
      <c r="K364" s="1">
        <v>107</v>
      </c>
      <c r="L364" s="1">
        <v>121</v>
      </c>
      <c r="M364" s="1">
        <v>57</v>
      </c>
      <c r="N364" s="1">
        <v>53</v>
      </c>
      <c r="O364" s="1">
        <v>107</v>
      </c>
      <c r="P364" s="1">
        <v>37</v>
      </c>
      <c r="Q364" s="1">
        <v>28</v>
      </c>
    </row>
    <row r="365" spans="1:17" ht="15.75" customHeight="1">
      <c r="A365" s="1">
        <v>2017</v>
      </c>
      <c r="B365" s="1">
        <v>57</v>
      </c>
      <c r="C365" s="1" t="s">
        <v>110</v>
      </c>
      <c r="D365" s="1">
        <v>5.875</v>
      </c>
      <c r="E365" s="1" t="s">
        <v>360</v>
      </c>
      <c r="F365" s="1">
        <v>55</v>
      </c>
      <c r="G365" s="1">
        <v>84</v>
      </c>
      <c r="H365" s="1">
        <v>31</v>
      </c>
      <c r="I365" s="1">
        <v>3</v>
      </c>
      <c r="J365" s="1">
        <v>139</v>
      </c>
      <c r="K365" s="1">
        <v>33</v>
      </c>
      <c r="L365" s="1">
        <v>101</v>
      </c>
      <c r="M365" s="1">
        <v>120</v>
      </c>
      <c r="N365" s="1">
        <v>49</v>
      </c>
      <c r="O365" s="1">
        <v>33</v>
      </c>
      <c r="P365" s="1">
        <v>95</v>
      </c>
      <c r="Q365" s="1">
        <v>94</v>
      </c>
    </row>
    <row r="366" spans="1:17" ht="15.75" customHeight="1">
      <c r="A366" s="1">
        <v>2017</v>
      </c>
      <c r="B366" s="1">
        <v>59</v>
      </c>
      <c r="C366" s="1" t="s">
        <v>108</v>
      </c>
      <c r="D366" s="1">
        <v>5.81</v>
      </c>
      <c r="E366" s="1">
        <v>0.34599999999999997</v>
      </c>
      <c r="F366" s="1">
        <v>59</v>
      </c>
      <c r="G366" s="1">
        <v>45</v>
      </c>
      <c r="H366" s="1">
        <v>38</v>
      </c>
      <c r="I366" s="1">
        <v>88</v>
      </c>
      <c r="J366" s="1">
        <v>102</v>
      </c>
      <c r="K366" s="1">
        <v>87</v>
      </c>
      <c r="L366" s="1">
        <v>106</v>
      </c>
      <c r="M366" s="1">
        <v>79</v>
      </c>
      <c r="N366" s="1">
        <v>18</v>
      </c>
      <c r="O366" s="1">
        <v>87</v>
      </c>
      <c r="P366" s="1">
        <v>119</v>
      </c>
      <c r="Q366" s="1">
        <v>103</v>
      </c>
    </row>
    <row r="367" spans="1:17" ht="15.75" customHeight="1">
      <c r="A367" s="1">
        <v>2017</v>
      </c>
      <c r="B367" s="1">
        <v>60</v>
      </c>
      <c r="C367" s="1" t="s">
        <v>106</v>
      </c>
      <c r="D367" s="1">
        <v>5.79</v>
      </c>
      <c r="E367" s="1">
        <v>0.11899999999999999</v>
      </c>
      <c r="F367" s="1">
        <v>26</v>
      </c>
      <c r="G367" s="1">
        <v>26</v>
      </c>
      <c r="H367" s="1">
        <v>48</v>
      </c>
      <c r="I367" s="1">
        <v>80</v>
      </c>
      <c r="J367" s="1">
        <v>97</v>
      </c>
      <c r="K367" s="1">
        <v>53</v>
      </c>
      <c r="L367" s="1">
        <v>56</v>
      </c>
      <c r="M367" s="1">
        <v>60</v>
      </c>
      <c r="N367" s="1">
        <v>6</v>
      </c>
      <c r="O367" s="1">
        <v>53</v>
      </c>
      <c r="P367" s="1">
        <v>89</v>
      </c>
      <c r="Q367" s="1">
        <v>132</v>
      </c>
    </row>
    <row r="368" spans="1:17" ht="15.75" customHeight="1">
      <c r="A368" s="1">
        <v>2017</v>
      </c>
      <c r="B368" s="1">
        <v>61</v>
      </c>
      <c r="C368" s="1" t="s">
        <v>124</v>
      </c>
      <c r="D368" s="1">
        <v>5.7619999999999996</v>
      </c>
      <c r="E368" s="1" t="s">
        <v>232</v>
      </c>
      <c r="F368" s="1">
        <v>91</v>
      </c>
      <c r="G368" s="1">
        <v>79</v>
      </c>
      <c r="H368" s="1">
        <v>33</v>
      </c>
      <c r="I368" s="1">
        <v>13</v>
      </c>
      <c r="J368" s="1">
        <v>75</v>
      </c>
      <c r="K368" s="1">
        <v>30</v>
      </c>
      <c r="L368" s="1">
        <v>102</v>
      </c>
      <c r="M368" s="1">
        <v>70</v>
      </c>
      <c r="N368" s="1">
        <v>86</v>
      </c>
      <c r="O368" s="1">
        <v>30</v>
      </c>
      <c r="P368" s="1">
        <v>46</v>
      </c>
      <c r="Q368" s="1">
        <v>34</v>
      </c>
    </row>
    <row r="369" spans="1:17" ht="15.75" customHeight="1">
      <c r="A369" s="1">
        <v>2017</v>
      </c>
      <c r="B369" s="1">
        <v>62</v>
      </c>
      <c r="C369" s="1" t="s">
        <v>112</v>
      </c>
      <c r="D369" s="1">
        <v>5.7519999999999998</v>
      </c>
      <c r="E369" s="1" t="s">
        <v>361</v>
      </c>
      <c r="F369" s="1">
        <v>78</v>
      </c>
      <c r="G369" s="1">
        <v>95</v>
      </c>
      <c r="H369" s="1">
        <v>96</v>
      </c>
      <c r="I369" s="1">
        <v>87</v>
      </c>
      <c r="J369" s="1">
        <v>38</v>
      </c>
      <c r="K369" s="1">
        <v>108</v>
      </c>
      <c r="L369" s="1">
        <v>84</v>
      </c>
      <c r="M369" s="1">
        <v>78</v>
      </c>
      <c r="N369" s="1">
        <v>137</v>
      </c>
      <c r="O369" s="1">
        <v>108</v>
      </c>
      <c r="P369" s="1">
        <v>64</v>
      </c>
      <c r="Q369" s="1">
        <v>87</v>
      </c>
    </row>
    <row r="370" spans="1:17" ht="15.75" customHeight="1">
      <c r="A370" s="1">
        <v>2017</v>
      </c>
      <c r="B370" s="1">
        <v>63</v>
      </c>
      <c r="C370" s="1" t="s">
        <v>129</v>
      </c>
      <c r="D370" s="1">
        <v>5.7389999999999999</v>
      </c>
      <c r="E370" s="1">
        <v>0.313</v>
      </c>
      <c r="F370" s="1">
        <v>38</v>
      </c>
      <c r="G370" s="1">
        <v>14</v>
      </c>
      <c r="H370" s="1">
        <v>35</v>
      </c>
      <c r="I370" s="1">
        <v>38</v>
      </c>
      <c r="J370" s="1">
        <v>43</v>
      </c>
      <c r="K370" s="1">
        <v>66</v>
      </c>
      <c r="L370" s="1">
        <v>33</v>
      </c>
      <c r="M370" s="1">
        <v>33</v>
      </c>
      <c r="N370" s="1">
        <v>3</v>
      </c>
      <c r="O370" s="1">
        <v>66</v>
      </c>
      <c r="P370" s="1">
        <v>92</v>
      </c>
      <c r="Q370" s="1">
        <v>134</v>
      </c>
    </row>
    <row r="371" spans="1:17" ht="15.75" customHeight="1">
      <c r="A371" s="1">
        <v>2017</v>
      </c>
      <c r="B371" s="1">
        <v>64</v>
      </c>
      <c r="C371" s="1" t="s">
        <v>126</v>
      </c>
      <c r="D371" s="1">
        <v>5.681</v>
      </c>
      <c r="E371" s="1" t="s">
        <v>362</v>
      </c>
      <c r="F371" s="1">
        <v>97</v>
      </c>
      <c r="G371" s="1">
        <v>40</v>
      </c>
      <c r="H371" s="1">
        <v>75</v>
      </c>
      <c r="I371" s="1">
        <v>70</v>
      </c>
      <c r="J371" s="1">
        <v>32</v>
      </c>
      <c r="K371" s="1">
        <v>57</v>
      </c>
      <c r="L371" s="1">
        <v>81</v>
      </c>
      <c r="M371" s="1">
        <v>2</v>
      </c>
      <c r="N371" s="1">
        <v>45</v>
      </c>
      <c r="O371" s="1">
        <v>57</v>
      </c>
      <c r="P371" s="1">
        <v>57</v>
      </c>
      <c r="Q371" s="1">
        <v>61</v>
      </c>
    </row>
    <row r="372" spans="1:17" ht="15.75" customHeight="1">
      <c r="A372" s="1">
        <v>2017</v>
      </c>
      <c r="B372" s="1">
        <v>65</v>
      </c>
      <c r="C372" s="1" t="s">
        <v>118</v>
      </c>
      <c r="D372" s="1">
        <v>5.6630000000000003</v>
      </c>
      <c r="E372" s="1" t="s">
        <v>363</v>
      </c>
      <c r="F372" s="1">
        <v>114</v>
      </c>
      <c r="G372" s="1">
        <v>72</v>
      </c>
      <c r="H372" s="1">
        <v>77</v>
      </c>
      <c r="I372" s="1">
        <v>30</v>
      </c>
      <c r="J372" s="1">
        <v>65</v>
      </c>
      <c r="K372" s="1">
        <v>111</v>
      </c>
      <c r="L372" s="1">
        <v>126</v>
      </c>
      <c r="M372" s="1">
        <v>19</v>
      </c>
      <c r="N372" s="1">
        <v>128</v>
      </c>
      <c r="O372" s="1">
        <v>111</v>
      </c>
      <c r="P372" s="1">
        <v>65</v>
      </c>
      <c r="Q372" s="1">
        <v>96</v>
      </c>
    </row>
    <row r="373" spans="1:17" ht="15.75" customHeight="1">
      <c r="A373" s="1">
        <v>2017</v>
      </c>
      <c r="B373" s="1">
        <v>66</v>
      </c>
      <c r="C373" s="1" t="s">
        <v>135</v>
      </c>
      <c r="D373" s="1">
        <v>5.6619999999999999</v>
      </c>
      <c r="E373" s="1">
        <v>0.44</v>
      </c>
      <c r="F373" s="1">
        <v>98</v>
      </c>
      <c r="G373" s="1">
        <v>90</v>
      </c>
      <c r="H373" s="1">
        <v>92</v>
      </c>
      <c r="I373" s="1"/>
      <c r="J373" s="1">
        <v>48</v>
      </c>
      <c r="K373" s="1">
        <v>32</v>
      </c>
      <c r="L373" s="1">
        <v>133</v>
      </c>
      <c r="M373" s="1">
        <v>91</v>
      </c>
      <c r="N373" s="1">
        <v>32</v>
      </c>
      <c r="O373" s="1">
        <v>124</v>
      </c>
      <c r="P373" s="1">
        <v>83</v>
      </c>
      <c r="Q373" s="1"/>
    </row>
    <row r="374" spans="1:17" ht="15.75" customHeight="1">
      <c r="A374" s="1">
        <v>2017</v>
      </c>
      <c r="B374" s="1">
        <v>67</v>
      </c>
      <c r="C374" s="1" t="s">
        <v>285</v>
      </c>
      <c r="D374" s="1">
        <v>5.64</v>
      </c>
      <c r="E374" s="1" t="s">
        <v>364</v>
      </c>
      <c r="F374" s="1">
        <v>44</v>
      </c>
      <c r="G374" s="1">
        <v>71</v>
      </c>
      <c r="H374" s="1">
        <v>87</v>
      </c>
      <c r="I374" s="1">
        <v>77</v>
      </c>
      <c r="J374" s="1">
        <v>138</v>
      </c>
      <c r="K374" s="1">
        <v>77</v>
      </c>
      <c r="L374" s="1">
        <v>135</v>
      </c>
      <c r="M374" s="1">
        <v>114</v>
      </c>
      <c r="N374" s="1">
        <v>60</v>
      </c>
      <c r="O374" s="1">
        <v>77</v>
      </c>
      <c r="P374" s="1">
        <v>109</v>
      </c>
      <c r="Q374" s="1">
        <v>101</v>
      </c>
    </row>
    <row r="375" spans="1:17" ht="15.75" customHeight="1">
      <c r="A375" s="1">
        <v>2017</v>
      </c>
      <c r="B375" s="1">
        <v>68</v>
      </c>
      <c r="C375" s="1" t="s">
        <v>120</v>
      </c>
      <c r="D375" s="1">
        <v>5.6360000000000001</v>
      </c>
      <c r="E375" s="1">
        <v>8.0000000000000002E-3</v>
      </c>
      <c r="F375" s="1">
        <v>5</v>
      </c>
      <c r="G375" s="1">
        <v>34</v>
      </c>
      <c r="H375" s="1">
        <v>84</v>
      </c>
      <c r="I375" s="1">
        <v>100</v>
      </c>
      <c r="J375" s="1">
        <v>105</v>
      </c>
      <c r="K375" s="1">
        <v>40</v>
      </c>
      <c r="L375" s="1">
        <v>135</v>
      </c>
      <c r="M375" s="1">
        <v>110</v>
      </c>
      <c r="N375" s="1">
        <v>40</v>
      </c>
      <c r="O375" s="1">
        <v>18</v>
      </c>
      <c r="P375" s="1">
        <v>89</v>
      </c>
      <c r="Q375" s="1"/>
    </row>
    <row r="376" spans="1:17" ht="15.75" customHeight="1">
      <c r="A376" s="1">
        <v>2017</v>
      </c>
      <c r="B376" s="1">
        <v>69</v>
      </c>
      <c r="C376" s="1" t="s">
        <v>151</v>
      </c>
      <c r="D376" s="1">
        <v>5.62</v>
      </c>
      <c r="E376" s="1">
        <v>0.84499999999999997</v>
      </c>
      <c r="F376" s="1">
        <v>34</v>
      </c>
      <c r="G376" s="1">
        <v>58</v>
      </c>
      <c r="H376" s="1">
        <v>42</v>
      </c>
      <c r="I376" s="1">
        <v>57</v>
      </c>
      <c r="J376" s="1">
        <v>119</v>
      </c>
      <c r="K376" s="1">
        <v>82</v>
      </c>
      <c r="L376" s="1">
        <v>123</v>
      </c>
      <c r="M376" s="1">
        <v>81</v>
      </c>
      <c r="N376" s="1">
        <v>13</v>
      </c>
      <c r="O376" s="1">
        <v>82</v>
      </c>
      <c r="P376" s="1">
        <v>116</v>
      </c>
      <c r="Q376" s="1">
        <v>127</v>
      </c>
    </row>
    <row r="377" spans="1:17" ht="15.75" customHeight="1">
      <c r="A377" s="1">
        <v>2017</v>
      </c>
      <c r="B377" s="1">
        <v>70</v>
      </c>
      <c r="C377" s="1" t="s">
        <v>122</v>
      </c>
      <c r="D377" s="1">
        <v>5.5659999999999998</v>
      </c>
      <c r="E377" s="1">
        <v>0.22600000000000001</v>
      </c>
      <c r="F377" s="1">
        <v>105</v>
      </c>
      <c r="G377" s="1">
        <v>78</v>
      </c>
      <c r="H377" s="1">
        <v>74</v>
      </c>
      <c r="I377" s="1">
        <v>89</v>
      </c>
      <c r="J377" s="1">
        <v>81</v>
      </c>
      <c r="K377" s="1">
        <v>62</v>
      </c>
      <c r="L377" s="1">
        <v>36</v>
      </c>
      <c r="M377" s="1">
        <v>82</v>
      </c>
      <c r="N377" s="1">
        <v>122</v>
      </c>
      <c r="O377" s="1">
        <v>62</v>
      </c>
      <c r="P377" s="1">
        <v>52</v>
      </c>
      <c r="Q377" s="1">
        <v>1</v>
      </c>
    </row>
    <row r="378" spans="1:17" ht="15.75" customHeight="1">
      <c r="A378" s="1">
        <v>2017</v>
      </c>
      <c r="B378" s="1">
        <v>71</v>
      </c>
      <c r="C378" s="1" t="s">
        <v>141</v>
      </c>
      <c r="D378" s="1">
        <v>5.524</v>
      </c>
      <c r="E378" s="1">
        <v>0.53900000000000003</v>
      </c>
      <c r="F378" s="1">
        <v>116</v>
      </c>
      <c r="G378" s="1">
        <v>64</v>
      </c>
      <c r="H378" s="1">
        <v>98</v>
      </c>
      <c r="I378" s="1">
        <v>96</v>
      </c>
      <c r="J378" s="1">
        <v>13</v>
      </c>
      <c r="K378" s="1">
        <v>119</v>
      </c>
      <c r="L378" s="1">
        <v>41</v>
      </c>
      <c r="M378" s="1">
        <v>28</v>
      </c>
      <c r="N378" s="1">
        <v>108</v>
      </c>
      <c r="O378" s="1">
        <v>119</v>
      </c>
      <c r="P378" s="1">
        <v>39</v>
      </c>
      <c r="Q378" s="1">
        <v>104</v>
      </c>
    </row>
    <row r="379" spans="1:17" ht="15.75" customHeight="1">
      <c r="A379" s="1">
        <v>2017</v>
      </c>
      <c r="B379" s="1">
        <v>72</v>
      </c>
      <c r="C379" s="1" t="s">
        <v>167</v>
      </c>
      <c r="D379" s="1">
        <v>5.5039999999999996</v>
      </c>
      <c r="E379" s="1">
        <v>0.36199999999999999</v>
      </c>
      <c r="F379" s="1">
        <v>142</v>
      </c>
      <c r="G379" s="1">
        <v>66</v>
      </c>
      <c r="H379" s="1">
        <v>106</v>
      </c>
      <c r="I379" s="1">
        <v>93</v>
      </c>
      <c r="J379" s="1">
        <v>29</v>
      </c>
      <c r="K379" s="1">
        <v>52</v>
      </c>
      <c r="L379" s="1">
        <v>70</v>
      </c>
      <c r="M379" s="1">
        <v>7</v>
      </c>
      <c r="N379" s="1">
        <v>57</v>
      </c>
      <c r="O379" s="1">
        <v>52</v>
      </c>
      <c r="P379" s="1">
        <v>27</v>
      </c>
      <c r="Q379" s="1">
        <v>54</v>
      </c>
    </row>
    <row r="380" spans="1:17" ht="15.75" customHeight="1">
      <c r="A380" s="1">
        <v>2017</v>
      </c>
      <c r="B380" s="1">
        <v>73</v>
      </c>
      <c r="C380" s="1" t="s">
        <v>115</v>
      </c>
      <c r="D380" s="1">
        <v>5.4829999999999997</v>
      </c>
      <c r="E380" s="1" t="s">
        <v>299</v>
      </c>
      <c r="F380" s="1">
        <v>22</v>
      </c>
      <c r="G380" s="1">
        <v>42</v>
      </c>
      <c r="H380" s="1">
        <v>54</v>
      </c>
      <c r="I380" s="1">
        <v>71</v>
      </c>
      <c r="J380" s="1">
        <v>128</v>
      </c>
      <c r="K380" s="1">
        <v>88</v>
      </c>
      <c r="L380" s="1">
        <v>31</v>
      </c>
      <c r="M380" s="1">
        <v>130</v>
      </c>
      <c r="N380" s="1">
        <v>46</v>
      </c>
      <c r="O380" s="1">
        <v>88</v>
      </c>
      <c r="P380" s="1">
        <v>74</v>
      </c>
      <c r="Q380" s="1">
        <v>139</v>
      </c>
    </row>
    <row r="381" spans="1:17" ht="15.75" customHeight="1">
      <c r="A381" s="1">
        <v>2017</v>
      </c>
      <c r="B381" s="1">
        <v>74</v>
      </c>
      <c r="C381" s="1" t="s">
        <v>136</v>
      </c>
      <c r="D381" s="1">
        <v>5.4829999999999997</v>
      </c>
      <c r="E381" s="1">
        <v>0.13800000000000001</v>
      </c>
      <c r="F381" s="1">
        <v>16</v>
      </c>
      <c r="G381" s="1">
        <v>59</v>
      </c>
      <c r="H381" s="1">
        <v>52</v>
      </c>
      <c r="I381" s="1">
        <v>50</v>
      </c>
      <c r="J381" s="1">
        <v>122</v>
      </c>
      <c r="K381" s="1">
        <v>123</v>
      </c>
      <c r="L381" s="1">
        <v>34</v>
      </c>
      <c r="M381" s="1">
        <v>144</v>
      </c>
      <c r="N381" s="1">
        <v>97</v>
      </c>
      <c r="O381" s="1">
        <v>123</v>
      </c>
      <c r="P381" s="1">
        <v>127</v>
      </c>
      <c r="Q381" s="1">
        <v>115</v>
      </c>
    </row>
    <row r="382" spans="1:17" ht="15.75" customHeight="1">
      <c r="A382" s="1">
        <v>2017</v>
      </c>
      <c r="B382" s="3">
        <v>75</v>
      </c>
      <c r="C382" s="8" t="s">
        <v>365</v>
      </c>
      <c r="D382" s="5">
        <v>5.4720000000000004</v>
      </c>
      <c r="E382" s="6">
        <v>0.18</v>
      </c>
      <c r="F382" s="6">
        <v>32</v>
      </c>
      <c r="G382" s="6">
        <v>121</v>
      </c>
      <c r="H382" s="6">
        <v>115</v>
      </c>
      <c r="I382" s="7">
        <v>111</v>
      </c>
      <c r="J382" s="6">
        <v>110</v>
      </c>
      <c r="K382" s="6">
        <v>65</v>
      </c>
      <c r="L382" s="6">
        <v>42</v>
      </c>
      <c r="M382" s="6">
        <v>134</v>
      </c>
      <c r="N382" s="6">
        <v>94</v>
      </c>
      <c r="O382" s="6">
        <v>65</v>
      </c>
      <c r="P382" s="6">
        <v>113</v>
      </c>
      <c r="Q382" s="6">
        <v>106</v>
      </c>
    </row>
    <row r="383" spans="1:17" ht="15.75" customHeight="1">
      <c r="A383" s="1">
        <v>2017</v>
      </c>
      <c r="B383" s="1">
        <v>76</v>
      </c>
      <c r="C383" s="1" t="s">
        <v>132</v>
      </c>
      <c r="D383" s="1">
        <v>5.43</v>
      </c>
      <c r="E383" s="1" t="s">
        <v>366</v>
      </c>
      <c r="F383" s="1">
        <v>33</v>
      </c>
      <c r="G383" s="1">
        <v>70</v>
      </c>
      <c r="H383" s="1">
        <v>8</v>
      </c>
      <c r="I383" s="1"/>
      <c r="J383" s="1">
        <v>63</v>
      </c>
      <c r="K383" s="1">
        <v>18</v>
      </c>
      <c r="L383" s="1">
        <v>15</v>
      </c>
      <c r="M383" s="1">
        <v>123</v>
      </c>
      <c r="N383" s="1">
        <v>23</v>
      </c>
      <c r="O383" s="1">
        <v>18</v>
      </c>
      <c r="P383" s="1">
        <v>75</v>
      </c>
      <c r="Q383" s="1">
        <v>36</v>
      </c>
    </row>
    <row r="384" spans="1:17" ht="15.75" customHeight="1">
      <c r="A384" s="1">
        <v>2017</v>
      </c>
      <c r="B384" s="1">
        <v>77</v>
      </c>
      <c r="C384" s="1" t="s">
        <v>155</v>
      </c>
      <c r="D384" s="1">
        <v>5.41</v>
      </c>
      <c r="E384" s="1">
        <v>0.309</v>
      </c>
      <c r="F384" s="1">
        <v>68</v>
      </c>
      <c r="G384" s="1">
        <v>43</v>
      </c>
      <c r="H384" s="1">
        <v>37</v>
      </c>
      <c r="I384" s="1">
        <v>22</v>
      </c>
      <c r="J384" s="1">
        <v>26</v>
      </c>
      <c r="K384" s="1">
        <v>95</v>
      </c>
      <c r="L384" s="1">
        <v>120</v>
      </c>
      <c r="M384" s="1">
        <v>96</v>
      </c>
      <c r="N384" s="1">
        <v>82</v>
      </c>
      <c r="O384" s="1">
        <v>95</v>
      </c>
      <c r="P384" s="1">
        <v>94</v>
      </c>
      <c r="Q384" s="1">
        <v>77</v>
      </c>
    </row>
    <row r="385" spans="1:17" ht="15.75" customHeight="1">
      <c r="A385" s="1">
        <v>2017</v>
      </c>
      <c r="B385" s="1">
        <v>78</v>
      </c>
      <c r="C385" s="1" t="s">
        <v>145</v>
      </c>
      <c r="D385" s="1">
        <v>5.3979999999999997</v>
      </c>
      <c r="E385" s="1">
        <v>0.58499999999999996</v>
      </c>
      <c r="F385" s="1">
        <v>92</v>
      </c>
      <c r="G385" s="1">
        <v>51</v>
      </c>
      <c r="H385" s="1">
        <v>63</v>
      </c>
      <c r="I385" s="1">
        <v>56</v>
      </c>
      <c r="J385" s="1">
        <v>116</v>
      </c>
      <c r="K385" s="1">
        <v>76</v>
      </c>
      <c r="L385" s="1">
        <v>103</v>
      </c>
      <c r="M385" s="1">
        <v>137</v>
      </c>
      <c r="N385" s="1">
        <v>105</v>
      </c>
      <c r="O385" s="1">
        <v>76</v>
      </c>
      <c r="P385" s="1">
        <v>141</v>
      </c>
      <c r="Q385" s="1">
        <v>135</v>
      </c>
    </row>
    <row r="386" spans="1:17" ht="15.75" customHeight="1">
      <c r="A386" s="1">
        <v>2017</v>
      </c>
      <c r="B386" s="1">
        <v>79</v>
      </c>
      <c r="C386" s="1" t="s">
        <v>160</v>
      </c>
      <c r="D386" s="1">
        <v>5.3579999999999997</v>
      </c>
      <c r="E386" s="1" t="s">
        <v>367</v>
      </c>
      <c r="F386" s="1">
        <v>95</v>
      </c>
      <c r="G386" s="1">
        <v>104</v>
      </c>
      <c r="H386" s="1">
        <v>47</v>
      </c>
      <c r="I386" s="1">
        <v>25</v>
      </c>
      <c r="J386" s="1">
        <v>144</v>
      </c>
      <c r="K386" s="1">
        <v>139</v>
      </c>
      <c r="L386" s="1">
        <v>116</v>
      </c>
      <c r="M386" s="1">
        <v>127</v>
      </c>
      <c r="N386" s="1">
        <v>106</v>
      </c>
      <c r="O386" s="1">
        <v>139</v>
      </c>
      <c r="P386" s="1">
        <v>137</v>
      </c>
      <c r="Q386" s="1">
        <v>130</v>
      </c>
    </row>
    <row r="387" spans="1:17" ht="15.75" customHeight="1">
      <c r="A387" s="1">
        <v>2017</v>
      </c>
      <c r="B387" s="1">
        <v>80</v>
      </c>
      <c r="C387" s="1" t="s">
        <v>162</v>
      </c>
      <c r="D387" s="1">
        <v>5.3520000000000003</v>
      </c>
      <c r="E387" s="1">
        <v>0.97199999999999998</v>
      </c>
      <c r="F387" s="1">
        <v>70</v>
      </c>
      <c r="G387" s="1">
        <v>126</v>
      </c>
      <c r="H387" s="1">
        <v>125</v>
      </c>
      <c r="I387" s="1">
        <v>73</v>
      </c>
      <c r="J387" s="1">
        <v>59</v>
      </c>
      <c r="K387" s="1">
        <v>51</v>
      </c>
      <c r="L387" s="1">
        <v>44</v>
      </c>
      <c r="M387" s="1">
        <v>106</v>
      </c>
      <c r="N387" s="1">
        <v>73</v>
      </c>
      <c r="O387" s="1">
        <v>51</v>
      </c>
      <c r="P387" s="1">
        <v>15</v>
      </c>
      <c r="Q387" s="1">
        <v>37</v>
      </c>
    </row>
    <row r="388" spans="1:17" ht="15.75" customHeight="1">
      <c r="A388" s="1">
        <v>2017</v>
      </c>
      <c r="B388" s="1">
        <v>81</v>
      </c>
      <c r="C388" s="1" t="s">
        <v>147</v>
      </c>
      <c r="D388" s="1">
        <v>5.3470000000000004</v>
      </c>
      <c r="E388" s="1">
        <v>4.8000000000000001E-2</v>
      </c>
      <c r="F388" s="1">
        <v>69</v>
      </c>
      <c r="G388" s="1">
        <v>55</v>
      </c>
      <c r="H388" s="1">
        <v>56</v>
      </c>
      <c r="I388" s="1">
        <v>41</v>
      </c>
      <c r="J388" s="1">
        <v>127</v>
      </c>
      <c r="K388" s="1">
        <v>73</v>
      </c>
      <c r="L388" s="1">
        <v>57</v>
      </c>
      <c r="M388" s="1">
        <v>133</v>
      </c>
      <c r="N388" s="1">
        <v>111</v>
      </c>
      <c r="O388" s="1">
        <v>73</v>
      </c>
      <c r="P388" s="1">
        <v>128</v>
      </c>
      <c r="Q388" s="1">
        <v>122</v>
      </c>
    </row>
    <row r="389" spans="1:17" ht="15.75" customHeight="1">
      <c r="A389" s="1">
        <v>2017</v>
      </c>
      <c r="B389" s="1">
        <v>82</v>
      </c>
      <c r="C389" s="1" t="s">
        <v>131</v>
      </c>
      <c r="D389" s="1">
        <v>5.3209999999999997</v>
      </c>
      <c r="E389" s="1" t="s">
        <v>329</v>
      </c>
      <c r="F389" s="1">
        <v>12</v>
      </c>
      <c r="G389" s="1">
        <v>99</v>
      </c>
      <c r="H389" s="1">
        <v>45</v>
      </c>
      <c r="I389" s="1">
        <v>36</v>
      </c>
      <c r="J389" s="1">
        <v>108</v>
      </c>
      <c r="K389" s="1">
        <v>72</v>
      </c>
      <c r="L389" s="1">
        <v>125</v>
      </c>
      <c r="M389" s="1">
        <v>90</v>
      </c>
      <c r="N389" s="1">
        <v>99</v>
      </c>
      <c r="O389" s="1">
        <v>72</v>
      </c>
      <c r="P389" s="1">
        <v>122</v>
      </c>
      <c r="Q389" s="1">
        <v>143</v>
      </c>
    </row>
    <row r="390" spans="1:17" ht="15.75" customHeight="1">
      <c r="A390" s="1">
        <v>2017</v>
      </c>
      <c r="B390" s="1">
        <v>83</v>
      </c>
      <c r="C390" s="1" t="s">
        <v>149</v>
      </c>
      <c r="D390" s="1">
        <v>5.3019999999999996</v>
      </c>
      <c r="E390" s="1">
        <v>0.33900000000000002</v>
      </c>
      <c r="F390" s="1">
        <v>146</v>
      </c>
      <c r="G390" s="1">
        <v>48</v>
      </c>
      <c r="H390" s="1">
        <v>64</v>
      </c>
      <c r="I390" s="1">
        <v>81</v>
      </c>
      <c r="J390" s="1">
        <v>50</v>
      </c>
      <c r="K390" s="1">
        <v>91</v>
      </c>
      <c r="L390" s="1">
        <v>60</v>
      </c>
      <c r="M390" s="1">
        <v>49</v>
      </c>
      <c r="N390" s="1">
        <v>67</v>
      </c>
      <c r="O390" s="1">
        <v>91</v>
      </c>
      <c r="P390" s="1">
        <v>28</v>
      </c>
      <c r="Q390" s="1">
        <v>27</v>
      </c>
    </row>
    <row r="391" spans="1:17" ht="15.75" customHeight="1">
      <c r="A391" s="1">
        <v>2017</v>
      </c>
      <c r="B391" s="1">
        <v>84</v>
      </c>
      <c r="C391" s="1" t="s">
        <v>85</v>
      </c>
      <c r="D391" s="1">
        <v>5.2949999999999999</v>
      </c>
      <c r="E391" s="1" t="s">
        <v>368</v>
      </c>
      <c r="F391" s="1">
        <v>54</v>
      </c>
      <c r="G391" s="1">
        <v>85</v>
      </c>
      <c r="H391" s="1">
        <v>73</v>
      </c>
      <c r="I391" s="1">
        <v>59</v>
      </c>
      <c r="J391" s="1">
        <v>145</v>
      </c>
      <c r="K391" s="1">
        <v>121</v>
      </c>
      <c r="L391" s="1">
        <v>40</v>
      </c>
      <c r="M391" s="1">
        <v>115</v>
      </c>
      <c r="N391" s="1">
        <v>77</v>
      </c>
      <c r="O391" s="1">
        <v>121</v>
      </c>
      <c r="P391" s="1">
        <v>85</v>
      </c>
      <c r="Q391" s="1">
        <v>59</v>
      </c>
    </row>
    <row r="392" spans="1:17" ht="15.75" customHeight="1">
      <c r="A392" s="1">
        <v>2017</v>
      </c>
      <c r="B392" s="1">
        <v>85</v>
      </c>
      <c r="C392" s="1" t="s">
        <v>150</v>
      </c>
      <c r="D392" s="1">
        <v>5.2539999999999996</v>
      </c>
      <c r="E392" s="1">
        <v>0.36899999999999999</v>
      </c>
      <c r="F392" s="1">
        <v>83</v>
      </c>
      <c r="G392" s="1">
        <v>132</v>
      </c>
      <c r="H392" s="1">
        <v>99</v>
      </c>
      <c r="I392" s="1">
        <v>86</v>
      </c>
      <c r="J392" s="1">
        <v>71</v>
      </c>
      <c r="K392" s="1">
        <v>145</v>
      </c>
      <c r="L392" s="1">
        <v>93</v>
      </c>
      <c r="M392" s="1">
        <v>131</v>
      </c>
      <c r="N392" s="1">
        <v>103</v>
      </c>
      <c r="O392" s="1">
        <v>145</v>
      </c>
      <c r="P392" s="1">
        <v>125</v>
      </c>
      <c r="Q392" s="1">
        <v>23</v>
      </c>
    </row>
    <row r="393" spans="1:17" ht="15.75" customHeight="1">
      <c r="A393" s="1">
        <v>2017</v>
      </c>
      <c r="B393" s="1">
        <v>86</v>
      </c>
      <c r="C393" s="1" t="s">
        <v>142</v>
      </c>
      <c r="D393" s="1">
        <v>5.2460000000000004</v>
      </c>
      <c r="E393" s="1">
        <v>0.26800000000000002</v>
      </c>
      <c r="F393" s="1">
        <v>80</v>
      </c>
      <c r="G393" s="1">
        <v>98</v>
      </c>
      <c r="H393" s="1">
        <v>68</v>
      </c>
      <c r="I393" s="1">
        <v>34</v>
      </c>
      <c r="J393" s="1">
        <v>40</v>
      </c>
      <c r="K393" s="1">
        <v>115</v>
      </c>
      <c r="L393" s="1">
        <v>67</v>
      </c>
      <c r="M393" s="1">
        <v>35</v>
      </c>
      <c r="N393" s="1">
        <v>115</v>
      </c>
      <c r="O393" s="1">
        <v>134</v>
      </c>
      <c r="P393" s="1">
        <v>137</v>
      </c>
      <c r="Q393" s="1"/>
    </row>
    <row r="394" spans="1:17" ht="15.75" customHeight="1">
      <c r="A394" s="1">
        <v>2017</v>
      </c>
      <c r="B394" s="1">
        <v>87</v>
      </c>
      <c r="C394" s="1" t="s">
        <v>140</v>
      </c>
      <c r="D394" s="1">
        <v>5.2009999999999996</v>
      </c>
      <c r="E394" s="1">
        <v>0.59699999999999998</v>
      </c>
      <c r="F394" s="1">
        <v>24</v>
      </c>
      <c r="G394" s="1">
        <v>92</v>
      </c>
      <c r="H394" s="1">
        <v>61</v>
      </c>
      <c r="I394" s="1">
        <v>63</v>
      </c>
      <c r="J394" s="1">
        <v>101</v>
      </c>
      <c r="K394" s="1">
        <v>135</v>
      </c>
      <c r="L394" s="1">
        <v>29</v>
      </c>
      <c r="M394" s="1">
        <v>129</v>
      </c>
      <c r="N394" s="1">
        <v>22</v>
      </c>
      <c r="O394" s="1">
        <v>135</v>
      </c>
      <c r="P394" s="1">
        <v>115</v>
      </c>
      <c r="Q394" s="1">
        <v>131</v>
      </c>
    </row>
    <row r="395" spans="1:17" ht="15.75" customHeight="1">
      <c r="A395" s="1">
        <v>2017</v>
      </c>
      <c r="B395" s="1">
        <v>88</v>
      </c>
      <c r="C395" s="1" t="s">
        <v>154</v>
      </c>
      <c r="D395" s="1">
        <v>5.1989999999999998</v>
      </c>
      <c r="E395" s="1">
        <v>0.26800000000000002</v>
      </c>
      <c r="F395" s="1">
        <v>48</v>
      </c>
      <c r="G395" s="1">
        <v>96</v>
      </c>
      <c r="H395" s="1">
        <v>71</v>
      </c>
      <c r="I395" s="1">
        <v>46</v>
      </c>
      <c r="J395" s="1">
        <v>132</v>
      </c>
      <c r="K395" s="1">
        <v>75</v>
      </c>
      <c r="L395" s="1">
        <v>128</v>
      </c>
      <c r="M395" s="1">
        <v>138</v>
      </c>
      <c r="N395" s="1">
        <v>54</v>
      </c>
      <c r="O395" s="1">
        <v>75</v>
      </c>
      <c r="P395" s="1">
        <v>118</v>
      </c>
      <c r="Q395" s="1">
        <v>86</v>
      </c>
    </row>
    <row r="396" spans="1:17" ht="15.75" customHeight="1">
      <c r="A396" s="1">
        <v>2017</v>
      </c>
      <c r="B396" s="1">
        <v>89</v>
      </c>
      <c r="C396" s="1" t="s">
        <v>156</v>
      </c>
      <c r="D396" s="1">
        <v>5.1849999999999996</v>
      </c>
      <c r="E396" s="1">
        <v>0.61099999999999999</v>
      </c>
      <c r="F396" s="1">
        <v>58</v>
      </c>
      <c r="G396" s="1">
        <v>86</v>
      </c>
      <c r="H396" s="1">
        <v>59</v>
      </c>
      <c r="I396" s="1">
        <v>53</v>
      </c>
      <c r="J396" s="1">
        <v>94</v>
      </c>
      <c r="K396" s="1">
        <v>70</v>
      </c>
      <c r="L396" s="1">
        <v>105</v>
      </c>
      <c r="M396" s="1">
        <v>141</v>
      </c>
      <c r="N396" s="1">
        <v>85</v>
      </c>
      <c r="O396" s="1">
        <v>70</v>
      </c>
      <c r="P396" s="1">
        <v>144</v>
      </c>
      <c r="Q396" s="1">
        <v>140</v>
      </c>
    </row>
    <row r="397" spans="1:17" ht="15.75" customHeight="1">
      <c r="A397" s="1">
        <v>2017</v>
      </c>
      <c r="B397" s="1">
        <v>90</v>
      </c>
      <c r="C397" s="1" t="s">
        <v>138</v>
      </c>
      <c r="D397" s="1">
        <v>5.1609999999999996</v>
      </c>
      <c r="E397" s="1" t="s">
        <v>369</v>
      </c>
      <c r="F397" s="1">
        <v>109</v>
      </c>
      <c r="G397" s="1">
        <v>81</v>
      </c>
      <c r="H397" s="1">
        <v>97</v>
      </c>
      <c r="I397" s="1">
        <v>37</v>
      </c>
      <c r="J397" s="1">
        <v>86</v>
      </c>
      <c r="K397" s="1">
        <v>118</v>
      </c>
      <c r="L397" s="1">
        <v>116</v>
      </c>
      <c r="M397" s="1">
        <v>126</v>
      </c>
      <c r="N397" s="1">
        <v>118</v>
      </c>
      <c r="O397" s="1">
        <v>126</v>
      </c>
      <c r="P397" s="1">
        <v>15</v>
      </c>
      <c r="Q397" s="1"/>
    </row>
    <row r="398" spans="1:17" ht="15.75" customHeight="1">
      <c r="A398" s="1">
        <v>2017</v>
      </c>
      <c r="B398" s="1">
        <v>91</v>
      </c>
      <c r="C398" s="1" t="s">
        <v>165</v>
      </c>
      <c r="D398" s="1">
        <v>5.1550000000000002</v>
      </c>
      <c r="E398" s="1" t="s">
        <v>366</v>
      </c>
      <c r="F398" s="1">
        <v>141</v>
      </c>
      <c r="G398" s="1">
        <v>110</v>
      </c>
      <c r="H398" s="1">
        <v>112</v>
      </c>
      <c r="I398" s="1">
        <v>126</v>
      </c>
      <c r="J398" s="1">
        <v>66</v>
      </c>
      <c r="K398" s="1">
        <v>42</v>
      </c>
      <c r="L398" s="1">
        <v>90</v>
      </c>
      <c r="M398" s="1">
        <v>65</v>
      </c>
      <c r="N398" s="1">
        <v>50</v>
      </c>
      <c r="O398" s="1">
        <v>42</v>
      </c>
      <c r="P398" s="1">
        <v>13</v>
      </c>
      <c r="Q398" s="1">
        <v>12</v>
      </c>
    </row>
    <row r="399" spans="1:17" ht="15.75" customHeight="1">
      <c r="A399" s="1">
        <v>2017</v>
      </c>
      <c r="B399" s="1">
        <v>92</v>
      </c>
      <c r="C399" s="1" t="s">
        <v>144</v>
      </c>
      <c r="D399" s="1">
        <v>5.1310000000000002</v>
      </c>
      <c r="E399" s="1">
        <v>8.8999999999999996E-2</v>
      </c>
      <c r="F399" s="1">
        <v>46</v>
      </c>
      <c r="G399" s="1">
        <v>52</v>
      </c>
      <c r="H399" s="1">
        <v>111</v>
      </c>
      <c r="I399" s="1">
        <v>75</v>
      </c>
      <c r="J399" s="1">
        <v>46</v>
      </c>
      <c r="K399" s="1">
        <v>38</v>
      </c>
      <c r="L399" s="1">
        <v>117</v>
      </c>
      <c r="M399" s="1">
        <v>84</v>
      </c>
      <c r="N399" s="1">
        <v>4</v>
      </c>
      <c r="O399" s="1">
        <v>38</v>
      </c>
      <c r="P399" s="1">
        <v>81</v>
      </c>
      <c r="Q399" s="1">
        <v>68</v>
      </c>
    </row>
    <row r="400" spans="1:17" ht="15.75" customHeight="1">
      <c r="A400" s="1">
        <v>2017</v>
      </c>
      <c r="B400" s="1">
        <v>93</v>
      </c>
      <c r="C400" s="1" t="s">
        <v>146</v>
      </c>
      <c r="D400" s="1">
        <v>5.1289999999999996</v>
      </c>
      <c r="E400" s="1">
        <v>0.316</v>
      </c>
      <c r="F400" s="1">
        <v>82</v>
      </c>
      <c r="G400" s="1">
        <v>97</v>
      </c>
      <c r="H400" s="1">
        <v>72</v>
      </c>
      <c r="I400" s="1">
        <v>47</v>
      </c>
      <c r="J400" s="1">
        <v>137</v>
      </c>
      <c r="K400" s="1">
        <v>34</v>
      </c>
      <c r="L400" s="1">
        <v>132</v>
      </c>
      <c r="M400" s="1">
        <v>126</v>
      </c>
      <c r="N400" s="1">
        <v>65</v>
      </c>
      <c r="O400" s="1">
        <v>34</v>
      </c>
      <c r="P400" s="1">
        <v>138</v>
      </c>
      <c r="Q400" s="1">
        <v>125</v>
      </c>
    </row>
    <row r="401" spans="1:17" ht="15.75" customHeight="1">
      <c r="A401" s="1">
        <v>2017</v>
      </c>
      <c r="B401" s="3">
        <v>94</v>
      </c>
      <c r="C401" s="8" t="s">
        <v>370</v>
      </c>
      <c r="D401" s="5">
        <v>5.125</v>
      </c>
      <c r="E401" s="6">
        <v>0.29099999999999998</v>
      </c>
      <c r="F401" s="6">
        <v>57</v>
      </c>
      <c r="G401" s="6">
        <v>19</v>
      </c>
      <c r="H401" s="6">
        <v>81</v>
      </c>
      <c r="I401" s="10">
        <v>95</v>
      </c>
      <c r="J401" s="6">
        <v>118</v>
      </c>
      <c r="K401" s="6">
        <v>31</v>
      </c>
      <c r="L401" s="6">
        <v>110</v>
      </c>
      <c r="M401" s="6">
        <v>118</v>
      </c>
      <c r="N401" s="6">
        <v>34</v>
      </c>
      <c r="O401" s="6">
        <v>31</v>
      </c>
      <c r="P401" s="6">
        <v>16</v>
      </c>
      <c r="Q401" s="6">
        <v>113</v>
      </c>
    </row>
    <row r="402" spans="1:17" ht="15.75" customHeight="1">
      <c r="A402" s="1">
        <v>2017</v>
      </c>
      <c r="B402" s="3">
        <v>95</v>
      </c>
      <c r="C402" s="8" t="s">
        <v>371</v>
      </c>
      <c r="D402" s="5">
        <v>5.1029999999999998</v>
      </c>
      <c r="E402" s="9" t="s">
        <v>331</v>
      </c>
      <c r="F402" s="6">
        <v>28</v>
      </c>
      <c r="G402" s="7"/>
      <c r="H402" s="6">
        <v>93</v>
      </c>
      <c r="I402" s="7">
        <v>69</v>
      </c>
      <c r="J402" s="7"/>
      <c r="K402" s="7"/>
      <c r="L402" s="7"/>
      <c r="M402" s="7"/>
      <c r="N402" s="7"/>
      <c r="O402" s="7"/>
      <c r="P402" s="7"/>
      <c r="Q402" s="7"/>
    </row>
    <row r="403" spans="1:17" ht="15.75" customHeight="1">
      <c r="A403" s="1">
        <v>2017</v>
      </c>
      <c r="B403" s="1">
        <v>96</v>
      </c>
      <c r="C403" s="1" t="s">
        <v>137</v>
      </c>
      <c r="D403" s="1">
        <v>5.093</v>
      </c>
      <c r="E403" s="1" t="s">
        <v>372</v>
      </c>
      <c r="F403" s="1">
        <v>86</v>
      </c>
      <c r="G403" s="1">
        <v>88</v>
      </c>
      <c r="H403" s="1">
        <v>89</v>
      </c>
      <c r="I403" s="1">
        <v>90</v>
      </c>
      <c r="J403" s="1">
        <v>42</v>
      </c>
      <c r="K403" s="1">
        <v>2</v>
      </c>
      <c r="L403" s="1">
        <v>127</v>
      </c>
      <c r="M403" s="1">
        <v>13</v>
      </c>
      <c r="N403" s="1">
        <v>101</v>
      </c>
      <c r="O403" s="1">
        <v>2</v>
      </c>
      <c r="P403" s="1">
        <v>1</v>
      </c>
      <c r="Q403" s="1">
        <v>99</v>
      </c>
    </row>
    <row r="404" spans="1:17" ht="15.75" customHeight="1">
      <c r="A404" s="1">
        <v>2017</v>
      </c>
      <c r="B404" s="1">
        <v>97</v>
      </c>
      <c r="C404" s="1" t="s">
        <v>143</v>
      </c>
      <c r="D404" s="1">
        <v>5.0819999999999999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 ht="15.75" customHeight="1">
      <c r="A405" s="1">
        <v>2017</v>
      </c>
      <c r="B405" s="1">
        <v>98</v>
      </c>
      <c r="C405" s="1" t="s">
        <v>134</v>
      </c>
      <c r="D405" s="1">
        <v>4.9820000000000002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 ht="15.75" customHeight="1">
      <c r="A406" s="1">
        <v>2017</v>
      </c>
      <c r="B406" s="1">
        <v>99</v>
      </c>
      <c r="C406" s="1" t="s">
        <v>182</v>
      </c>
      <c r="D406" s="1">
        <v>4.9749999999999996</v>
      </c>
      <c r="E406" s="1">
        <v>0.55500000000000005</v>
      </c>
      <c r="F406" s="1">
        <v>134</v>
      </c>
      <c r="G406" s="1">
        <v>120</v>
      </c>
      <c r="H406" s="1">
        <v>117</v>
      </c>
      <c r="I406" s="1">
        <v>130</v>
      </c>
      <c r="J406" s="1">
        <v>85</v>
      </c>
      <c r="K406" s="1">
        <v>99</v>
      </c>
      <c r="L406" s="1">
        <v>96</v>
      </c>
      <c r="M406" s="1">
        <v>86</v>
      </c>
      <c r="N406" s="1">
        <v>121</v>
      </c>
      <c r="O406" s="1">
        <v>99</v>
      </c>
      <c r="P406" s="1">
        <v>90</v>
      </c>
      <c r="Q406" s="1">
        <v>17</v>
      </c>
    </row>
    <row r="407" spans="1:17" ht="15.75" customHeight="1">
      <c r="A407" s="1">
        <v>2017</v>
      </c>
      <c r="B407" s="1">
        <v>100</v>
      </c>
      <c r="C407" s="1" t="s">
        <v>205</v>
      </c>
      <c r="D407" s="1">
        <v>4.9329999999999998</v>
      </c>
      <c r="E407" s="1">
        <v>0.95199999999999996</v>
      </c>
      <c r="F407" s="1">
        <v>39</v>
      </c>
      <c r="G407" s="1">
        <v>10</v>
      </c>
      <c r="H407" s="1">
        <v>53</v>
      </c>
      <c r="I407" s="1">
        <v>68</v>
      </c>
      <c r="J407" s="1">
        <v>114</v>
      </c>
      <c r="K407" s="1">
        <v>98</v>
      </c>
      <c r="L407" s="1">
        <v>129</v>
      </c>
      <c r="M407" s="1">
        <v>121</v>
      </c>
      <c r="N407" s="1">
        <v>17</v>
      </c>
      <c r="O407" s="1">
        <v>98</v>
      </c>
      <c r="P407" s="1">
        <v>145</v>
      </c>
      <c r="Q407" s="1">
        <v>111</v>
      </c>
    </row>
    <row r="408" spans="1:17" ht="15.75" customHeight="1">
      <c r="A408" s="1">
        <v>2017</v>
      </c>
      <c r="B408" s="1">
        <v>101</v>
      </c>
      <c r="C408" s="1" t="s">
        <v>172</v>
      </c>
      <c r="D408" s="1">
        <v>4.88</v>
      </c>
      <c r="E408" s="1">
        <v>0.72399999999999998</v>
      </c>
      <c r="F408" s="1">
        <v>100</v>
      </c>
      <c r="G408" s="1">
        <v>80</v>
      </c>
      <c r="H408" s="1">
        <v>118</v>
      </c>
      <c r="I408" s="1">
        <v>99</v>
      </c>
      <c r="J408" s="1">
        <v>54</v>
      </c>
      <c r="K408" s="1">
        <v>48</v>
      </c>
      <c r="L408" s="1">
        <v>64</v>
      </c>
      <c r="M408" s="1">
        <v>139</v>
      </c>
      <c r="N408" s="1">
        <v>119</v>
      </c>
      <c r="O408" s="1">
        <v>48</v>
      </c>
      <c r="P408" s="1">
        <v>42</v>
      </c>
      <c r="Q408" s="1">
        <v>81</v>
      </c>
    </row>
    <row r="409" spans="1:17" ht="15.75" customHeight="1">
      <c r="A409" s="1">
        <v>2017</v>
      </c>
      <c r="B409" s="1">
        <v>102</v>
      </c>
      <c r="C409" s="1" t="s">
        <v>93</v>
      </c>
      <c r="D409" s="1">
        <v>4.806</v>
      </c>
      <c r="E409" s="1" t="s">
        <v>373</v>
      </c>
      <c r="F409" s="1">
        <v>140</v>
      </c>
      <c r="G409" s="1">
        <v>46</v>
      </c>
      <c r="H409" s="1">
        <v>146</v>
      </c>
      <c r="I409" s="1">
        <v>83</v>
      </c>
      <c r="J409" s="1">
        <v>123</v>
      </c>
      <c r="K409" s="1">
        <v>129</v>
      </c>
      <c r="L409" s="1">
        <v>97</v>
      </c>
      <c r="M409" s="1">
        <v>62</v>
      </c>
      <c r="N409" s="1">
        <v>116</v>
      </c>
      <c r="O409" s="1">
        <v>129</v>
      </c>
      <c r="P409" s="1">
        <v>101</v>
      </c>
      <c r="Q409" s="1">
        <v>72</v>
      </c>
    </row>
    <row r="410" spans="1:17" ht="15.75" customHeight="1">
      <c r="A410" s="1">
        <v>2017</v>
      </c>
      <c r="B410" s="1">
        <v>103</v>
      </c>
      <c r="C410" s="1" t="s">
        <v>306</v>
      </c>
      <c r="D410" s="1">
        <v>4.758</v>
      </c>
      <c r="E410" s="1">
        <v>0.64400000000000002</v>
      </c>
      <c r="F410" s="1">
        <v>99</v>
      </c>
      <c r="G410" s="1">
        <v>83</v>
      </c>
      <c r="H410" s="1">
        <v>62</v>
      </c>
      <c r="I410" s="1">
        <v>115</v>
      </c>
      <c r="J410" s="1">
        <v>120</v>
      </c>
      <c r="K410" s="1">
        <v>134</v>
      </c>
      <c r="L410" s="1">
        <v>114</v>
      </c>
      <c r="M410" s="1">
        <v>85</v>
      </c>
      <c r="N410" s="1">
        <v>140</v>
      </c>
      <c r="O410" s="1">
        <v>134</v>
      </c>
      <c r="P410" s="1">
        <v>123</v>
      </c>
      <c r="Q410" s="1">
        <v>53</v>
      </c>
    </row>
    <row r="411" spans="1:17" ht="15.75" customHeight="1">
      <c r="A411" s="1">
        <v>2017</v>
      </c>
      <c r="B411" s="1">
        <v>104</v>
      </c>
      <c r="C411" s="1" t="s">
        <v>173</v>
      </c>
      <c r="D411" s="1">
        <v>4.7430000000000003</v>
      </c>
      <c r="E411" s="1">
        <v>4.2999999999999997E-2</v>
      </c>
      <c r="F411" s="1">
        <v>108</v>
      </c>
      <c r="G411" s="1">
        <v>76</v>
      </c>
      <c r="H411" s="1">
        <v>105</v>
      </c>
      <c r="I411" s="1"/>
      <c r="J411" s="1">
        <v>125</v>
      </c>
      <c r="K411" s="1">
        <v>140</v>
      </c>
      <c r="L411" s="1">
        <v>88</v>
      </c>
      <c r="M411" s="1">
        <v>124</v>
      </c>
      <c r="N411" s="1">
        <v>140</v>
      </c>
      <c r="O411" s="1">
        <v>131</v>
      </c>
      <c r="P411" s="1">
        <v>126</v>
      </c>
      <c r="Q411" s="1"/>
    </row>
    <row r="412" spans="1:17" ht="15.75" customHeight="1">
      <c r="A412" s="1">
        <v>2017</v>
      </c>
      <c r="B412" s="1">
        <v>105</v>
      </c>
      <c r="C412" s="1" t="s">
        <v>185</v>
      </c>
      <c r="D412" s="1">
        <v>4.7240000000000002</v>
      </c>
      <c r="E412" s="1" t="s">
        <v>374</v>
      </c>
      <c r="F412" s="1">
        <v>96</v>
      </c>
      <c r="G412" s="1">
        <v>61</v>
      </c>
      <c r="H412" s="1">
        <v>78</v>
      </c>
      <c r="I412" s="1">
        <v>117</v>
      </c>
      <c r="J412" s="1">
        <v>79</v>
      </c>
      <c r="K412" s="1">
        <v>101</v>
      </c>
      <c r="L412" s="1">
        <v>109</v>
      </c>
      <c r="M412" s="1">
        <v>50</v>
      </c>
      <c r="N412" s="1">
        <v>61</v>
      </c>
      <c r="O412" s="1">
        <v>101</v>
      </c>
      <c r="P412" s="1">
        <v>21</v>
      </c>
      <c r="Q412" s="1">
        <v>11</v>
      </c>
    </row>
    <row r="413" spans="1:17" ht="15.75" customHeight="1">
      <c r="A413" s="1">
        <v>2017</v>
      </c>
      <c r="B413" s="1">
        <v>106</v>
      </c>
      <c r="C413" s="1" t="s">
        <v>169</v>
      </c>
      <c r="D413" s="1">
        <v>4.7069999999999999</v>
      </c>
      <c r="E413" s="1">
        <v>6.4000000000000001E-2</v>
      </c>
      <c r="F413" s="1">
        <v>104</v>
      </c>
      <c r="G413" s="1">
        <v>113</v>
      </c>
      <c r="H413" s="1">
        <v>76</v>
      </c>
      <c r="I413" s="1">
        <v>55</v>
      </c>
      <c r="J413" s="1">
        <v>103</v>
      </c>
      <c r="K413" s="1">
        <v>24</v>
      </c>
      <c r="L413" s="1">
        <v>43</v>
      </c>
      <c r="M413" s="1">
        <v>102</v>
      </c>
      <c r="N413" s="1">
        <v>139</v>
      </c>
      <c r="O413" s="1">
        <v>24</v>
      </c>
      <c r="P413" s="1">
        <v>70</v>
      </c>
      <c r="Q413" s="1">
        <v>32</v>
      </c>
    </row>
    <row r="414" spans="1:17" ht="15.75" customHeight="1">
      <c r="A414" s="1">
        <v>2017</v>
      </c>
      <c r="B414" s="1">
        <v>107</v>
      </c>
      <c r="C414" s="1" t="s">
        <v>220</v>
      </c>
      <c r="D414" s="1">
        <v>4.6710000000000003</v>
      </c>
      <c r="E414" s="1">
        <v>117</v>
      </c>
      <c r="F414" s="1">
        <v>127</v>
      </c>
      <c r="G414" s="1">
        <v>114</v>
      </c>
      <c r="H414" s="1">
        <v>100</v>
      </c>
      <c r="I414" s="1"/>
      <c r="J414" s="1">
        <v>122</v>
      </c>
      <c r="K414" s="1">
        <v>65</v>
      </c>
      <c r="L414" s="1">
        <v>75</v>
      </c>
      <c r="M414" s="1">
        <v>114</v>
      </c>
      <c r="N414" s="1">
        <v>122</v>
      </c>
      <c r="O414" s="1">
        <v>136</v>
      </c>
      <c r="P414" s="1">
        <v>51</v>
      </c>
      <c r="Q414" s="1"/>
    </row>
    <row r="415" spans="1:17" ht="15.75" customHeight="1">
      <c r="A415" s="1">
        <v>2017</v>
      </c>
      <c r="B415" s="1">
        <v>108</v>
      </c>
      <c r="C415" s="1" t="s">
        <v>197</v>
      </c>
      <c r="D415" s="1">
        <v>4.657</v>
      </c>
      <c r="E415" s="1" t="s">
        <v>375</v>
      </c>
      <c r="F415" s="1">
        <v>113</v>
      </c>
      <c r="G415" s="1">
        <v>125</v>
      </c>
      <c r="H415" s="1">
        <v>109</v>
      </c>
      <c r="I415" s="1">
        <v>112</v>
      </c>
      <c r="J415" s="1">
        <v>80</v>
      </c>
      <c r="K415" s="1">
        <v>54</v>
      </c>
      <c r="L415" s="1">
        <v>92</v>
      </c>
      <c r="M415" s="1">
        <v>43</v>
      </c>
      <c r="N415" s="1">
        <v>55</v>
      </c>
      <c r="O415" s="1">
        <v>54</v>
      </c>
      <c r="P415" s="1">
        <v>17</v>
      </c>
      <c r="Q415" s="1">
        <v>30</v>
      </c>
    </row>
    <row r="416" spans="1:17" ht="15.75" customHeight="1">
      <c r="A416" s="1">
        <v>2017</v>
      </c>
      <c r="B416" s="1">
        <v>109</v>
      </c>
      <c r="C416" s="1" t="s">
        <v>204</v>
      </c>
      <c r="D416" s="1">
        <v>4.6310000000000002</v>
      </c>
      <c r="E416" s="1">
        <v>0.67200000000000004</v>
      </c>
      <c r="F416" s="1">
        <v>52</v>
      </c>
      <c r="G416" s="1">
        <v>105</v>
      </c>
      <c r="H416" s="1">
        <v>119</v>
      </c>
      <c r="I416" s="1">
        <v>105</v>
      </c>
      <c r="J416" s="1">
        <v>115</v>
      </c>
      <c r="K416" s="1">
        <v>105</v>
      </c>
      <c r="L416" s="1">
        <v>86</v>
      </c>
      <c r="M416" s="1">
        <v>29</v>
      </c>
      <c r="N416" s="1">
        <v>79</v>
      </c>
      <c r="O416" s="1">
        <v>105</v>
      </c>
      <c r="P416" s="1">
        <v>104</v>
      </c>
      <c r="Q416" s="1">
        <v>56</v>
      </c>
    </row>
    <row r="417" spans="1:17" ht="15.75" customHeight="1">
      <c r="A417" s="1">
        <v>2017</v>
      </c>
      <c r="B417" s="1">
        <v>110</v>
      </c>
      <c r="C417" s="1" t="s">
        <v>164</v>
      </c>
      <c r="D417" s="1">
        <v>4.6230000000000002</v>
      </c>
      <c r="E417" s="1" t="s">
        <v>376</v>
      </c>
      <c r="F417" s="1">
        <v>43</v>
      </c>
      <c r="G417" s="1">
        <v>115</v>
      </c>
      <c r="H417" s="1">
        <v>101</v>
      </c>
      <c r="I417" s="1">
        <v>103</v>
      </c>
      <c r="J417" s="1">
        <v>33</v>
      </c>
      <c r="K417" s="1">
        <v>47</v>
      </c>
      <c r="L417" s="1">
        <v>22</v>
      </c>
      <c r="M417" s="1">
        <v>48</v>
      </c>
      <c r="N417" s="1">
        <v>109</v>
      </c>
      <c r="O417" s="1">
        <v>47</v>
      </c>
      <c r="P417" s="1">
        <v>146</v>
      </c>
      <c r="Q417" s="1">
        <v>145</v>
      </c>
    </row>
    <row r="418" spans="1:17" ht="15.75" customHeight="1">
      <c r="A418" s="1">
        <v>2017</v>
      </c>
      <c r="B418" s="1">
        <v>111</v>
      </c>
      <c r="C418" s="1" t="s">
        <v>159</v>
      </c>
      <c r="D418" s="1">
        <v>4.5919999999999996</v>
      </c>
      <c r="E418" s="1" t="s">
        <v>377</v>
      </c>
      <c r="F418" s="1">
        <v>71</v>
      </c>
      <c r="G418" s="1">
        <v>111</v>
      </c>
      <c r="H418" s="1">
        <v>88</v>
      </c>
      <c r="I418" s="1">
        <v>54</v>
      </c>
      <c r="J418" s="1">
        <v>142</v>
      </c>
      <c r="K418" s="1">
        <v>141</v>
      </c>
      <c r="L418" s="1">
        <v>115</v>
      </c>
      <c r="M418" s="1">
        <v>146</v>
      </c>
      <c r="N418" s="1">
        <v>120</v>
      </c>
      <c r="O418" s="1">
        <v>141</v>
      </c>
      <c r="P418" s="1">
        <v>133</v>
      </c>
      <c r="Q418" s="1">
        <v>105</v>
      </c>
    </row>
    <row r="419" spans="1:17" ht="15.75" customHeight="1">
      <c r="A419" s="1">
        <v>2017</v>
      </c>
      <c r="B419" s="1">
        <v>112</v>
      </c>
      <c r="C419" s="1" t="s">
        <v>174</v>
      </c>
      <c r="D419" s="1">
        <v>4.5860000000000003</v>
      </c>
      <c r="E419" s="1" t="s">
        <v>378</v>
      </c>
      <c r="F419" s="1">
        <v>125</v>
      </c>
      <c r="G419" s="1">
        <v>134</v>
      </c>
      <c r="H419" s="1">
        <v>85</v>
      </c>
      <c r="I419" s="1">
        <v>33</v>
      </c>
      <c r="J419" s="1">
        <v>95</v>
      </c>
      <c r="K419" s="1">
        <v>64</v>
      </c>
      <c r="L419" s="1">
        <v>119</v>
      </c>
      <c r="M419" s="1">
        <v>119</v>
      </c>
      <c r="N419" s="1">
        <v>107</v>
      </c>
      <c r="O419" s="1">
        <v>64</v>
      </c>
      <c r="P419" s="1">
        <v>135</v>
      </c>
      <c r="Q419" s="1">
        <v>110</v>
      </c>
    </row>
    <row r="420" spans="1:17" ht="15.75" customHeight="1">
      <c r="A420" s="1">
        <v>2017</v>
      </c>
      <c r="B420" s="3">
        <v>113</v>
      </c>
      <c r="C420" s="8" t="s">
        <v>379</v>
      </c>
      <c r="D420" s="5">
        <v>4.5709999999999997</v>
      </c>
      <c r="E420" s="6">
        <v>0.253</v>
      </c>
      <c r="F420" s="6">
        <v>115</v>
      </c>
      <c r="G420" s="6">
        <v>130</v>
      </c>
      <c r="H420" s="6">
        <v>129</v>
      </c>
      <c r="I420" s="7">
        <v>135</v>
      </c>
      <c r="J420" s="6">
        <v>111</v>
      </c>
      <c r="K420" s="6">
        <v>79</v>
      </c>
      <c r="L420" s="6">
        <v>100</v>
      </c>
      <c r="M420" s="6">
        <v>97</v>
      </c>
      <c r="N420" s="6">
        <v>142</v>
      </c>
      <c r="O420" s="6">
        <v>79</v>
      </c>
      <c r="P420" s="6">
        <v>14</v>
      </c>
      <c r="Q420" s="6">
        <v>5</v>
      </c>
    </row>
    <row r="421" spans="1:17" ht="15.75" customHeight="1">
      <c r="A421" s="1">
        <v>2017</v>
      </c>
      <c r="B421" s="3">
        <v>114</v>
      </c>
      <c r="C421" s="8" t="s">
        <v>380</v>
      </c>
      <c r="D421" s="5">
        <v>4.5590000000000002</v>
      </c>
      <c r="E421" s="6">
        <v>0.26200000000000001</v>
      </c>
      <c r="F421" s="6">
        <v>139</v>
      </c>
      <c r="G421" s="6">
        <v>129</v>
      </c>
      <c r="H421" s="6">
        <v>102</v>
      </c>
      <c r="I421" s="10">
        <v>122</v>
      </c>
      <c r="J421" s="6">
        <v>82</v>
      </c>
      <c r="K421" s="6">
        <v>137</v>
      </c>
      <c r="L421" s="6">
        <v>62</v>
      </c>
      <c r="M421" s="6">
        <v>109</v>
      </c>
      <c r="N421" s="6">
        <v>123</v>
      </c>
      <c r="O421" s="6">
        <v>137</v>
      </c>
      <c r="P421" s="6">
        <v>108</v>
      </c>
      <c r="Q421" s="6">
        <v>76</v>
      </c>
    </row>
    <row r="422" spans="1:17" ht="15.75" customHeight="1">
      <c r="A422" s="1">
        <v>2017</v>
      </c>
      <c r="B422" s="1">
        <v>115</v>
      </c>
      <c r="C422" s="1" t="s">
        <v>176</v>
      </c>
      <c r="D422" s="1">
        <v>4.5</v>
      </c>
      <c r="E422" s="1" t="s">
        <v>381</v>
      </c>
      <c r="F422" s="1">
        <v>40</v>
      </c>
      <c r="G422" s="1">
        <v>114</v>
      </c>
      <c r="H422" s="1">
        <v>108</v>
      </c>
      <c r="I422" s="1">
        <v>84</v>
      </c>
      <c r="J422" s="1">
        <v>31</v>
      </c>
      <c r="K422" s="1">
        <v>80</v>
      </c>
      <c r="L422" s="1">
        <v>26</v>
      </c>
      <c r="M422" s="1">
        <v>142</v>
      </c>
      <c r="N422" s="1">
        <v>33</v>
      </c>
      <c r="O422" s="1">
        <v>80</v>
      </c>
      <c r="P422" s="1">
        <v>111</v>
      </c>
      <c r="Q422" s="1">
        <v>44</v>
      </c>
    </row>
    <row r="423" spans="1:17" ht="15.75" customHeight="1">
      <c r="A423" s="1">
        <v>2017</v>
      </c>
      <c r="B423" s="1">
        <v>116</v>
      </c>
      <c r="C423" s="1" t="s">
        <v>187</v>
      </c>
      <c r="D423" s="1">
        <v>4.4710000000000001</v>
      </c>
      <c r="E423" s="1">
        <v>0.32</v>
      </c>
      <c r="F423" s="1">
        <v>73</v>
      </c>
      <c r="G423" s="1">
        <v>77</v>
      </c>
      <c r="H423" s="1">
        <v>79</v>
      </c>
      <c r="I423" s="1">
        <v>51</v>
      </c>
      <c r="J423" s="1">
        <v>64</v>
      </c>
      <c r="K423" s="1">
        <v>36</v>
      </c>
      <c r="L423" s="1">
        <v>98</v>
      </c>
      <c r="M423" s="1">
        <v>37</v>
      </c>
      <c r="N423" s="1">
        <v>64</v>
      </c>
      <c r="O423" s="1">
        <v>36</v>
      </c>
      <c r="P423" s="1">
        <v>4</v>
      </c>
      <c r="Q423" s="1">
        <v>64</v>
      </c>
    </row>
    <row r="424" spans="1:17" ht="15.75" customHeight="1">
      <c r="A424" s="1">
        <v>2017</v>
      </c>
      <c r="B424" s="1">
        <v>117</v>
      </c>
      <c r="C424" s="1" t="s">
        <v>179</v>
      </c>
      <c r="D424" s="1">
        <v>4.4560000000000004</v>
      </c>
      <c r="E424" s="1" t="s">
        <v>382</v>
      </c>
      <c r="F424" s="1">
        <v>138</v>
      </c>
      <c r="G424" s="1">
        <v>119</v>
      </c>
      <c r="H424" s="1">
        <v>80</v>
      </c>
      <c r="I424" s="1">
        <v>98</v>
      </c>
      <c r="J424" s="1">
        <v>126</v>
      </c>
      <c r="K424" s="1">
        <v>61</v>
      </c>
      <c r="L424" s="1">
        <v>59</v>
      </c>
      <c r="M424" s="1">
        <v>136</v>
      </c>
      <c r="N424" s="1">
        <v>145</v>
      </c>
      <c r="O424" s="1">
        <v>61</v>
      </c>
      <c r="P424" s="1">
        <v>73</v>
      </c>
      <c r="Q424" s="1">
        <v>2</v>
      </c>
    </row>
    <row r="425" spans="1:17" ht="15.75" customHeight="1">
      <c r="A425" s="1">
        <v>2017</v>
      </c>
      <c r="B425" s="1">
        <v>118</v>
      </c>
      <c r="C425" s="1" t="s">
        <v>311</v>
      </c>
      <c r="D425" s="1">
        <v>4.4470000000000001</v>
      </c>
      <c r="E425" s="1">
        <v>0.2</v>
      </c>
      <c r="F425" s="1">
        <v>107</v>
      </c>
      <c r="G425" s="1">
        <v>107</v>
      </c>
      <c r="H425" s="1">
        <v>133</v>
      </c>
      <c r="I425" s="1">
        <v>129</v>
      </c>
      <c r="J425" s="1">
        <v>92</v>
      </c>
      <c r="K425" s="1">
        <v>125</v>
      </c>
      <c r="L425" s="1">
        <v>107</v>
      </c>
      <c r="M425" s="1">
        <v>74</v>
      </c>
      <c r="N425" s="1">
        <v>127</v>
      </c>
      <c r="O425" s="1">
        <v>125</v>
      </c>
      <c r="P425" s="1">
        <v>66</v>
      </c>
      <c r="Q425" s="1">
        <v>63</v>
      </c>
    </row>
    <row r="426" spans="1:17" ht="15.75" customHeight="1">
      <c r="A426" s="1">
        <v>2017</v>
      </c>
      <c r="B426" s="1">
        <v>119</v>
      </c>
      <c r="C426" s="1" t="s">
        <v>181</v>
      </c>
      <c r="D426" s="1">
        <v>4.4409999999999998</v>
      </c>
      <c r="E426" s="1">
        <v>130</v>
      </c>
      <c r="F426" s="1">
        <v>74</v>
      </c>
      <c r="G426" s="1">
        <v>90</v>
      </c>
      <c r="H426" s="1">
        <v>76</v>
      </c>
      <c r="I426" s="1">
        <v>124</v>
      </c>
      <c r="J426" s="1">
        <v>133</v>
      </c>
      <c r="K426" s="1">
        <v>89</v>
      </c>
      <c r="L426" s="1">
        <v>61</v>
      </c>
      <c r="M426" s="1">
        <v>72</v>
      </c>
      <c r="N426" s="1">
        <v>133</v>
      </c>
      <c r="O426" s="1">
        <v>63</v>
      </c>
      <c r="P426" s="1">
        <v>26</v>
      </c>
      <c r="Q426" s="1"/>
    </row>
    <row r="427" spans="1:17" ht="15.75" customHeight="1">
      <c r="A427" s="1">
        <v>2017</v>
      </c>
      <c r="B427" s="1">
        <v>120</v>
      </c>
      <c r="C427" s="1" t="s">
        <v>221</v>
      </c>
      <c r="D427" s="1">
        <v>4.4329999999999998</v>
      </c>
      <c r="E427" s="1">
        <v>0.36599999999999999</v>
      </c>
      <c r="F427" s="1">
        <v>128</v>
      </c>
      <c r="G427" s="1">
        <v>102</v>
      </c>
      <c r="H427" s="1">
        <v>113</v>
      </c>
      <c r="I427" s="1">
        <v>101</v>
      </c>
      <c r="J427" s="1">
        <v>2</v>
      </c>
      <c r="K427" s="1">
        <v>56</v>
      </c>
      <c r="L427" s="1">
        <v>85</v>
      </c>
      <c r="M427" s="1">
        <v>72</v>
      </c>
      <c r="N427" s="1">
        <v>131</v>
      </c>
      <c r="O427" s="1">
        <v>56</v>
      </c>
      <c r="P427" s="1">
        <v>143</v>
      </c>
      <c r="Q427" s="1">
        <v>146</v>
      </c>
    </row>
    <row r="428" spans="1:17" ht="15.75" customHeight="1">
      <c r="A428" s="1">
        <v>2017</v>
      </c>
      <c r="B428" s="1">
        <v>121</v>
      </c>
      <c r="C428" s="1" t="s">
        <v>229</v>
      </c>
      <c r="D428" s="1">
        <v>4.4240000000000004</v>
      </c>
      <c r="E428" s="1">
        <v>0.16500000000000001</v>
      </c>
      <c r="F428" s="1">
        <v>67</v>
      </c>
      <c r="G428" s="1">
        <v>93</v>
      </c>
      <c r="H428" s="1">
        <v>135</v>
      </c>
      <c r="I428" s="1">
        <v>125</v>
      </c>
      <c r="J428" s="1">
        <v>130</v>
      </c>
      <c r="K428" s="1">
        <v>126</v>
      </c>
      <c r="L428" s="1">
        <v>47</v>
      </c>
      <c r="M428" s="1">
        <v>107</v>
      </c>
      <c r="N428" s="1">
        <v>113</v>
      </c>
      <c r="O428" s="1">
        <v>126</v>
      </c>
      <c r="P428" s="1">
        <v>71</v>
      </c>
      <c r="Q428" s="1">
        <v>49</v>
      </c>
    </row>
    <row r="429" spans="1:17" ht="15.75" customHeight="1">
      <c r="A429" s="1">
        <v>2017</v>
      </c>
      <c r="B429" s="1">
        <v>122</v>
      </c>
      <c r="C429" s="1" t="s">
        <v>191</v>
      </c>
      <c r="D429" s="1">
        <v>4.4189999999999996</v>
      </c>
      <c r="E429" s="1">
        <v>0.14599999999999999</v>
      </c>
      <c r="F429" s="1">
        <v>85</v>
      </c>
      <c r="G429" s="1">
        <v>133</v>
      </c>
      <c r="H429" s="1">
        <v>86</v>
      </c>
      <c r="I429" s="1">
        <v>92</v>
      </c>
      <c r="J429" s="1">
        <v>135</v>
      </c>
      <c r="K429" s="1">
        <v>112</v>
      </c>
      <c r="L429" s="1">
        <v>140</v>
      </c>
      <c r="M429" s="1">
        <v>132</v>
      </c>
      <c r="N429" s="1">
        <v>112</v>
      </c>
      <c r="O429" s="1">
        <v>142</v>
      </c>
      <c r="P429" s="1">
        <v>43</v>
      </c>
      <c r="Q429" s="1"/>
    </row>
    <row r="430" spans="1:17" ht="15.75" customHeight="1">
      <c r="A430" s="1">
        <v>2017</v>
      </c>
      <c r="B430" s="1">
        <v>123</v>
      </c>
      <c r="C430" s="1" t="s">
        <v>252</v>
      </c>
      <c r="D430" s="1">
        <v>4.4169999999999998</v>
      </c>
      <c r="E430" s="1" t="s">
        <v>383</v>
      </c>
      <c r="F430" s="1">
        <v>144</v>
      </c>
      <c r="G430" s="1">
        <v>123</v>
      </c>
      <c r="H430" s="1">
        <v>141</v>
      </c>
      <c r="I430" s="1">
        <v>139</v>
      </c>
      <c r="J430" s="1">
        <v>68</v>
      </c>
      <c r="K430" s="1">
        <v>127</v>
      </c>
      <c r="L430" s="1">
        <v>38</v>
      </c>
      <c r="M430" s="1">
        <v>83</v>
      </c>
      <c r="N430" s="1">
        <v>112</v>
      </c>
      <c r="O430" s="1">
        <v>127</v>
      </c>
      <c r="P430" s="1">
        <v>40</v>
      </c>
      <c r="Q430" s="1">
        <v>78</v>
      </c>
    </row>
    <row r="431" spans="1:17" ht="15.75" customHeight="1">
      <c r="A431" s="1">
        <v>2017</v>
      </c>
      <c r="B431" s="1">
        <v>124</v>
      </c>
      <c r="C431" s="1" t="s">
        <v>193</v>
      </c>
      <c r="D431" s="1">
        <v>4.41</v>
      </c>
      <c r="E431" s="1">
        <v>7.0000000000000001E-3</v>
      </c>
      <c r="F431" s="1">
        <v>111</v>
      </c>
      <c r="G431" s="1">
        <v>112</v>
      </c>
      <c r="H431" s="1">
        <v>116</v>
      </c>
      <c r="I431" s="1">
        <v>110</v>
      </c>
      <c r="J431" s="1">
        <v>51</v>
      </c>
      <c r="K431" s="1">
        <v>28</v>
      </c>
      <c r="L431" s="1">
        <v>104</v>
      </c>
      <c r="M431" s="1">
        <v>27</v>
      </c>
      <c r="N431" s="1">
        <v>40</v>
      </c>
      <c r="O431" s="1">
        <v>28</v>
      </c>
      <c r="P431" s="1">
        <v>3</v>
      </c>
      <c r="Q431" s="1">
        <v>9</v>
      </c>
    </row>
    <row r="432" spans="1:17" ht="15.75" customHeight="1">
      <c r="A432" s="1">
        <v>2017</v>
      </c>
      <c r="B432" s="1">
        <v>125</v>
      </c>
      <c r="C432" s="1" t="s">
        <v>170</v>
      </c>
      <c r="D432" s="1">
        <v>4.3769999999999998</v>
      </c>
      <c r="E432" s="1" t="s">
        <v>384</v>
      </c>
      <c r="F432" s="1">
        <v>119</v>
      </c>
      <c r="G432" s="1">
        <v>106</v>
      </c>
      <c r="H432" s="1">
        <v>120</v>
      </c>
      <c r="I432" s="1">
        <v>127</v>
      </c>
      <c r="J432" s="1">
        <v>67</v>
      </c>
      <c r="K432" s="1">
        <v>46</v>
      </c>
      <c r="L432" s="1">
        <v>51</v>
      </c>
      <c r="M432" s="1">
        <v>77</v>
      </c>
      <c r="N432" s="1">
        <v>124</v>
      </c>
      <c r="O432" s="1">
        <v>46</v>
      </c>
      <c r="P432" s="1">
        <v>20</v>
      </c>
      <c r="Q432" s="1">
        <v>14</v>
      </c>
    </row>
    <row r="433" spans="1:17" ht="15.75" customHeight="1">
      <c r="A433" s="1">
        <v>2017</v>
      </c>
      <c r="B433" s="1">
        <v>126</v>
      </c>
      <c r="C433" s="1" t="s">
        <v>206</v>
      </c>
      <c r="D433" s="1">
        <v>4.3559999999999999</v>
      </c>
      <c r="E433" s="1" t="s">
        <v>161</v>
      </c>
      <c r="F433" s="1">
        <v>61</v>
      </c>
      <c r="G433" s="1">
        <v>94</v>
      </c>
      <c r="H433" s="1">
        <v>107</v>
      </c>
      <c r="I433" s="1">
        <v>97</v>
      </c>
      <c r="J433" s="1">
        <v>140</v>
      </c>
      <c r="K433" s="1">
        <v>136</v>
      </c>
      <c r="L433" s="1">
        <v>66</v>
      </c>
      <c r="M433" s="1">
        <v>88</v>
      </c>
      <c r="N433" s="1">
        <v>66</v>
      </c>
      <c r="O433" s="1">
        <v>136</v>
      </c>
      <c r="P433" s="1">
        <v>107</v>
      </c>
      <c r="Q433" s="1">
        <v>123</v>
      </c>
    </row>
    <row r="434" spans="1:17" ht="15.75" customHeight="1">
      <c r="A434" s="1">
        <v>2017</v>
      </c>
      <c r="B434" s="1">
        <v>127</v>
      </c>
      <c r="C434" s="1" t="s">
        <v>183</v>
      </c>
      <c r="D434" s="1">
        <v>4.3499999999999996</v>
      </c>
      <c r="E434" s="1" t="s">
        <v>171</v>
      </c>
      <c r="F434" s="1">
        <v>37</v>
      </c>
      <c r="G434" s="1">
        <v>109</v>
      </c>
      <c r="H434" s="1">
        <v>136</v>
      </c>
      <c r="I434" s="1">
        <v>106</v>
      </c>
      <c r="J434" s="1">
        <v>106</v>
      </c>
      <c r="K434" s="1">
        <v>102</v>
      </c>
      <c r="L434" s="1">
        <v>58</v>
      </c>
      <c r="M434" s="1">
        <v>128</v>
      </c>
      <c r="N434" s="1">
        <v>89</v>
      </c>
      <c r="O434" s="1">
        <v>102</v>
      </c>
      <c r="P434" s="1">
        <v>60</v>
      </c>
      <c r="Q434" s="1">
        <v>108</v>
      </c>
    </row>
    <row r="435" spans="1:17" ht="15.75" customHeight="1">
      <c r="A435" s="1">
        <v>2017</v>
      </c>
      <c r="B435" s="1">
        <v>128</v>
      </c>
      <c r="C435" s="1" t="s">
        <v>201</v>
      </c>
      <c r="D435" s="1">
        <v>4.34</v>
      </c>
      <c r="E435" s="1">
        <v>0.153</v>
      </c>
      <c r="F435" s="1">
        <v>30</v>
      </c>
      <c r="G435" s="1">
        <v>138</v>
      </c>
      <c r="H435" s="1">
        <v>70</v>
      </c>
      <c r="I435" s="1">
        <v>72</v>
      </c>
      <c r="J435" s="1">
        <v>69</v>
      </c>
      <c r="K435" s="1">
        <v>142</v>
      </c>
      <c r="L435" s="1">
        <v>21</v>
      </c>
      <c r="M435" s="1">
        <v>132</v>
      </c>
      <c r="N435" s="1">
        <v>30</v>
      </c>
      <c r="O435" s="1">
        <v>142</v>
      </c>
      <c r="P435" s="1">
        <v>83</v>
      </c>
      <c r="Q435" s="1">
        <v>92</v>
      </c>
    </row>
    <row r="436" spans="1:17" ht="15.75" customHeight="1">
      <c r="A436" s="1">
        <v>2017</v>
      </c>
      <c r="B436" s="1">
        <v>129</v>
      </c>
      <c r="C436" s="1" t="s">
        <v>192</v>
      </c>
      <c r="D436" s="1">
        <v>4.3209999999999997</v>
      </c>
      <c r="E436" s="1">
        <v>5.0000000000000001E-3</v>
      </c>
      <c r="F436" s="1">
        <v>87</v>
      </c>
      <c r="G436" s="1">
        <v>117</v>
      </c>
      <c r="H436" s="1">
        <v>82</v>
      </c>
      <c r="I436" s="1">
        <v>58</v>
      </c>
      <c r="J436" s="1">
        <v>131</v>
      </c>
      <c r="K436" s="1">
        <v>109</v>
      </c>
      <c r="L436" s="1">
        <v>108</v>
      </c>
      <c r="M436" s="1">
        <v>117</v>
      </c>
      <c r="N436" s="1">
        <v>138</v>
      </c>
      <c r="O436" s="1">
        <v>109</v>
      </c>
      <c r="P436" s="1">
        <v>130</v>
      </c>
      <c r="Q436" s="1">
        <v>102</v>
      </c>
    </row>
    <row r="437" spans="1:17" ht="15.75" customHeight="1">
      <c r="A437" s="1">
        <v>2017</v>
      </c>
      <c r="B437" s="1">
        <v>130</v>
      </c>
      <c r="C437" s="1" t="s">
        <v>190</v>
      </c>
      <c r="D437" s="1">
        <v>4.3079999999999998</v>
      </c>
      <c r="E437" s="1" t="s">
        <v>385</v>
      </c>
      <c r="F437" s="1">
        <v>74</v>
      </c>
      <c r="G437" s="1">
        <v>89</v>
      </c>
      <c r="H437" s="1">
        <v>110</v>
      </c>
      <c r="I437" s="1">
        <v>104</v>
      </c>
      <c r="J437" s="1">
        <v>35</v>
      </c>
      <c r="K437" s="1">
        <v>1</v>
      </c>
      <c r="L437" s="1">
        <v>24</v>
      </c>
      <c r="M437" s="1">
        <v>92</v>
      </c>
      <c r="N437" s="1">
        <v>75</v>
      </c>
      <c r="O437" s="1">
        <v>1</v>
      </c>
      <c r="P437" s="1">
        <v>22</v>
      </c>
      <c r="Q437" s="1">
        <v>114</v>
      </c>
    </row>
    <row r="438" spans="1:17" ht="15.75" customHeight="1">
      <c r="A438" s="1">
        <v>2017</v>
      </c>
      <c r="B438" s="1">
        <v>131</v>
      </c>
      <c r="C438" s="1" t="s">
        <v>227</v>
      </c>
      <c r="D438" s="1">
        <v>4.3010000000000002</v>
      </c>
      <c r="E438" s="1">
        <v>0.245</v>
      </c>
      <c r="F438" s="1">
        <v>137</v>
      </c>
      <c r="G438" s="1">
        <v>128</v>
      </c>
      <c r="H438" s="1">
        <v>137</v>
      </c>
      <c r="I438" s="1">
        <v>137</v>
      </c>
      <c r="J438" s="1">
        <v>129</v>
      </c>
      <c r="K438" s="1">
        <v>103</v>
      </c>
      <c r="L438" s="1">
        <v>73</v>
      </c>
      <c r="M438" s="1">
        <v>104</v>
      </c>
      <c r="N438" s="1">
        <v>144</v>
      </c>
      <c r="O438" s="1">
        <v>103</v>
      </c>
      <c r="P438" s="1">
        <v>93</v>
      </c>
      <c r="Q438" s="1">
        <v>82</v>
      </c>
    </row>
    <row r="439" spans="1:17" ht="15.75" customHeight="1">
      <c r="A439" s="1">
        <v>2017</v>
      </c>
      <c r="B439" s="3">
        <v>132</v>
      </c>
      <c r="C439" s="8" t="s">
        <v>386</v>
      </c>
      <c r="D439" s="5">
        <v>4.2450000000000001</v>
      </c>
      <c r="E439" s="9" t="s">
        <v>387</v>
      </c>
      <c r="F439" s="6">
        <v>118</v>
      </c>
      <c r="G439" s="6">
        <v>124</v>
      </c>
      <c r="H439" s="6">
        <v>144</v>
      </c>
      <c r="I439" s="10">
        <v>133</v>
      </c>
      <c r="J439" s="6">
        <v>112</v>
      </c>
      <c r="K439" s="6">
        <v>96</v>
      </c>
      <c r="L439" s="6">
        <v>80</v>
      </c>
      <c r="M439" s="6">
        <v>122</v>
      </c>
      <c r="N439" s="6">
        <v>130</v>
      </c>
      <c r="O439" s="6">
        <v>96</v>
      </c>
      <c r="P439" s="6">
        <v>36</v>
      </c>
      <c r="Q439" s="6">
        <v>48</v>
      </c>
    </row>
    <row r="440" spans="1:17" ht="15.75" customHeight="1">
      <c r="A440" s="1">
        <v>2017</v>
      </c>
      <c r="B440" s="3">
        <v>133</v>
      </c>
      <c r="C440" s="8" t="s">
        <v>388</v>
      </c>
      <c r="D440" s="5">
        <v>4.1900000000000004</v>
      </c>
      <c r="E440" s="9" t="s">
        <v>389</v>
      </c>
      <c r="F440" s="6">
        <v>21</v>
      </c>
      <c r="G440" s="6">
        <v>137</v>
      </c>
      <c r="H440" s="6">
        <v>104</v>
      </c>
      <c r="I440" s="7">
        <v>102</v>
      </c>
      <c r="J440" s="6">
        <v>36</v>
      </c>
      <c r="K440" s="6">
        <v>86</v>
      </c>
      <c r="L440" s="6">
        <v>69</v>
      </c>
      <c r="M440" s="6">
        <v>108</v>
      </c>
      <c r="N440" s="6">
        <v>100</v>
      </c>
      <c r="O440" s="6">
        <v>86</v>
      </c>
      <c r="P440" s="6">
        <v>100</v>
      </c>
      <c r="Q440" s="6">
        <v>138</v>
      </c>
    </row>
    <row r="441" spans="1:17" ht="15.75" customHeight="1">
      <c r="A441" s="1">
        <v>2017</v>
      </c>
      <c r="B441" s="1">
        <v>134</v>
      </c>
      <c r="C441" s="1" t="s">
        <v>224</v>
      </c>
      <c r="D441" s="1">
        <v>4.1660000000000004</v>
      </c>
      <c r="E441" s="1">
        <v>1.4E-2</v>
      </c>
      <c r="F441" s="1">
        <v>132</v>
      </c>
      <c r="G441" s="1">
        <v>139</v>
      </c>
      <c r="H441" s="1">
        <v>143</v>
      </c>
      <c r="I441" s="1">
        <v>131</v>
      </c>
      <c r="J441" s="1">
        <v>117</v>
      </c>
      <c r="K441" s="1">
        <v>132</v>
      </c>
      <c r="L441" s="1">
        <v>67</v>
      </c>
      <c r="M441" s="1">
        <v>58</v>
      </c>
      <c r="N441" s="1">
        <v>136</v>
      </c>
      <c r="O441" s="1">
        <v>132</v>
      </c>
      <c r="P441" s="1">
        <v>67</v>
      </c>
      <c r="Q441" s="1">
        <v>20</v>
      </c>
    </row>
    <row r="442" spans="1:17" ht="15.75" customHeight="1">
      <c r="A442" s="1">
        <v>2017</v>
      </c>
      <c r="B442" s="1">
        <v>135</v>
      </c>
      <c r="C442" s="1" t="s">
        <v>231</v>
      </c>
      <c r="D442" s="1">
        <v>4.1609999999999996</v>
      </c>
      <c r="E442" s="1" t="s">
        <v>390</v>
      </c>
      <c r="F442" s="1">
        <v>123</v>
      </c>
      <c r="G442" s="1">
        <v>108</v>
      </c>
      <c r="H442" s="1">
        <v>130</v>
      </c>
      <c r="I442" s="1">
        <v>113</v>
      </c>
      <c r="J442" s="1">
        <v>83</v>
      </c>
      <c r="K442" s="1">
        <v>81</v>
      </c>
      <c r="L442" s="1">
        <v>82</v>
      </c>
      <c r="M442" s="1">
        <v>64</v>
      </c>
      <c r="N442" s="1">
        <v>129</v>
      </c>
      <c r="O442" s="1">
        <v>81</v>
      </c>
      <c r="P442" s="1">
        <v>47</v>
      </c>
      <c r="Q442" s="1">
        <v>19</v>
      </c>
    </row>
    <row r="443" spans="1:17" ht="15.75" customHeight="1">
      <c r="A443" s="1">
        <v>2017</v>
      </c>
      <c r="B443" s="1">
        <v>136</v>
      </c>
      <c r="C443" s="1" t="s">
        <v>244</v>
      </c>
      <c r="D443" s="1">
        <v>4.141</v>
      </c>
      <c r="E443" s="1">
        <v>0.61299999999999999</v>
      </c>
      <c r="F443" s="1">
        <v>145</v>
      </c>
      <c r="G443" s="1">
        <v>145</v>
      </c>
      <c r="H443" s="1">
        <v>126</v>
      </c>
      <c r="I443" s="1">
        <v>119</v>
      </c>
      <c r="J443" s="1">
        <v>104</v>
      </c>
      <c r="K443" s="1">
        <v>116</v>
      </c>
      <c r="L443" s="1">
        <v>63</v>
      </c>
      <c r="M443" s="1">
        <v>100</v>
      </c>
      <c r="N443" s="1">
        <v>141</v>
      </c>
      <c r="O443" s="1">
        <v>116</v>
      </c>
      <c r="P443" s="1">
        <v>87</v>
      </c>
      <c r="Q443" s="1">
        <v>91</v>
      </c>
    </row>
    <row r="444" spans="1:17" ht="15.75" customHeight="1">
      <c r="A444" s="1">
        <v>2017</v>
      </c>
      <c r="B444" s="1">
        <v>137</v>
      </c>
      <c r="C444" s="1" t="s">
        <v>211</v>
      </c>
      <c r="D444" s="1">
        <v>4.1390000000000002</v>
      </c>
      <c r="E444" s="1" t="s">
        <v>212</v>
      </c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 ht="15.75" customHeight="1">
      <c r="A445" s="1">
        <v>2017</v>
      </c>
      <c r="B445" s="1">
        <v>138</v>
      </c>
      <c r="C445" s="1" t="s">
        <v>195</v>
      </c>
      <c r="D445" s="1">
        <v>4.1029999999999998</v>
      </c>
      <c r="E445" s="1" t="s">
        <v>391</v>
      </c>
      <c r="F445" s="1">
        <v>79</v>
      </c>
      <c r="G445" s="1">
        <v>62</v>
      </c>
      <c r="H445" s="1">
        <v>69</v>
      </c>
      <c r="I445" s="1">
        <v>85</v>
      </c>
      <c r="J445" s="1">
        <v>133</v>
      </c>
      <c r="K445" s="1">
        <v>59</v>
      </c>
      <c r="L445" s="1">
        <v>136</v>
      </c>
      <c r="M445" s="1">
        <v>125</v>
      </c>
      <c r="N445" s="1">
        <v>48</v>
      </c>
      <c r="O445" s="1">
        <v>59</v>
      </c>
      <c r="P445" s="1">
        <v>103</v>
      </c>
      <c r="Q445" s="1">
        <v>109</v>
      </c>
    </row>
    <row r="446" spans="1:17" ht="15.75" customHeight="1">
      <c r="A446" s="1">
        <v>2017</v>
      </c>
      <c r="B446" s="1">
        <v>139</v>
      </c>
      <c r="C446" s="1" t="s">
        <v>247</v>
      </c>
      <c r="D446" s="1">
        <v>3.9990000000000001</v>
      </c>
      <c r="E446" s="1">
        <v>1.0629999999999999</v>
      </c>
      <c r="F446" s="1">
        <v>103</v>
      </c>
      <c r="G446" s="1">
        <v>143</v>
      </c>
      <c r="H446" s="1">
        <v>132</v>
      </c>
      <c r="I446" s="1">
        <v>121</v>
      </c>
      <c r="J446" s="1">
        <v>107</v>
      </c>
      <c r="K446" s="1">
        <v>128</v>
      </c>
      <c r="L446" s="1">
        <v>45</v>
      </c>
      <c r="M446" s="1">
        <v>93</v>
      </c>
      <c r="N446" s="1">
        <v>135</v>
      </c>
      <c r="O446" s="1">
        <v>128</v>
      </c>
      <c r="P446" s="1">
        <v>106</v>
      </c>
      <c r="Q446" s="1">
        <v>98</v>
      </c>
    </row>
    <row r="447" spans="1:17" ht="15.75" customHeight="1">
      <c r="A447" s="1">
        <v>2017</v>
      </c>
      <c r="B447" s="1">
        <v>140</v>
      </c>
      <c r="C447" s="1" t="s">
        <v>240</v>
      </c>
      <c r="D447" s="1">
        <v>3.964</v>
      </c>
      <c r="E447" s="1">
        <v>0.11700000000000001</v>
      </c>
      <c r="F447" s="1">
        <v>143</v>
      </c>
      <c r="G447" s="1">
        <v>135</v>
      </c>
      <c r="H447" s="1">
        <v>123</v>
      </c>
      <c r="I447" s="1">
        <v>132</v>
      </c>
      <c r="J447" s="1">
        <v>98</v>
      </c>
      <c r="K447" s="1">
        <v>83</v>
      </c>
      <c r="L447" s="1">
        <v>54</v>
      </c>
      <c r="M447" s="1">
        <v>55</v>
      </c>
      <c r="N447" s="1">
        <v>134</v>
      </c>
      <c r="O447" s="1">
        <v>83</v>
      </c>
      <c r="P447" s="1">
        <v>53</v>
      </c>
      <c r="Q447" s="1">
        <v>67</v>
      </c>
    </row>
    <row r="448" spans="1:17" ht="15.75" customHeight="1">
      <c r="A448" s="1">
        <v>2017</v>
      </c>
      <c r="B448" s="1">
        <v>141</v>
      </c>
      <c r="C448" s="1" t="s">
        <v>321</v>
      </c>
      <c r="D448" s="1">
        <v>3.8079999999999998</v>
      </c>
      <c r="E448" s="1" t="s">
        <v>322</v>
      </c>
      <c r="F448" s="1">
        <v>135</v>
      </c>
      <c r="G448" s="1">
        <v>100</v>
      </c>
      <c r="H448" s="1">
        <v>128</v>
      </c>
      <c r="I448" s="1">
        <v>141</v>
      </c>
      <c r="J448" s="1">
        <v>90</v>
      </c>
      <c r="K448" s="1">
        <v>144</v>
      </c>
      <c r="L448" s="1">
        <v>76</v>
      </c>
      <c r="M448" s="1">
        <v>53</v>
      </c>
      <c r="N448" s="1">
        <v>58</v>
      </c>
      <c r="O448" s="1">
        <v>144</v>
      </c>
      <c r="P448" s="1">
        <v>69</v>
      </c>
      <c r="Q448" s="1">
        <v>41</v>
      </c>
    </row>
    <row r="449" spans="1:17" ht="15.75" customHeight="1">
      <c r="A449" s="1">
        <v>2017</v>
      </c>
      <c r="B449" s="1">
        <v>142</v>
      </c>
      <c r="C449" s="1" t="s">
        <v>222</v>
      </c>
      <c r="D449" s="1">
        <v>3.7949999999999999</v>
      </c>
      <c r="E449" s="1" t="s">
        <v>323</v>
      </c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 ht="15.75" customHeight="1">
      <c r="A450" s="1">
        <v>2017</v>
      </c>
      <c r="B450" s="1">
        <v>143</v>
      </c>
      <c r="C450" s="1" t="s">
        <v>235</v>
      </c>
      <c r="D450" s="1">
        <v>3.774</v>
      </c>
      <c r="E450" s="1" t="s">
        <v>392</v>
      </c>
      <c r="F450" s="1">
        <v>88</v>
      </c>
      <c r="G450" s="1">
        <v>136</v>
      </c>
      <c r="H450" s="1">
        <v>138</v>
      </c>
      <c r="I450" s="1">
        <v>116</v>
      </c>
      <c r="J450" s="1">
        <v>136</v>
      </c>
      <c r="K450" s="1">
        <v>124</v>
      </c>
      <c r="L450" s="1">
        <v>99</v>
      </c>
      <c r="M450" s="1">
        <v>56</v>
      </c>
      <c r="N450" s="1">
        <v>118</v>
      </c>
      <c r="O450" s="1">
        <v>124</v>
      </c>
      <c r="P450" s="1">
        <v>33</v>
      </c>
      <c r="Q450" s="1">
        <v>121</v>
      </c>
    </row>
    <row r="451" spans="1:17" ht="15.75" customHeight="1">
      <c r="A451" s="1">
        <v>2017</v>
      </c>
      <c r="B451" s="1">
        <v>144</v>
      </c>
      <c r="C451" s="1" t="s">
        <v>208</v>
      </c>
      <c r="D451" s="1">
        <v>3.6920000000000002</v>
      </c>
      <c r="E451" s="1" t="s">
        <v>393</v>
      </c>
      <c r="F451" s="1">
        <v>120</v>
      </c>
      <c r="G451" s="1">
        <v>103</v>
      </c>
      <c r="H451" s="1">
        <v>122</v>
      </c>
      <c r="I451" s="1">
        <v>136</v>
      </c>
      <c r="J451" s="1">
        <v>93</v>
      </c>
      <c r="K451" s="1">
        <v>130</v>
      </c>
      <c r="L451" s="1">
        <v>55</v>
      </c>
      <c r="M451" s="1">
        <v>35</v>
      </c>
      <c r="N451" s="1">
        <v>37</v>
      </c>
      <c r="O451" s="1">
        <v>130</v>
      </c>
      <c r="P451" s="1">
        <v>78</v>
      </c>
      <c r="Q451" s="1">
        <v>33</v>
      </c>
    </row>
    <row r="452" spans="1:17" ht="15.75" customHeight="1">
      <c r="A452" s="1">
        <v>2017</v>
      </c>
      <c r="B452" s="1">
        <v>145</v>
      </c>
      <c r="C452" s="1" t="s">
        <v>245</v>
      </c>
      <c r="D452" s="1">
        <v>3.6320000000000001</v>
      </c>
      <c r="E452" s="1" t="s">
        <v>394</v>
      </c>
      <c r="F452" s="1">
        <v>7</v>
      </c>
      <c r="G452" s="1">
        <v>144</v>
      </c>
      <c r="H452" s="1">
        <v>127</v>
      </c>
      <c r="I452" s="1">
        <v>134</v>
      </c>
      <c r="J452" s="1">
        <v>146</v>
      </c>
      <c r="K452" s="1">
        <v>143</v>
      </c>
      <c r="L452" s="1">
        <v>137</v>
      </c>
      <c r="M452" s="1">
        <v>143</v>
      </c>
      <c r="N452" s="1">
        <v>117</v>
      </c>
      <c r="O452" s="1">
        <v>143</v>
      </c>
      <c r="P452" s="1">
        <v>120</v>
      </c>
      <c r="Q452" s="1">
        <v>112</v>
      </c>
    </row>
    <row r="453" spans="1:17" ht="15.75" customHeight="1">
      <c r="A453" s="1">
        <v>2017</v>
      </c>
      <c r="B453" s="1">
        <v>146</v>
      </c>
      <c r="C453" s="1" t="s">
        <v>218</v>
      </c>
      <c r="D453" s="1">
        <v>3.59</v>
      </c>
      <c r="E453" s="1" t="s">
        <v>395</v>
      </c>
      <c r="F453" s="1">
        <v>122</v>
      </c>
      <c r="G453" s="1">
        <v>101</v>
      </c>
      <c r="H453" s="1">
        <v>66</v>
      </c>
      <c r="I453" s="1">
        <v>118</v>
      </c>
      <c r="J453" s="1">
        <v>70</v>
      </c>
      <c r="K453" s="1">
        <v>138</v>
      </c>
      <c r="L453" s="1">
        <v>48</v>
      </c>
      <c r="M453" s="1">
        <v>95</v>
      </c>
      <c r="N453" s="1">
        <v>69</v>
      </c>
      <c r="O453" s="1">
        <v>138</v>
      </c>
      <c r="P453" s="1">
        <v>91</v>
      </c>
      <c r="Q453" s="1">
        <v>38</v>
      </c>
    </row>
    <row r="454" spans="1:17" ht="15.75" customHeight="1">
      <c r="A454" s="1">
        <v>2017</v>
      </c>
      <c r="B454" s="1">
        <v>147</v>
      </c>
      <c r="C454" s="1" t="s">
        <v>210</v>
      </c>
      <c r="D454" s="1">
        <v>3.5870000000000002</v>
      </c>
      <c r="E454" s="1" t="s">
        <v>396</v>
      </c>
      <c r="F454" s="1">
        <v>131</v>
      </c>
      <c r="G454" s="1">
        <v>141</v>
      </c>
      <c r="H454" s="1">
        <v>140</v>
      </c>
      <c r="I454" s="1">
        <v>120</v>
      </c>
      <c r="J454" s="1">
        <v>53</v>
      </c>
      <c r="K454" s="1">
        <v>110</v>
      </c>
      <c r="L454" s="1">
        <v>50</v>
      </c>
      <c r="M454" s="1">
        <v>101</v>
      </c>
      <c r="N454" s="1">
        <v>96</v>
      </c>
      <c r="O454" s="1">
        <v>110</v>
      </c>
      <c r="P454" s="1">
        <v>48</v>
      </c>
      <c r="Q454" s="1">
        <v>22</v>
      </c>
    </row>
    <row r="455" spans="1:17" ht="15.75" customHeight="1">
      <c r="A455" s="1">
        <v>2017</v>
      </c>
      <c r="B455" s="1">
        <v>148</v>
      </c>
      <c r="C455" s="1" t="s">
        <v>216</v>
      </c>
      <c r="D455" s="1">
        <v>3.5819999999999999</v>
      </c>
      <c r="E455" s="1" t="s">
        <v>397</v>
      </c>
      <c r="F455" s="1">
        <v>63</v>
      </c>
      <c r="G455" s="1">
        <v>131</v>
      </c>
      <c r="H455" s="1">
        <v>121</v>
      </c>
      <c r="I455" s="1">
        <v>123</v>
      </c>
      <c r="J455" s="1">
        <v>141</v>
      </c>
      <c r="K455" s="1">
        <v>20</v>
      </c>
      <c r="L455" s="1">
        <v>28</v>
      </c>
      <c r="M455" s="1">
        <v>110</v>
      </c>
      <c r="N455" s="1">
        <v>102</v>
      </c>
      <c r="O455" s="1">
        <v>20</v>
      </c>
      <c r="P455" s="1">
        <v>32</v>
      </c>
      <c r="Q455" s="1">
        <v>31</v>
      </c>
    </row>
    <row r="456" spans="1:17" ht="15.75" customHeight="1">
      <c r="A456" s="1">
        <v>2017</v>
      </c>
      <c r="B456" s="1">
        <v>149</v>
      </c>
      <c r="C456" s="1" t="s">
        <v>238</v>
      </c>
      <c r="D456" s="1">
        <v>3.4950000000000001</v>
      </c>
      <c r="E456" s="1" t="s">
        <v>398</v>
      </c>
      <c r="F456" s="1">
        <v>147</v>
      </c>
      <c r="G456" s="1">
        <v>122</v>
      </c>
      <c r="H456" s="1">
        <v>139</v>
      </c>
      <c r="I456" s="1">
        <v>128</v>
      </c>
      <c r="J456" s="1">
        <v>99</v>
      </c>
      <c r="K456" s="1">
        <v>113</v>
      </c>
      <c r="L456" s="1">
        <v>113</v>
      </c>
      <c r="M456" s="1">
        <v>68</v>
      </c>
      <c r="N456" s="1">
        <v>125</v>
      </c>
      <c r="O456" s="1">
        <v>113</v>
      </c>
      <c r="P456" s="1">
        <v>2</v>
      </c>
      <c r="Q456" s="1">
        <v>4</v>
      </c>
    </row>
    <row r="457" spans="1:17" ht="15.75" customHeight="1">
      <c r="A457" s="1">
        <v>2017</v>
      </c>
      <c r="B457" s="1">
        <v>150</v>
      </c>
      <c r="C457" s="1" t="s">
        <v>248</v>
      </c>
      <c r="D457" s="1">
        <v>3.4620000000000002</v>
      </c>
      <c r="E457" s="1" t="s">
        <v>331</v>
      </c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 ht="15.75" customHeight="1">
      <c r="A458" s="1">
        <v>2017</v>
      </c>
      <c r="B458" s="1">
        <v>151</v>
      </c>
      <c r="C458" s="1" t="s">
        <v>242</v>
      </c>
      <c r="D458" s="1">
        <v>3.4079999999999999</v>
      </c>
      <c r="E458" s="1" t="s">
        <v>399</v>
      </c>
      <c r="F458" s="1">
        <v>60</v>
      </c>
      <c r="G458" s="1">
        <v>142</v>
      </c>
      <c r="H458" s="1">
        <v>134</v>
      </c>
      <c r="I458" s="1">
        <v>107</v>
      </c>
      <c r="J458" s="1">
        <v>23</v>
      </c>
      <c r="K458" s="1">
        <v>84</v>
      </c>
      <c r="L458" s="1">
        <v>4</v>
      </c>
      <c r="M458" s="1">
        <v>41</v>
      </c>
      <c r="N458" s="1">
        <v>115</v>
      </c>
      <c r="O458" s="1">
        <v>84</v>
      </c>
      <c r="P458" s="1">
        <v>80</v>
      </c>
      <c r="Q458" s="1">
        <v>119</v>
      </c>
    </row>
    <row r="459" spans="1:17" ht="15.75" customHeight="1">
      <c r="A459" s="1">
        <v>2017</v>
      </c>
      <c r="B459" s="1">
        <v>152</v>
      </c>
      <c r="C459" s="1" t="s">
        <v>233</v>
      </c>
      <c r="D459" s="1">
        <v>3.355</v>
      </c>
      <c r="E459" s="1" t="s">
        <v>400</v>
      </c>
      <c r="F459" s="1">
        <v>66</v>
      </c>
      <c r="G459" s="1">
        <v>91</v>
      </c>
      <c r="H459" s="1">
        <v>142</v>
      </c>
      <c r="I459" s="1">
        <v>108</v>
      </c>
      <c r="J459" s="1">
        <v>134</v>
      </c>
      <c r="K459" s="1">
        <v>146</v>
      </c>
      <c r="L459" s="1">
        <v>145</v>
      </c>
      <c r="M459" s="1">
        <v>83</v>
      </c>
      <c r="N459" s="1">
        <v>146</v>
      </c>
      <c r="O459" s="1">
        <v>140</v>
      </c>
      <c r="P459" s="1">
        <v>128</v>
      </c>
      <c r="Q459" s="1"/>
    </row>
    <row r="460" spans="1:17" ht="15.75" customHeight="1">
      <c r="A460" s="1">
        <v>2017</v>
      </c>
      <c r="B460" s="1">
        <v>153</v>
      </c>
      <c r="C460" s="1" t="s">
        <v>236</v>
      </c>
      <c r="D460" s="1">
        <v>3.3029999999999999</v>
      </c>
      <c r="E460" s="1" t="s">
        <v>401</v>
      </c>
      <c r="F460" s="1">
        <v>126</v>
      </c>
      <c r="G460" s="1">
        <v>116</v>
      </c>
      <c r="H460" s="1">
        <v>124</v>
      </c>
      <c r="I460" s="1">
        <v>109</v>
      </c>
      <c r="J460" s="1">
        <v>77</v>
      </c>
      <c r="K460" s="1">
        <v>58</v>
      </c>
      <c r="L460" s="1">
        <v>30</v>
      </c>
      <c r="M460" s="1">
        <v>76</v>
      </c>
      <c r="N460" s="1">
        <v>59</v>
      </c>
      <c r="O460" s="1">
        <v>58</v>
      </c>
      <c r="P460" s="1">
        <v>132</v>
      </c>
      <c r="Q460" s="1">
        <v>95</v>
      </c>
    </row>
    <row r="461" spans="1:17" ht="15.75" customHeight="1">
      <c r="A461" s="1">
        <v>2017</v>
      </c>
      <c r="B461" s="1">
        <v>154</v>
      </c>
      <c r="C461" s="1" t="s">
        <v>226</v>
      </c>
      <c r="D461" s="1">
        <v>3.254</v>
      </c>
      <c r="E461" s="1">
        <v>129</v>
      </c>
      <c r="F461" s="1">
        <v>140</v>
      </c>
      <c r="G461" s="1">
        <v>143</v>
      </c>
      <c r="H461" s="1">
        <v>60</v>
      </c>
      <c r="I461" s="1">
        <v>138</v>
      </c>
      <c r="J461" s="1">
        <v>61</v>
      </c>
      <c r="K461" s="1">
        <v>112</v>
      </c>
      <c r="L461" s="1">
        <v>143</v>
      </c>
      <c r="M461" s="1">
        <v>60</v>
      </c>
      <c r="N461" s="1">
        <v>35</v>
      </c>
      <c r="O461" s="1">
        <v>35</v>
      </c>
      <c r="P461" s="1"/>
      <c r="Q461" s="1"/>
    </row>
    <row r="462" spans="1:17" ht="15.75" customHeight="1">
      <c r="A462" s="1">
        <v>2017</v>
      </c>
      <c r="B462" s="1">
        <v>155</v>
      </c>
      <c r="C462" s="1" t="s">
        <v>332</v>
      </c>
      <c r="D462" s="1">
        <v>3.0830000000000002</v>
      </c>
      <c r="E462" s="1" t="s">
        <v>402</v>
      </c>
      <c r="F462" s="1">
        <v>133</v>
      </c>
      <c r="G462" s="1">
        <v>146</v>
      </c>
      <c r="H462" s="1">
        <v>145</v>
      </c>
      <c r="I462" s="1">
        <v>140</v>
      </c>
      <c r="J462" s="1">
        <v>121</v>
      </c>
      <c r="K462" s="1">
        <v>97</v>
      </c>
      <c r="L462" s="1">
        <v>124</v>
      </c>
      <c r="M462" s="1">
        <v>98</v>
      </c>
      <c r="N462" s="1">
        <v>146</v>
      </c>
      <c r="O462" s="1">
        <v>97</v>
      </c>
      <c r="P462" s="1">
        <v>43</v>
      </c>
      <c r="Q462" s="1">
        <v>66</v>
      </c>
    </row>
    <row r="463" spans="1:17" ht="15.75" customHeight="1">
      <c r="A463" s="1">
        <v>2017</v>
      </c>
      <c r="B463" s="1">
        <v>156</v>
      </c>
      <c r="C463" s="1" t="s">
        <v>250</v>
      </c>
      <c r="D463" s="1">
        <v>2.9049999999999998</v>
      </c>
      <c r="E463" s="1" t="s">
        <v>251</v>
      </c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ht="15.75" customHeight="1">
      <c r="A464" s="1">
        <v>2017</v>
      </c>
      <c r="B464" s="1"/>
      <c r="C464" s="1" t="s">
        <v>403</v>
      </c>
      <c r="D464" s="1"/>
      <c r="E464" s="1"/>
      <c r="F464" s="1">
        <v>102</v>
      </c>
      <c r="G464" s="1">
        <v>118</v>
      </c>
      <c r="H464" s="1">
        <v>131</v>
      </c>
      <c r="I464" s="1">
        <v>114</v>
      </c>
      <c r="J464" s="1">
        <v>74</v>
      </c>
      <c r="K464" s="1">
        <v>63</v>
      </c>
      <c r="L464" s="1">
        <v>20</v>
      </c>
      <c r="M464" s="1">
        <v>18</v>
      </c>
      <c r="N464" s="1">
        <v>71</v>
      </c>
      <c r="O464" s="1">
        <v>63</v>
      </c>
      <c r="P464" s="1">
        <v>34</v>
      </c>
      <c r="Q464" s="1">
        <v>7</v>
      </c>
    </row>
    <row r="465" spans="1:17" ht="15.75" customHeight="1">
      <c r="A465" s="1">
        <v>2018</v>
      </c>
      <c r="B465" s="1">
        <v>1</v>
      </c>
      <c r="C465" s="1" t="s">
        <v>37</v>
      </c>
      <c r="D465" s="1">
        <v>7.7690000000000001</v>
      </c>
      <c r="E465" s="1">
        <v>0.38</v>
      </c>
      <c r="F465" s="1">
        <v>5</v>
      </c>
      <c r="G465" s="1">
        <v>3</v>
      </c>
      <c r="H465" s="1">
        <v>16</v>
      </c>
      <c r="I465" s="1">
        <v>18</v>
      </c>
      <c r="J465" s="1">
        <v>11</v>
      </c>
      <c r="K465" s="1">
        <v>53</v>
      </c>
      <c r="L465" s="1">
        <v>4</v>
      </c>
      <c r="M465" s="1">
        <v>27</v>
      </c>
      <c r="N465" s="1">
        <v>11</v>
      </c>
      <c r="O465" s="1">
        <v>53</v>
      </c>
      <c r="P465" s="1">
        <v>47</v>
      </c>
      <c r="Q465" s="1">
        <v>105</v>
      </c>
    </row>
    <row r="466" spans="1:17" ht="15.75" customHeight="1">
      <c r="A466" s="1">
        <v>2018</v>
      </c>
      <c r="B466" s="1">
        <v>2</v>
      </c>
      <c r="C466" s="1" t="s">
        <v>30</v>
      </c>
      <c r="D466" s="1">
        <v>7.6</v>
      </c>
      <c r="E466" s="1" t="s">
        <v>366</v>
      </c>
      <c r="F466" s="1">
        <v>17</v>
      </c>
      <c r="G466" s="1">
        <v>4</v>
      </c>
      <c r="H466" s="1">
        <v>9</v>
      </c>
      <c r="I466" s="1">
        <v>20</v>
      </c>
      <c r="J466" s="1">
        <v>12</v>
      </c>
      <c r="K466" s="1">
        <v>29</v>
      </c>
      <c r="L466" s="1">
        <v>2</v>
      </c>
      <c r="M466" s="1">
        <v>17</v>
      </c>
      <c r="N466" s="1">
        <v>29</v>
      </c>
      <c r="O466" s="1">
        <v>29</v>
      </c>
      <c r="P466" s="1">
        <v>68</v>
      </c>
      <c r="Q466" s="1">
        <v>96</v>
      </c>
    </row>
    <row r="467" spans="1:17" ht="15.75" customHeight="1">
      <c r="A467" s="1">
        <v>2018</v>
      </c>
      <c r="B467" s="1">
        <v>3</v>
      </c>
      <c r="C467" s="1" t="s">
        <v>35</v>
      </c>
      <c r="D467" s="1">
        <v>7.5540000000000003</v>
      </c>
      <c r="E467" s="1" t="s">
        <v>80</v>
      </c>
      <c r="F467" s="1">
        <v>6</v>
      </c>
      <c r="G467" s="1">
        <v>2</v>
      </c>
      <c r="H467" s="1">
        <v>4</v>
      </c>
      <c r="I467" s="1">
        <v>10</v>
      </c>
      <c r="J467" s="1">
        <v>2</v>
      </c>
      <c r="K467" s="1">
        <v>17</v>
      </c>
      <c r="L467" s="1">
        <v>7</v>
      </c>
      <c r="M467" s="1">
        <v>9</v>
      </c>
      <c r="N467" s="1">
        <v>32</v>
      </c>
      <c r="O467" s="1">
        <v>17</v>
      </c>
      <c r="P467" s="1">
        <v>23</v>
      </c>
      <c r="Q467" s="1">
        <v>103</v>
      </c>
    </row>
    <row r="468" spans="1:17" ht="15.75" customHeight="1">
      <c r="A468" s="1">
        <v>2018</v>
      </c>
      <c r="B468" s="1">
        <v>4</v>
      </c>
      <c r="C468" s="1" t="s">
        <v>34</v>
      </c>
      <c r="D468" s="1">
        <v>7.4939999999999998</v>
      </c>
      <c r="E468" s="1">
        <v>0.13900000000000001</v>
      </c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ht="15.75" customHeight="1">
      <c r="A469" s="1">
        <v>2018</v>
      </c>
      <c r="B469" s="1">
        <v>5</v>
      </c>
      <c r="C469" s="1" t="s">
        <v>40</v>
      </c>
      <c r="D469" s="1">
        <v>7.4880000000000004</v>
      </c>
      <c r="E469" s="1" t="s">
        <v>404</v>
      </c>
      <c r="F469" s="1">
        <v>2</v>
      </c>
      <c r="G469" s="1">
        <v>10</v>
      </c>
      <c r="H469" s="1">
        <v>8</v>
      </c>
      <c r="I469" s="1"/>
      <c r="J469" s="1">
        <v>16</v>
      </c>
      <c r="K469" s="1">
        <v>10</v>
      </c>
      <c r="L469" s="1">
        <v>10</v>
      </c>
      <c r="M469" s="1">
        <v>28</v>
      </c>
      <c r="N469" s="1">
        <v>28</v>
      </c>
      <c r="O469" s="1">
        <v>10</v>
      </c>
      <c r="P469" s="1">
        <v>28</v>
      </c>
      <c r="Q469" s="1"/>
    </row>
    <row r="470" spans="1:17" ht="15.75" customHeight="1">
      <c r="A470" s="1">
        <v>2018</v>
      </c>
      <c r="B470" s="1">
        <v>6</v>
      </c>
      <c r="C470" s="1" t="s">
        <v>32</v>
      </c>
      <c r="D470" s="1">
        <v>7.48</v>
      </c>
      <c r="E470" s="1" t="s">
        <v>53</v>
      </c>
      <c r="F470" s="1">
        <v>15</v>
      </c>
      <c r="G470" s="1">
        <v>16</v>
      </c>
      <c r="H470" s="1">
        <v>5</v>
      </c>
      <c r="I470" s="1">
        <v>7</v>
      </c>
      <c r="J470" s="1">
        <v>14</v>
      </c>
      <c r="K470" s="1">
        <v>15</v>
      </c>
      <c r="L470" s="1">
        <v>8</v>
      </c>
      <c r="M470" s="1">
        <v>24</v>
      </c>
      <c r="N470" s="1">
        <v>19</v>
      </c>
      <c r="O470" s="1">
        <v>15</v>
      </c>
      <c r="P470" s="1">
        <v>14</v>
      </c>
      <c r="Q470" s="1">
        <v>109</v>
      </c>
    </row>
    <row r="471" spans="1:17" ht="15.75" customHeight="1">
      <c r="A471" s="1">
        <v>2018</v>
      </c>
      <c r="B471" s="1">
        <v>7</v>
      </c>
      <c r="C471" s="1" t="s">
        <v>45</v>
      </c>
      <c r="D471" s="1">
        <v>7.343</v>
      </c>
      <c r="E471" s="1" t="s">
        <v>405</v>
      </c>
      <c r="F471" s="1">
        <v>13</v>
      </c>
      <c r="G471" s="1">
        <v>15</v>
      </c>
      <c r="H471" s="1">
        <v>12</v>
      </c>
      <c r="I471" s="1">
        <v>11</v>
      </c>
      <c r="J471" s="1">
        <v>10</v>
      </c>
      <c r="K471" s="1">
        <v>22</v>
      </c>
      <c r="L471" s="1">
        <v>6</v>
      </c>
      <c r="M471" s="1">
        <v>30</v>
      </c>
      <c r="N471" s="1">
        <v>4</v>
      </c>
      <c r="O471" s="1">
        <v>22</v>
      </c>
      <c r="P471" s="1">
        <v>109</v>
      </c>
      <c r="Q471" s="1">
        <v>100</v>
      </c>
    </row>
    <row r="472" spans="1:17" ht="15.75" customHeight="1">
      <c r="A472" s="1">
        <v>2018</v>
      </c>
      <c r="B472" s="1">
        <v>8</v>
      </c>
      <c r="C472" s="1" t="s">
        <v>42</v>
      </c>
      <c r="D472" s="1">
        <v>7.3070000000000004</v>
      </c>
      <c r="E472" s="1">
        <v>8.5999999999999993E-2</v>
      </c>
      <c r="F472" s="1">
        <v>10</v>
      </c>
      <c r="G472" s="1">
        <v>5</v>
      </c>
      <c r="H472" s="1">
        <v>23</v>
      </c>
      <c r="I472" s="1">
        <v>24</v>
      </c>
      <c r="J472" s="1">
        <v>4</v>
      </c>
      <c r="K472" s="1">
        <v>18</v>
      </c>
      <c r="L472" s="1">
        <v>5</v>
      </c>
      <c r="M472" s="1">
        <v>10</v>
      </c>
      <c r="N472" s="1">
        <v>7</v>
      </c>
      <c r="O472" s="1">
        <v>18</v>
      </c>
      <c r="P472" s="1">
        <v>10</v>
      </c>
      <c r="Q472" s="1">
        <v>82</v>
      </c>
    </row>
    <row r="473" spans="1:17" ht="15.75" customHeight="1">
      <c r="A473" s="1">
        <v>2018</v>
      </c>
      <c r="B473" s="1">
        <v>9</v>
      </c>
      <c r="C473" s="1" t="s">
        <v>38</v>
      </c>
      <c r="D473" s="1">
        <v>7.2779999999999996</v>
      </c>
      <c r="E473" s="1" t="s">
        <v>406</v>
      </c>
      <c r="F473" s="1">
        <v>30</v>
      </c>
      <c r="G473" s="1">
        <v>22</v>
      </c>
      <c r="H473" s="1">
        <v>15</v>
      </c>
      <c r="I473" s="1">
        <v>17</v>
      </c>
      <c r="J473" s="1">
        <v>5</v>
      </c>
      <c r="K473" s="1">
        <v>19</v>
      </c>
      <c r="L473" s="1">
        <v>11</v>
      </c>
      <c r="M473" s="1">
        <v>16</v>
      </c>
      <c r="N473" s="1">
        <v>55</v>
      </c>
      <c r="O473" s="1">
        <v>19</v>
      </c>
      <c r="P473" s="1">
        <v>25</v>
      </c>
      <c r="Q473" s="1">
        <v>54</v>
      </c>
    </row>
    <row r="474" spans="1:17" ht="15.75" customHeight="1">
      <c r="A474" s="1">
        <v>2018</v>
      </c>
      <c r="B474" s="1">
        <v>10</v>
      </c>
      <c r="C474" s="1" t="s">
        <v>49</v>
      </c>
      <c r="D474" s="1">
        <v>7.2460000000000004</v>
      </c>
      <c r="E474" s="1" t="s">
        <v>407</v>
      </c>
      <c r="F474" s="1">
        <v>9</v>
      </c>
      <c r="G474" s="1">
        <v>31</v>
      </c>
      <c r="H474" s="1">
        <v>10</v>
      </c>
      <c r="I474" s="1">
        <v>16</v>
      </c>
      <c r="J474" s="1">
        <v>25</v>
      </c>
      <c r="K474" s="1">
        <v>24</v>
      </c>
      <c r="L474" s="1">
        <v>17</v>
      </c>
      <c r="M474" s="1">
        <v>60</v>
      </c>
      <c r="N474" s="1">
        <v>41</v>
      </c>
      <c r="O474" s="1">
        <v>24</v>
      </c>
      <c r="P474" s="1">
        <v>31</v>
      </c>
      <c r="Q474" s="1">
        <v>65</v>
      </c>
    </row>
    <row r="475" spans="1:17" ht="15.75" customHeight="1">
      <c r="A475" s="1">
        <v>2018</v>
      </c>
      <c r="B475" s="1">
        <v>11</v>
      </c>
      <c r="C475" s="1" t="s">
        <v>43</v>
      </c>
      <c r="D475" s="1">
        <v>7.2279999999999998</v>
      </c>
      <c r="E475" s="1" t="s">
        <v>408</v>
      </c>
      <c r="F475" s="1">
        <v>28</v>
      </c>
      <c r="G475" s="1">
        <v>9</v>
      </c>
      <c r="H475" s="1">
        <v>14</v>
      </c>
      <c r="I475" s="1">
        <v>14</v>
      </c>
      <c r="J475" s="1">
        <v>19</v>
      </c>
      <c r="K475" s="1">
        <v>13</v>
      </c>
      <c r="L475" s="1">
        <v>14</v>
      </c>
      <c r="M475" s="1">
        <v>54</v>
      </c>
      <c r="N475" s="1">
        <v>13</v>
      </c>
      <c r="O475" s="1">
        <v>13</v>
      </c>
      <c r="P475" s="1">
        <v>13</v>
      </c>
      <c r="Q475" s="1">
        <v>83</v>
      </c>
    </row>
    <row r="476" spans="1:17" ht="15.75" customHeight="1">
      <c r="A476" s="1">
        <v>2018</v>
      </c>
      <c r="B476" s="1">
        <v>12</v>
      </c>
      <c r="C476" s="1" t="s">
        <v>52</v>
      </c>
      <c r="D476" s="1">
        <v>7.1669999999999998</v>
      </c>
      <c r="E476" s="1" t="s">
        <v>409</v>
      </c>
      <c r="F476" s="1">
        <v>61</v>
      </c>
      <c r="G476" s="1">
        <v>52</v>
      </c>
      <c r="H476" s="1">
        <v>53</v>
      </c>
      <c r="I476" s="1">
        <v>29</v>
      </c>
      <c r="J476" s="1">
        <v>9</v>
      </c>
      <c r="K476" s="1">
        <v>73</v>
      </c>
      <c r="L476" s="1">
        <v>61</v>
      </c>
      <c r="M476" s="1">
        <v>7</v>
      </c>
      <c r="N476" s="1">
        <v>92</v>
      </c>
      <c r="O476" s="1">
        <v>73</v>
      </c>
      <c r="P476" s="1">
        <v>78</v>
      </c>
      <c r="Q476" s="1">
        <v>51</v>
      </c>
    </row>
    <row r="477" spans="1:17" ht="15.75" customHeight="1">
      <c r="A477" s="1">
        <v>2018</v>
      </c>
      <c r="B477" s="1">
        <v>13</v>
      </c>
      <c r="C477" s="1" t="s">
        <v>47</v>
      </c>
      <c r="D477" s="1">
        <v>7.1390000000000002</v>
      </c>
      <c r="E477" s="1" t="s">
        <v>410</v>
      </c>
      <c r="F477" s="1">
        <v>26</v>
      </c>
      <c r="G477" s="1">
        <v>34</v>
      </c>
      <c r="H477" s="1">
        <v>29</v>
      </c>
      <c r="I477" s="1">
        <v>4</v>
      </c>
      <c r="J477" s="1">
        <v>99</v>
      </c>
      <c r="K477" s="1">
        <v>26</v>
      </c>
      <c r="L477" s="1">
        <v>58</v>
      </c>
      <c r="M477" s="1">
        <v>94</v>
      </c>
      <c r="N477" s="1">
        <v>67</v>
      </c>
      <c r="O477" s="1">
        <v>26</v>
      </c>
      <c r="P477" s="1">
        <v>54</v>
      </c>
      <c r="Q477" s="1">
        <v>85</v>
      </c>
    </row>
    <row r="478" spans="1:17" ht="15.75" customHeight="1">
      <c r="A478" s="1">
        <v>2018</v>
      </c>
      <c r="B478" s="1">
        <v>14</v>
      </c>
      <c r="C478" s="1" t="s">
        <v>59</v>
      </c>
      <c r="D478" s="1">
        <v>7.09</v>
      </c>
      <c r="E478" s="1">
        <v>3.5999999999999997E-2</v>
      </c>
      <c r="F478" s="1">
        <v>3</v>
      </c>
      <c r="G478" s="1">
        <v>41</v>
      </c>
      <c r="H478" s="1">
        <v>1</v>
      </c>
      <c r="I478" s="1">
        <v>5</v>
      </c>
      <c r="J478" s="1">
        <v>32</v>
      </c>
      <c r="K478" s="1">
        <v>27</v>
      </c>
      <c r="L478" s="1">
        <v>12</v>
      </c>
      <c r="M478" s="1">
        <v>51</v>
      </c>
      <c r="N478" s="1">
        <v>26</v>
      </c>
      <c r="O478" s="1">
        <v>27</v>
      </c>
      <c r="P478" s="1">
        <v>18</v>
      </c>
      <c r="Q478" s="1">
        <v>122</v>
      </c>
    </row>
    <row r="479" spans="1:17" ht="15.75" customHeight="1">
      <c r="A479" s="1">
        <v>2018</v>
      </c>
      <c r="B479" s="3">
        <v>15</v>
      </c>
      <c r="C479" s="8" t="s">
        <v>411</v>
      </c>
      <c r="D479" s="5">
        <v>7.0540000000000003</v>
      </c>
      <c r="E479" s="6">
        <v>0.17100000000000001</v>
      </c>
      <c r="F479" s="6">
        <v>23</v>
      </c>
      <c r="G479" s="6">
        <v>20</v>
      </c>
      <c r="H479" s="6">
        <v>21</v>
      </c>
      <c r="I479" s="10">
        <v>27</v>
      </c>
      <c r="J479" s="6">
        <v>55</v>
      </c>
      <c r="K479" s="6">
        <v>3</v>
      </c>
      <c r="L479" s="6">
        <v>13</v>
      </c>
      <c r="M479" s="6">
        <v>37</v>
      </c>
      <c r="N479" s="6">
        <v>42</v>
      </c>
      <c r="O479" s="6">
        <v>3</v>
      </c>
      <c r="P479" s="6">
        <v>19</v>
      </c>
      <c r="Q479" s="6">
        <v>31</v>
      </c>
    </row>
    <row r="480" spans="1:17" ht="15.75" customHeight="1">
      <c r="A480" s="1">
        <v>2018</v>
      </c>
      <c r="B480" s="3">
        <v>16</v>
      </c>
      <c r="C480" s="8" t="s">
        <v>412</v>
      </c>
      <c r="D480" s="5">
        <v>7.0209999999999999</v>
      </c>
      <c r="E480" s="9" t="s">
        <v>413</v>
      </c>
      <c r="F480" s="6">
        <v>35</v>
      </c>
      <c r="G480" s="6">
        <v>11</v>
      </c>
      <c r="H480" s="6">
        <v>3</v>
      </c>
      <c r="I480" s="7">
        <v>15</v>
      </c>
      <c r="J480" s="6">
        <v>45</v>
      </c>
      <c r="K480" s="6">
        <v>7</v>
      </c>
      <c r="L480" s="6">
        <v>9</v>
      </c>
      <c r="M480" s="6">
        <v>26</v>
      </c>
      <c r="N480" s="6">
        <v>33</v>
      </c>
      <c r="O480" s="6">
        <v>7</v>
      </c>
      <c r="P480" s="6">
        <v>12</v>
      </c>
      <c r="Q480" s="6">
        <v>35</v>
      </c>
    </row>
    <row r="481" spans="1:17" ht="15.75" customHeight="1">
      <c r="A481" s="1">
        <v>2018</v>
      </c>
      <c r="B481" s="3">
        <v>17</v>
      </c>
      <c r="C481" s="8" t="s">
        <v>414</v>
      </c>
      <c r="D481" s="5">
        <v>6.9850000000000003</v>
      </c>
      <c r="E481" s="6">
        <v>0.313</v>
      </c>
      <c r="F481" s="6">
        <v>14</v>
      </c>
      <c r="G481" s="6">
        <v>26</v>
      </c>
      <c r="H481" s="6">
        <v>11</v>
      </c>
      <c r="I481" s="10">
        <v>28</v>
      </c>
      <c r="J481" s="6">
        <v>35</v>
      </c>
      <c r="K481" s="6">
        <v>25</v>
      </c>
      <c r="L481" s="6">
        <v>15</v>
      </c>
      <c r="M481" s="6">
        <v>34</v>
      </c>
      <c r="N481" s="6">
        <v>46</v>
      </c>
      <c r="O481" s="6">
        <v>25</v>
      </c>
      <c r="P481" s="6">
        <v>50</v>
      </c>
      <c r="Q481" s="6">
        <v>6</v>
      </c>
    </row>
    <row r="482" spans="1:17" ht="15.75" customHeight="1">
      <c r="A482" s="1">
        <v>2018</v>
      </c>
      <c r="B482" s="1">
        <v>18</v>
      </c>
      <c r="C482" s="1" t="s">
        <v>415</v>
      </c>
      <c r="D482" s="1">
        <v>6.923</v>
      </c>
      <c r="E482" s="1" t="s">
        <v>101</v>
      </c>
      <c r="F482" s="1">
        <v>8</v>
      </c>
      <c r="G482" s="1">
        <v>17</v>
      </c>
      <c r="H482" s="1">
        <v>13</v>
      </c>
      <c r="I482" s="1">
        <v>22</v>
      </c>
      <c r="J482" s="1">
        <v>66</v>
      </c>
      <c r="K482" s="1">
        <v>51</v>
      </c>
      <c r="L482" s="1">
        <v>25</v>
      </c>
      <c r="M482" s="1">
        <v>65</v>
      </c>
      <c r="N482" s="1">
        <v>50</v>
      </c>
      <c r="O482" s="1">
        <v>51</v>
      </c>
      <c r="P482" s="1">
        <v>48</v>
      </c>
      <c r="Q482" s="1">
        <v>129</v>
      </c>
    </row>
    <row r="483" spans="1:17" ht="15.75" customHeight="1">
      <c r="A483" s="1">
        <v>2018</v>
      </c>
      <c r="B483" s="1">
        <v>19</v>
      </c>
      <c r="C483" s="1" t="s">
        <v>51</v>
      </c>
      <c r="D483" s="1">
        <v>6.8920000000000003</v>
      </c>
      <c r="E483" s="1" t="s">
        <v>416</v>
      </c>
      <c r="F483" s="1">
        <v>58</v>
      </c>
      <c r="G483" s="1">
        <v>39</v>
      </c>
      <c r="H483" s="1">
        <v>7</v>
      </c>
      <c r="I483" s="1">
        <v>61</v>
      </c>
      <c r="J483" s="1">
        <v>57</v>
      </c>
      <c r="K483" s="1">
        <v>14</v>
      </c>
      <c r="L483" s="1">
        <v>38</v>
      </c>
      <c r="M483" s="1">
        <v>22</v>
      </c>
      <c r="N483" s="1">
        <v>75</v>
      </c>
      <c r="O483" s="1">
        <v>14</v>
      </c>
      <c r="P483" s="1">
        <v>11</v>
      </c>
      <c r="Q483" s="1">
        <v>16</v>
      </c>
    </row>
    <row r="484" spans="1:17" ht="15.75" customHeight="1">
      <c r="A484" s="1">
        <v>2018</v>
      </c>
      <c r="B484" s="1">
        <v>20</v>
      </c>
      <c r="C484" s="1" t="s">
        <v>70</v>
      </c>
      <c r="D484" s="1">
        <v>6.8520000000000003</v>
      </c>
      <c r="E484" s="1">
        <v>0.56200000000000006</v>
      </c>
      <c r="F484" s="1">
        <v>19</v>
      </c>
      <c r="G484" s="1">
        <v>19</v>
      </c>
      <c r="H484" s="1">
        <v>25</v>
      </c>
      <c r="I484" s="1">
        <v>34</v>
      </c>
      <c r="J484" s="1">
        <v>74</v>
      </c>
      <c r="K484" s="1">
        <v>132</v>
      </c>
      <c r="L484" s="1">
        <v>99</v>
      </c>
      <c r="M484" s="1">
        <v>67</v>
      </c>
      <c r="N484" s="1">
        <v>10</v>
      </c>
      <c r="O484" s="1">
        <v>132</v>
      </c>
      <c r="P484" s="1">
        <v>108</v>
      </c>
      <c r="Q484" s="1">
        <v>139</v>
      </c>
    </row>
    <row r="485" spans="1:17" ht="15.75" customHeight="1">
      <c r="A485" s="1">
        <v>2018</v>
      </c>
      <c r="B485" s="1">
        <v>21</v>
      </c>
      <c r="C485" s="1" t="s">
        <v>71</v>
      </c>
      <c r="D485" s="1">
        <v>6.8250000000000002</v>
      </c>
      <c r="E485" s="1" t="s">
        <v>417</v>
      </c>
      <c r="F485" s="1">
        <v>74</v>
      </c>
      <c r="G485" s="1">
        <v>65</v>
      </c>
      <c r="H485" s="1">
        <v>6</v>
      </c>
      <c r="I485" s="1">
        <v>25</v>
      </c>
      <c r="J485" s="1">
        <v>7</v>
      </c>
      <c r="K485" s="1">
        <v>23</v>
      </c>
      <c r="L485" s="1">
        <v>43</v>
      </c>
      <c r="M485" s="1">
        <v>86</v>
      </c>
      <c r="N485" s="1">
        <v>23</v>
      </c>
      <c r="O485" s="1">
        <v>44</v>
      </c>
      <c r="P485" s="1">
        <v>23</v>
      </c>
      <c r="Q485" s="1"/>
    </row>
    <row r="486" spans="1:17" ht="15.75" customHeight="1">
      <c r="A486" s="1">
        <v>2018</v>
      </c>
      <c r="B486" s="1">
        <v>22</v>
      </c>
      <c r="C486" s="1" t="s">
        <v>74</v>
      </c>
      <c r="D486" s="1">
        <v>6.726</v>
      </c>
      <c r="E486" s="1">
        <v>0.76200000000000001</v>
      </c>
      <c r="F486" s="1">
        <v>33</v>
      </c>
      <c r="G486" s="1">
        <v>14</v>
      </c>
      <c r="H486" s="1">
        <v>18</v>
      </c>
      <c r="I486" s="1">
        <v>8</v>
      </c>
      <c r="J486" s="1">
        <v>13</v>
      </c>
      <c r="K486" s="1">
        <v>11</v>
      </c>
      <c r="L486" s="1">
        <v>21</v>
      </c>
      <c r="M486" s="1">
        <v>69</v>
      </c>
      <c r="N486" s="1">
        <v>77</v>
      </c>
      <c r="O486" s="1">
        <v>11</v>
      </c>
      <c r="P486" s="1">
        <v>42</v>
      </c>
      <c r="Q486" s="1">
        <v>123</v>
      </c>
    </row>
    <row r="487" spans="1:17" ht="15.75" customHeight="1">
      <c r="A487" s="1">
        <v>2018</v>
      </c>
      <c r="B487" s="1">
        <v>23</v>
      </c>
      <c r="C487" s="1" t="s">
        <v>61</v>
      </c>
      <c r="D487" s="1">
        <v>6.5949999999999998</v>
      </c>
      <c r="E487" s="1" t="s">
        <v>418</v>
      </c>
      <c r="F487" s="1">
        <v>82</v>
      </c>
      <c r="G487" s="1">
        <v>60</v>
      </c>
      <c r="H487" s="1">
        <v>54</v>
      </c>
      <c r="I487" s="1">
        <v>66</v>
      </c>
      <c r="J487" s="1">
        <v>65</v>
      </c>
      <c r="K487" s="1">
        <v>105</v>
      </c>
      <c r="L487" s="1">
        <v>80</v>
      </c>
      <c r="M487" s="1">
        <v>6</v>
      </c>
      <c r="N487" s="1">
        <v>34</v>
      </c>
      <c r="O487" s="1">
        <v>105</v>
      </c>
      <c r="P487" s="1">
        <v>93</v>
      </c>
      <c r="Q487" s="1">
        <v>91</v>
      </c>
    </row>
    <row r="488" spans="1:17" ht="15.75" customHeight="1">
      <c r="A488" s="1">
        <v>2018</v>
      </c>
      <c r="B488" s="1">
        <v>24</v>
      </c>
      <c r="C488" s="1" t="s">
        <v>76</v>
      </c>
      <c r="D488" s="1">
        <v>6.5919999999999996</v>
      </c>
      <c r="E488" s="1" t="s">
        <v>419</v>
      </c>
      <c r="F488" s="1">
        <v>12</v>
      </c>
      <c r="G488" s="1">
        <v>24</v>
      </c>
      <c r="H488" s="1">
        <v>20</v>
      </c>
      <c r="I488" s="1">
        <v>13</v>
      </c>
      <c r="J488" s="1">
        <v>63</v>
      </c>
      <c r="K488" s="1">
        <v>59</v>
      </c>
      <c r="L488" s="1">
        <v>20</v>
      </c>
      <c r="M488" s="1">
        <v>56</v>
      </c>
      <c r="N488" s="1">
        <v>68</v>
      </c>
      <c r="O488" s="1">
        <v>59</v>
      </c>
      <c r="P488" s="1">
        <v>27</v>
      </c>
      <c r="Q488" s="1">
        <v>128</v>
      </c>
    </row>
    <row r="489" spans="1:17" ht="15.75" customHeight="1">
      <c r="A489" s="1">
        <v>2018</v>
      </c>
      <c r="B489" s="1">
        <v>25</v>
      </c>
      <c r="C489" s="1" t="s">
        <v>81</v>
      </c>
      <c r="D489" s="1">
        <v>6.4459999999999997</v>
      </c>
      <c r="E489" s="1">
        <v>0.22500000000000001</v>
      </c>
      <c r="F489" s="1">
        <v>22</v>
      </c>
      <c r="G489" s="1">
        <v>45</v>
      </c>
      <c r="H489" s="1">
        <v>19</v>
      </c>
      <c r="I489" s="1"/>
      <c r="J489" s="1">
        <v>92</v>
      </c>
      <c r="K489" s="1">
        <v>76</v>
      </c>
      <c r="L489" s="1">
        <v>45</v>
      </c>
      <c r="M489" s="1">
        <v>32</v>
      </c>
      <c r="N489" s="1">
        <v>1</v>
      </c>
      <c r="O489" s="1">
        <v>76</v>
      </c>
      <c r="P489" s="1">
        <v>101</v>
      </c>
      <c r="Q489" s="1">
        <v>116</v>
      </c>
    </row>
    <row r="490" spans="1:17" ht="15.75" customHeight="1">
      <c r="A490" s="1">
        <v>2018</v>
      </c>
      <c r="B490" s="1">
        <v>26</v>
      </c>
      <c r="C490" s="1" t="s">
        <v>66</v>
      </c>
      <c r="D490" s="1">
        <v>6.444</v>
      </c>
      <c r="E490" s="1" t="s">
        <v>105</v>
      </c>
      <c r="F490" s="1">
        <v>65</v>
      </c>
      <c r="G490" s="1">
        <v>47</v>
      </c>
      <c r="H490" s="1">
        <v>46</v>
      </c>
      <c r="I490" s="1">
        <v>26</v>
      </c>
      <c r="J490" s="1">
        <v>76</v>
      </c>
      <c r="K490" s="1">
        <v>47</v>
      </c>
      <c r="L490" s="1">
        <v>83</v>
      </c>
      <c r="M490" s="1">
        <v>25</v>
      </c>
      <c r="N490" s="1">
        <v>65</v>
      </c>
      <c r="O490" s="1">
        <v>47</v>
      </c>
      <c r="P490" s="1">
        <v>86</v>
      </c>
      <c r="Q490" s="1">
        <v>28</v>
      </c>
    </row>
    <row r="491" spans="1:17" ht="15.75" customHeight="1">
      <c r="A491" s="1">
        <v>2018</v>
      </c>
      <c r="B491" s="1">
        <v>27</v>
      </c>
      <c r="C491" s="1" t="s">
        <v>86</v>
      </c>
      <c r="D491" s="1">
        <v>6.4359999999999999</v>
      </c>
      <c r="E491" s="1">
        <v>0.47099999999999997</v>
      </c>
      <c r="F491" s="1">
        <v>121</v>
      </c>
      <c r="G491" s="1">
        <v>71</v>
      </c>
      <c r="H491" s="1">
        <v>87</v>
      </c>
      <c r="I491" s="1">
        <v>88</v>
      </c>
      <c r="J491" s="1">
        <v>20</v>
      </c>
      <c r="K491" s="1">
        <v>55</v>
      </c>
      <c r="L491" s="1">
        <v>55</v>
      </c>
      <c r="M491" s="1">
        <v>2</v>
      </c>
      <c r="N491" s="1">
        <v>56</v>
      </c>
      <c r="O491" s="1">
        <v>55</v>
      </c>
      <c r="P491" s="1">
        <v>38</v>
      </c>
      <c r="Q491" s="1">
        <v>60</v>
      </c>
    </row>
    <row r="492" spans="1:17" ht="15.75" customHeight="1">
      <c r="A492" s="1">
        <v>2018</v>
      </c>
      <c r="B492" s="1">
        <v>28</v>
      </c>
      <c r="C492" s="1" t="s">
        <v>79</v>
      </c>
      <c r="D492" s="1">
        <v>6.375</v>
      </c>
      <c r="E492" s="1" t="s">
        <v>361</v>
      </c>
      <c r="F492" s="1">
        <v>81</v>
      </c>
      <c r="G492" s="1">
        <v>56</v>
      </c>
      <c r="H492" s="1">
        <v>17</v>
      </c>
      <c r="I492" s="1">
        <v>59</v>
      </c>
      <c r="J492" s="1">
        <v>49</v>
      </c>
      <c r="K492" s="1">
        <v>84</v>
      </c>
      <c r="L492" s="1">
        <v>58</v>
      </c>
      <c r="M492" s="1">
        <v>72</v>
      </c>
      <c r="N492" s="1">
        <v>84</v>
      </c>
      <c r="O492" s="1">
        <v>103</v>
      </c>
      <c r="P492" s="1">
        <v>22</v>
      </c>
      <c r="Q492" s="1"/>
    </row>
    <row r="493" spans="1:17" ht="15.75" customHeight="1">
      <c r="A493" s="1">
        <v>2018</v>
      </c>
      <c r="B493" s="1">
        <v>29</v>
      </c>
      <c r="C493" s="1" t="s">
        <v>349</v>
      </c>
      <c r="D493" s="1">
        <v>6.3739999999999997</v>
      </c>
      <c r="E493" s="1" t="s">
        <v>117</v>
      </c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ht="15.75" customHeight="1">
      <c r="A494" s="1">
        <v>2018</v>
      </c>
      <c r="B494" s="1">
        <v>30</v>
      </c>
      <c r="C494" s="1" t="s">
        <v>274</v>
      </c>
      <c r="D494" s="1">
        <v>6.3540000000000001</v>
      </c>
      <c r="E494" s="1">
        <v>3.2000000000000001E-2</v>
      </c>
      <c r="F494" s="1">
        <v>18</v>
      </c>
      <c r="G494" s="1">
        <v>32</v>
      </c>
      <c r="H494" s="1">
        <v>24</v>
      </c>
      <c r="I494" s="1">
        <v>6</v>
      </c>
      <c r="J494" s="1">
        <v>101</v>
      </c>
      <c r="K494" s="1">
        <v>43</v>
      </c>
      <c r="L494" s="1">
        <v>59</v>
      </c>
      <c r="M494" s="1">
        <v>82</v>
      </c>
      <c r="N494" s="1">
        <v>102</v>
      </c>
      <c r="O494" s="1">
        <v>43</v>
      </c>
      <c r="P494" s="1">
        <v>77</v>
      </c>
      <c r="Q494" s="1">
        <v>41</v>
      </c>
    </row>
    <row r="495" spans="1:17" ht="15.75" customHeight="1">
      <c r="A495" s="1">
        <v>2018</v>
      </c>
      <c r="B495" s="1">
        <v>31</v>
      </c>
      <c r="C495" s="1" t="s">
        <v>67</v>
      </c>
      <c r="D495" s="1">
        <v>6.3209999999999997</v>
      </c>
      <c r="E495" s="1" t="s">
        <v>420</v>
      </c>
      <c r="F495" s="1">
        <v>96</v>
      </c>
      <c r="G495" s="1">
        <v>38</v>
      </c>
      <c r="H495" s="1">
        <v>42</v>
      </c>
      <c r="I495" s="1">
        <v>37</v>
      </c>
      <c r="J495" s="1">
        <v>46</v>
      </c>
      <c r="K495" s="1">
        <v>68</v>
      </c>
      <c r="L495" s="1">
        <v>88</v>
      </c>
      <c r="M495" s="1">
        <v>1</v>
      </c>
      <c r="N495" s="1">
        <v>40</v>
      </c>
      <c r="O495" s="1">
        <v>68</v>
      </c>
      <c r="P495" s="1">
        <v>66</v>
      </c>
      <c r="Q495" s="1">
        <v>81</v>
      </c>
    </row>
    <row r="496" spans="1:17" ht="15.75" customHeight="1">
      <c r="A496" s="1">
        <v>2018</v>
      </c>
      <c r="B496" s="1">
        <v>32</v>
      </c>
      <c r="C496" s="1" t="s">
        <v>54</v>
      </c>
      <c r="D496" s="1">
        <v>6.3</v>
      </c>
      <c r="E496" s="1" t="s">
        <v>421</v>
      </c>
      <c r="F496" s="1">
        <v>104</v>
      </c>
      <c r="G496" s="1">
        <v>51</v>
      </c>
      <c r="H496" s="1">
        <v>62</v>
      </c>
      <c r="I496" s="1">
        <v>74</v>
      </c>
      <c r="J496" s="1">
        <v>90</v>
      </c>
      <c r="K496" s="1">
        <v>89</v>
      </c>
      <c r="L496" s="1">
        <v>54</v>
      </c>
      <c r="M496" s="1">
        <v>66</v>
      </c>
      <c r="N496" s="1">
        <v>97</v>
      </c>
      <c r="O496" s="1">
        <v>89</v>
      </c>
      <c r="P496" s="1">
        <v>89</v>
      </c>
      <c r="Q496" s="1">
        <v>78</v>
      </c>
    </row>
    <row r="497" spans="1:17" ht="15.75" customHeight="1">
      <c r="A497" s="1">
        <v>2018</v>
      </c>
      <c r="B497" s="1">
        <v>33</v>
      </c>
      <c r="C497" s="1" t="s">
        <v>73</v>
      </c>
      <c r="D497" s="1">
        <v>6.2930000000000001</v>
      </c>
      <c r="E497" s="1" t="s">
        <v>295</v>
      </c>
      <c r="F497" s="1">
        <v>75</v>
      </c>
      <c r="G497" s="1">
        <v>27</v>
      </c>
      <c r="H497" s="1">
        <v>45</v>
      </c>
      <c r="I497" s="1">
        <v>50</v>
      </c>
      <c r="J497" s="1">
        <v>36</v>
      </c>
      <c r="K497" s="1">
        <v>67</v>
      </c>
      <c r="L497" s="1">
        <v>31</v>
      </c>
      <c r="M497" s="1">
        <v>14</v>
      </c>
      <c r="N497" s="1">
        <v>62</v>
      </c>
      <c r="O497" s="1">
        <v>67</v>
      </c>
      <c r="P497" s="1">
        <v>75</v>
      </c>
      <c r="Q497" s="1">
        <v>73</v>
      </c>
    </row>
    <row r="498" spans="1:17" ht="15.75" customHeight="1">
      <c r="A498" s="1">
        <v>2018</v>
      </c>
      <c r="B498" s="1">
        <v>34</v>
      </c>
      <c r="C498" s="1" t="s">
        <v>63</v>
      </c>
      <c r="D498" s="1">
        <v>6.2619999999999996</v>
      </c>
      <c r="E498" s="1" t="s">
        <v>422</v>
      </c>
      <c r="F498" s="1">
        <v>11</v>
      </c>
      <c r="G498" s="1">
        <v>40</v>
      </c>
      <c r="H498" s="1">
        <v>2</v>
      </c>
      <c r="I498" s="1">
        <v>1</v>
      </c>
      <c r="J498" s="1">
        <v>18</v>
      </c>
      <c r="K498" s="1">
        <v>33</v>
      </c>
      <c r="L498" s="1">
        <v>1</v>
      </c>
      <c r="M498" s="1">
        <v>39</v>
      </c>
      <c r="N498" s="1">
        <v>2</v>
      </c>
      <c r="O498" s="1">
        <v>33</v>
      </c>
      <c r="P498" s="1">
        <v>80</v>
      </c>
      <c r="Q498" s="1">
        <v>118</v>
      </c>
    </row>
    <row r="499" spans="1:17" ht="15.75" customHeight="1">
      <c r="A499" s="1">
        <v>2018</v>
      </c>
      <c r="B499" s="3">
        <v>35</v>
      </c>
      <c r="C499" s="8" t="s">
        <v>423</v>
      </c>
      <c r="D499" s="5">
        <v>6.2530000000000001</v>
      </c>
      <c r="E499" s="6">
        <v>0.44400000000000001</v>
      </c>
      <c r="F499" s="6">
        <v>109</v>
      </c>
      <c r="G499" s="6">
        <v>81</v>
      </c>
      <c r="H499" s="6">
        <v>90</v>
      </c>
      <c r="I499" s="10">
        <v>72</v>
      </c>
      <c r="J499" s="6">
        <v>43</v>
      </c>
      <c r="K499" s="6">
        <v>95</v>
      </c>
      <c r="L499" s="6">
        <v>72</v>
      </c>
      <c r="M499" s="6">
        <v>5</v>
      </c>
      <c r="N499" s="6">
        <v>58</v>
      </c>
      <c r="O499" s="6">
        <v>95</v>
      </c>
      <c r="P499" s="6">
        <v>55</v>
      </c>
      <c r="Q499" s="6">
        <v>88</v>
      </c>
    </row>
    <row r="500" spans="1:17" ht="15.75" customHeight="1">
      <c r="A500" s="1">
        <v>2018</v>
      </c>
      <c r="B500" s="3">
        <v>36</v>
      </c>
      <c r="C500" s="8" t="s">
        <v>424</v>
      </c>
      <c r="D500" s="5">
        <v>6.2229999999999999</v>
      </c>
      <c r="E500" s="6">
        <v>0.20200000000000001</v>
      </c>
      <c r="F500" s="6">
        <v>7</v>
      </c>
      <c r="G500" s="6">
        <v>30</v>
      </c>
      <c r="H500" s="6">
        <v>22</v>
      </c>
      <c r="I500" s="7">
        <v>9</v>
      </c>
      <c r="J500" s="6">
        <v>119</v>
      </c>
      <c r="K500" s="6">
        <v>34</v>
      </c>
      <c r="L500" s="6">
        <v>115</v>
      </c>
      <c r="M500" s="6">
        <v>98</v>
      </c>
      <c r="N500" s="6">
        <v>122</v>
      </c>
      <c r="O500" s="6">
        <v>34</v>
      </c>
      <c r="P500" s="6">
        <v>81</v>
      </c>
      <c r="Q500" s="6">
        <v>98</v>
      </c>
    </row>
    <row r="501" spans="1:17" ht="15.75" customHeight="1">
      <c r="A501" s="1">
        <v>2018</v>
      </c>
      <c r="B501" s="1">
        <v>37</v>
      </c>
      <c r="C501" s="1" t="s">
        <v>90</v>
      </c>
      <c r="D501" s="1">
        <v>6.1989999999999998</v>
      </c>
      <c r="E501" s="1">
        <v>0.88700000000000001</v>
      </c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1:17" ht="15.75" customHeight="1">
      <c r="A502" s="1">
        <v>2018</v>
      </c>
      <c r="B502" s="1">
        <v>38</v>
      </c>
      <c r="C502" s="1" t="s">
        <v>95</v>
      </c>
      <c r="D502" s="1">
        <v>6.1980000000000004</v>
      </c>
      <c r="E502" s="1">
        <v>0.22900000000000001</v>
      </c>
      <c r="F502" s="1">
        <v>31</v>
      </c>
      <c r="G502" s="1">
        <v>23</v>
      </c>
      <c r="H502" s="1">
        <v>36</v>
      </c>
      <c r="I502" s="1">
        <v>46</v>
      </c>
      <c r="J502" s="1">
        <v>87</v>
      </c>
      <c r="K502" s="1">
        <v>85</v>
      </c>
      <c r="L502" s="1">
        <v>124</v>
      </c>
      <c r="M502" s="1">
        <v>68</v>
      </c>
      <c r="N502" s="1">
        <v>52</v>
      </c>
      <c r="O502" s="1">
        <v>85</v>
      </c>
      <c r="P502" s="1">
        <v>82</v>
      </c>
      <c r="Q502" s="1">
        <v>124</v>
      </c>
    </row>
    <row r="503" spans="1:17" ht="15.75" customHeight="1">
      <c r="A503" s="1">
        <v>2018</v>
      </c>
      <c r="B503" s="1">
        <v>39</v>
      </c>
      <c r="C503" s="1" t="s">
        <v>91</v>
      </c>
      <c r="D503" s="1">
        <v>6.1920000000000002</v>
      </c>
      <c r="E503" s="1" t="s">
        <v>355</v>
      </c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 ht="15.75" customHeight="1">
      <c r="A504" s="1">
        <v>2018</v>
      </c>
      <c r="B504" s="1">
        <v>40</v>
      </c>
      <c r="C504" s="1" t="s">
        <v>109</v>
      </c>
      <c r="D504" s="1">
        <v>6.1820000000000004</v>
      </c>
      <c r="E504" s="1">
        <v>0.36</v>
      </c>
      <c r="F504" s="1">
        <v>27</v>
      </c>
      <c r="G504" s="1">
        <v>58</v>
      </c>
      <c r="H504" s="1">
        <v>35</v>
      </c>
      <c r="I504" s="1">
        <v>42</v>
      </c>
      <c r="J504" s="1">
        <v>39</v>
      </c>
      <c r="K504" s="1">
        <v>126</v>
      </c>
      <c r="L504" s="1">
        <v>43</v>
      </c>
      <c r="M504" s="1">
        <v>88</v>
      </c>
      <c r="N504" s="1">
        <v>9</v>
      </c>
      <c r="O504" s="1">
        <v>126</v>
      </c>
      <c r="P504" s="1">
        <v>133</v>
      </c>
      <c r="Q504" s="1">
        <v>137</v>
      </c>
    </row>
    <row r="505" spans="1:17" ht="15.75" customHeight="1">
      <c r="A505" s="1">
        <v>2018</v>
      </c>
      <c r="B505" s="1">
        <v>41</v>
      </c>
      <c r="C505" s="1" t="s">
        <v>99</v>
      </c>
      <c r="D505" s="1">
        <v>6.1740000000000004</v>
      </c>
      <c r="E505" s="1">
        <v>0.55100000000000005</v>
      </c>
      <c r="F505" s="1">
        <v>89</v>
      </c>
      <c r="G505" s="1">
        <v>25</v>
      </c>
      <c r="H505" s="1">
        <v>96</v>
      </c>
      <c r="I505" s="1">
        <v>87</v>
      </c>
      <c r="J505" s="1">
        <v>1</v>
      </c>
      <c r="K505" s="1">
        <v>8</v>
      </c>
      <c r="L505" s="1">
        <v>16</v>
      </c>
      <c r="M505" s="1">
        <v>31</v>
      </c>
      <c r="N505" s="1">
        <v>30</v>
      </c>
      <c r="O505" s="1">
        <v>8</v>
      </c>
      <c r="P505" s="1">
        <v>96</v>
      </c>
      <c r="Q505" s="1">
        <v>32</v>
      </c>
    </row>
    <row r="506" spans="1:17" ht="15.75" customHeight="1">
      <c r="A506" s="1">
        <v>2018</v>
      </c>
      <c r="B506" s="1">
        <v>42</v>
      </c>
      <c r="C506" s="1" t="s">
        <v>114</v>
      </c>
      <c r="D506" s="1">
        <v>6.149</v>
      </c>
      <c r="E506" s="1">
        <v>0.72299999999999998</v>
      </c>
      <c r="F506" s="1">
        <v>41</v>
      </c>
      <c r="G506" s="1">
        <v>18</v>
      </c>
      <c r="H506" s="1">
        <v>31</v>
      </c>
      <c r="I506" s="1">
        <v>63</v>
      </c>
      <c r="J506" s="1">
        <v>109</v>
      </c>
      <c r="K506" s="1">
        <v>114</v>
      </c>
      <c r="L506" s="1">
        <v>100</v>
      </c>
      <c r="M506" s="1">
        <v>126</v>
      </c>
      <c r="N506" s="1">
        <v>35</v>
      </c>
      <c r="O506" s="1">
        <v>114</v>
      </c>
      <c r="P506" s="1">
        <v>102</v>
      </c>
      <c r="Q506" s="1">
        <v>108</v>
      </c>
    </row>
    <row r="507" spans="1:17" ht="15.75" customHeight="1">
      <c r="A507" s="1">
        <v>2018</v>
      </c>
      <c r="B507" s="1">
        <v>43</v>
      </c>
      <c r="C507" s="1" t="s">
        <v>75</v>
      </c>
      <c r="D507" s="1">
        <v>6.125</v>
      </c>
      <c r="E507" s="1" t="s">
        <v>83</v>
      </c>
      <c r="F507" s="1">
        <v>111</v>
      </c>
      <c r="G507" s="1">
        <v>55</v>
      </c>
      <c r="H507" s="1">
        <v>66</v>
      </c>
      <c r="I507" s="1">
        <v>39</v>
      </c>
      <c r="J507" s="1">
        <v>51</v>
      </c>
      <c r="K507" s="1">
        <v>100</v>
      </c>
      <c r="L507" s="1">
        <v>101</v>
      </c>
      <c r="M507" s="1">
        <v>13</v>
      </c>
      <c r="N507" s="1">
        <v>84</v>
      </c>
      <c r="O507" s="1">
        <v>100</v>
      </c>
      <c r="P507" s="1">
        <v>73</v>
      </c>
      <c r="Q507" s="1">
        <v>67</v>
      </c>
    </row>
    <row r="508" spans="1:17" ht="15.75" customHeight="1">
      <c r="A508" s="1">
        <v>2018</v>
      </c>
      <c r="B508" s="1">
        <v>44</v>
      </c>
      <c r="C508" s="1" t="s">
        <v>116</v>
      </c>
      <c r="D508" s="1">
        <v>6.1180000000000003</v>
      </c>
      <c r="E508" s="1">
        <v>5.8000000000000003E-2</v>
      </c>
      <c r="F508" s="1">
        <v>40</v>
      </c>
      <c r="G508" s="1">
        <v>7</v>
      </c>
      <c r="H508" s="1">
        <v>30</v>
      </c>
      <c r="I508" s="1">
        <v>19</v>
      </c>
      <c r="J508" s="1">
        <v>8</v>
      </c>
      <c r="K508" s="1">
        <v>56</v>
      </c>
      <c r="L508" s="1">
        <v>89</v>
      </c>
      <c r="M508" s="1">
        <v>97</v>
      </c>
      <c r="N508" s="1">
        <v>63</v>
      </c>
      <c r="O508" s="1">
        <v>56</v>
      </c>
      <c r="P508" s="1">
        <v>37</v>
      </c>
      <c r="Q508" s="1">
        <v>132</v>
      </c>
    </row>
    <row r="509" spans="1:17" ht="15.75" customHeight="1">
      <c r="A509" s="1">
        <v>2018</v>
      </c>
      <c r="B509" s="1">
        <v>45</v>
      </c>
      <c r="C509" s="1" t="s">
        <v>98</v>
      </c>
      <c r="D509" s="1">
        <v>6.1050000000000004</v>
      </c>
      <c r="E509" s="1">
        <v>0.59799999999999998</v>
      </c>
      <c r="F509" s="1">
        <v>115</v>
      </c>
      <c r="G509" s="1">
        <v>62</v>
      </c>
      <c r="H509" s="1">
        <v>100</v>
      </c>
      <c r="I509" s="1">
        <v>44</v>
      </c>
      <c r="J509" s="1">
        <v>70</v>
      </c>
      <c r="K509" s="1">
        <v>61</v>
      </c>
      <c r="L509" s="1">
        <v>40</v>
      </c>
      <c r="M509" s="1">
        <v>33</v>
      </c>
      <c r="N509" s="1">
        <v>124</v>
      </c>
      <c r="O509" s="1">
        <v>61</v>
      </c>
      <c r="P509" s="1">
        <v>46</v>
      </c>
      <c r="Q509" s="1">
        <v>74</v>
      </c>
    </row>
    <row r="510" spans="1:17" ht="15.75" customHeight="1">
      <c r="A510" s="1">
        <v>2018</v>
      </c>
      <c r="B510" s="1">
        <v>46</v>
      </c>
      <c r="C510" s="1" t="s">
        <v>135</v>
      </c>
      <c r="D510" s="1">
        <v>6.1</v>
      </c>
      <c r="E510" s="1">
        <v>0.878</v>
      </c>
      <c r="F510" s="1">
        <v>99</v>
      </c>
      <c r="G510" s="1">
        <v>80</v>
      </c>
      <c r="H510" s="1">
        <v>88</v>
      </c>
      <c r="I510" s="1"/>
      <c r="J510" s="1">
        <v>30</v>
      </c>
      <c r="K510" s="1">
        <v>12</v>
      </c>
      <c r="L510" s="1">
        <v>128</v>
      </c>
      <c r="M510" s="1">
        <v>80</v>
      </c>
      <c r="N510" s="1">
        <v>12</v>
      </c>
      <c r="O510" s="1">
        <v>113</v>
      </c>
      <c r="P510" s="1">
        <v>25</v>
      </c>
      <c r="Q510" s="1"/>
    </row>
    <row r="511" spans="1:17" ht="15.75" customHeight="1">
      <c r="A511" s="1">
        <v>2018</v>
      </c>
      <c r="B511" s="1">
        <v>47</v>
      </c>
      <c r="C511" s="1" t="s">
        <v>69</v>
      </c>
      <c r="D511" s="1">
        <v>6.0860000000000003</v>
      </c>
      <c r="E511" s="1" t="s">
        <v>425</v>
      </c>
      <c r="F511" s="1">
        <v>91</v>
      </c>
      <c r="G511" s="1">
        <v>43</v>
      </c>
      <c r="H511" s="1">
        <v>48</v>
      </c>
      <c r="I511" s="1">
        <v>52</v>
      </c>
      <c r="J511" s="1">
        <v>52</v>
      </c>
      <c r="K511" s="1">
        <v>116</v>
      </c>
      <c r="L511" s="1">
        <v>102</v>
      </c>
      <c r="M511" s="1">
        <v>38</v>
      </c>
      <c r="N511" s="1">
        <v>91</v>
      </c>
      <c r="O511" s="1">
        <v>116</v>
      </c>
      <c r="P511" s="1">
        <v>88</v>
      </c>
      <c r="Q511" s="1">
        <v>62</v>
      </c>
    </row>
    <row r="512" spans="1:17" ht="15.75" customHeight="1">
      <c r="A512" s="1">
        <v>2018</v>
      </c>
      <c r="B512" s="1">
        <v>48</v>
      </c>
      <c r="C512" s="1" t="s">
        <v>128</v>
      </c>
      <c r="D512" s="1">
        <v>6.07</v>
      </c>
      <c r="E512" s="1">
        <v>1.0369999999999999</v>
      </c>
      <c r="F512" s="1">
        <v>71</v>
      </c>
      <c r="G512" s="1">
        <v>83</v>
      </c>
      <c r="H512" s="1">
        <v>38</v>
      </c>
      <c r="I512" s="1">
        <v>62</v>
      </c>
      <c r="J512" s="1">
        <v>53</v>
      </c>
      <c r="K512" s="1">
        <v>110</v>
      </c>
      <c r="L512" s="1">
        <v>127</v>
      </c>
      <c r="M512" s="1">
        <v>77</v>
      </c>
      <c r="N512" s="1">
        <v>82</v>
      </c>
      <c r="O512" s="1">
        <v>110</v>
      </c>
      <c r="P512" s="1">
        <v>123</v>
      </c>
      <c r="Q512" s="1">
        <v>64</v>
      </c>
    </row>
    <row r="513" spans="1:17" ht="15.75" customHeight="1">
      <c r="A513" s="1">
        <v>2018</v>
      </c>
      <c r="B513" s="1">
        <v>49</v>
      </c>
      <c r="C513" s="1" t="s">
        <v>124</v>
      </c>
      <c r="D513" s="1">
        <v>6.0460000000000003</v>
      </c>
      <c r="E513" s="1" t="s">
        <v>426</v>
      </c>
      <c r="F513" s="1">
        <v>60</v>
      </c>
      <c r="G513" s="1">
        <v>78</v>
      </c>
      <c r="H513" s="1">
        <v>28</v>
      </c>
      <c r="I513" s="1">
        <v>12</v>
      </c>
      <c r="J513" s="1">
        <v>71</v>
      </c>
      <c r="K513" s="1">
        <v>35</v>
      </c>
      <c r="L513" s="1">
        <v>97</v>
      </c>
      <c r="M513" s="1">
        <v>72</v>
      </c>
      <c r="N513" s="1">
        <v>80</v>
      </c>
      <c r="O513" s="1">
        <v>35</v>
      </c>
      <c r="P513" s="1">
        <v>62</v>
      </c>
      <c r="Q513" s="1">
        <v>76</v>
      </c>
    </row>
    <row r="514" spans="1:17" ht="15.75" customHeight="1">
      <c r="A514" s="1">
        <v>2018</v>
      </c>
      <c r="B514" s="1">
        <v>50</v>
      </c>
      <c r="C514" s="1" t="s">
        <v>102</v>
      </c>
      <c r="D514" s="1">
        <v>6.0279999999999996</v>
      </c>
      <c r="E514" s="1">
        <v>0.16300000000000001</v>
      </c>
      <c r="F514" s="1">
        <v>92</v>
      </c>
      <c r="G514" s="1">
        <v>64</v>
      </c>
      <c r="H514" s="1">
        <v>82</v>
      </c>
      <c r="I514" s="1">
        <v>43</v>
      </c>
      <c r="J514" s="1">
        <v>40</v>
      </c>
      <c r="K514" s="1">
        <v>88</v>
      </c>
      <c r="L514" s="1">
        <v>87</v>
      </c>
      <c r="M514" s="1">
        <v>4</v>
      </c>
      <c r="N514" s="1">
        <v>93</v>
      </c>
      <c r="O514" s="1">
        <v>88</v>
      </c>
      <c r="P514" s="1">
        <v>70</v>
      </c>
      <c r="Q514" s="1">
        <v>69</v>
      </c>
    </row>
    <row r="515" spans="1:17" ht="15.75" customHeight="1">
      <c r="A515" s="1">
        <v>2018</v>
      </c>
      <c r="B515" s="1">
        <v>51</v>
      </c>
      <c r="C515" s="1" t="s">
        <v>88</v>
      </c>
      <c r="D515" s="1">
        <v>6.0209999999999999</v>
      </c>
      <c r="E515" s="1" t="s">
        <v>427</v>
      </c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1:17" ht="15.75" customHeight="1">
      <c r="A516" s="1">
        <v>2018</v>
      </c>
      <c r="B516" s="1">
        <v>52</v>
      </c>
      <c r="C516" s="1" t="s">
        <v>78</v>
      </c>
      <c r="D516" s="1">
        <v>6.008</v>
      </c>
      <c r="E516" s="1" t="s">
        <v>261</v>
      </c>
      <c r="F516" s="1">
        <v>55</v>
      </c>
      <c r="G516" s="1">
        <v>54</v>
      </c>
      <c r="H516" s="1">
        <v>56</v>
      </c>
      <c r="I516" s="1">
        <v>45</v>
      </c>
      <c r="J516" s="1">
        <v>24</v>
      </c>
      <c r="K516" s="1">
        <v>5</v>
      </c>
      <c r="L516" s="1">
        <v>120</v>
      </c>
      <c r="M516" s="1">
        <v>12</v>
      </c>
      <c r="N516" s="1">
        <v>22</v>
      </c>
      <c r="O516" s="1">
        <v>5</v>
      </c>
      <c r="P516" s="1">
        <v>90</v>
      </c>
      <c r="Q516" s="1">
        <v>115</v>
      </c>
    </row>
    <row r="517" spans="1:17" ht="15.75" customHeight="1">
      <c r="A517" s="1">
        <v>2018</v>
      </c>
      <c r="B517" s="1">
        <v>53</v>
      </c>
      <c r="C517" s="1" t="s">
        <v>123</v>
      </c>
      <c r="D517" s="1">
        <v>5.94</v>
      </c>
      <c r="E517" s="1">
        <v>0.89400000000000002</v>
      </c>
      <c r="F517" s="1">
        <v>25</v>
      </c>
      <c r="G517" s="1">
        <v>29</v>
      </c>
      <c r="H517" s="1">
        <v>39</v>
      </c>
      <c r="I517" s="1">
        <v>64</v>
      </c>
      <c r="J517" s="1">
        <v>127</v>
      </c>
      <c r="K517" s="1">
        <v>106</v>
      </c>
      <c r="L517" s="1">
        <v>70</v>
      </c>
      <c r="M517" s="1">
        <v>125</v>
      </c>
      <c r="N517" s="1">
        <v>20</v>
      </c>
      <c r="O517" s="1">
        <v>106</v>
      </c>
      <c r="P517" s="1">
        <v>134</v>
      </c>
      <c r="Q517" s="1">
        <v>136</v>
      </c>
    </row>
    <row r="518" spans="1:17" ht="15.75" customHeight="1">
      <c r="A518" s="1">
        <v>2018</v>
      </c>
      <c r="B518" s="3">
        <v>54</v>
      </c>
      <c r="C518" s="8" t="s">
        <v>428</v>
      </c>
      <c r="D518" s="5">
        <v>5.8949999999999996</v>
      </c>
      <c r="E518" s="9" t="s">
        <v>429</v>
      </c>
      <c r="F518" s="6">
        <v>50</v>
      </c>
      <c r="G518" s="6">
        <v>89</v>
      </c>
      <c r="H518" s="6">
        <v>26</v>
      </c>
      <c r="I518" s="7">
        <v>3</v>
      </c>
      <c r="J518" s="6">
        <v>130</v>
      </c>
      <c r="K518" s="6">
        <v>46</v>
      </c>
      <c r="L518" s="6">
        <v>68</v>
      </c>
      <c r="M518" s="6">
        <v>104</v>
      </c>
      <c r="N518" s="6">
        <v>36</v>
      </c>
      <c r="O518" s="6">
        <v>46</v>
      </c>
      <c r="P518" s="6">
        <v>92</v>
      </c>
      <c r="Q518" s="6">
        <v>131</v>
      </c>
    </row>
    <row r="519" spans="1:17" ht="15.75" customHeight="1">
      <c r="A519" s="1">
        <v>2018</v>
      </c>
      <c r="B519" s="3">
        <v>55</v>
      </c>
      <c r="C519" s="8" t="s">
        <v>430</v>
      </c>
      <c r="D519" s="5">
        <v>5.8929999999999998</v>
      </c>
      <c r="E519" s="6">
        <v>0.46700000000000003</v>
      </c>
      <c r="F519" s="6">
        <v>29</v>
      </c>
      <c r="G519" s="6">
        <v>13</v>
      </c>
      <c r="H519" s="6">
        <v>32</v>
      </c>
      <c r="I519" s="10">
        <v>38</v>
      </c>
      <c r="J519" s="6">
        <v>31</v>
      </c>
      <c r="K519" s="6">
        <v>69</v>
      </c>
      <c r="L519" s="6">
        <v>24</v>
      </c>
      <c r="M519" s="6">
        <v>40</v>
      </c>
      <c r="N519" s="6">
        <v>6</v>
      </c>
      <c r="O519" s="6">
        <v>69</v>
      </c>
      <c r="P519" s="6">
        <v>85</v>
      </c>
      <c r="Q519" s="6">
        <v>111</v>
      </c>
    </row>
    <row r="520" spans="1:17" ht="15.75" customHeight="1">
      <c r="A520" s="1">
        <v>2018</v>
      </c>
      <c r="B520" s="1">
        <v>56</v>
      </c>
      <c r="C520" s="1" t="s">
        <v>130</v>
      </c>
      <c r="D520" s="1">
        <v>5.89</v>
      </c>
      <c r="E520" s="1">
        <v>0.51600000000000001</v>
      </c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1:17" ht="15.75" customHeight="1">
      <c r="A521" s="1">
        <v>2018</v>
      </c>
      <c r="B521" s="1">
        <v>57</v>
      </c>
      <c r="C521" s="1" t="s">
        <v>121</v>
      </c>
      <c r="D521" s="1">
        <v>5.8879999999999999</v>
      </c>
      <c r="E521" s="1">
        <v>0.41099999999999998</v>
      </c>
      <c r="F521" s="1">
        <v>98</v>
      </c>
      <c r="G521" s="1">
        <v>35</v>
      </c>
      <c r="H521" s="1">
        <v>51</v>
      </c>
      <c r="I521" s="1">
        <v>75</v>
      </c>
      <c r="J521" s="1">
        <v>41</v>
      </c>
      <c r="K521" s="1">
        <v>54</v>
      </c>
      <c r="L521" s="1">
        <v>62</v>
      </c>
      <c r="M521" s="1">
        <v>53</v>
      </c>
      <c r="N521" s="1">
        <v>3</v>
      </c>
      <c r="O521" s="1">
        <v>54</v>
      </c>
      <c r="P521" s="1">
        <v>40</v>
      </c>
      <c r="Q521" s="1">
        <v>110</v>
      </c>
    </row>
    <row r="522" spans="1:17" ht="15.75" customHeight="1">
      <c r="A522" s="1">
        <v>2018</v>
      </c>
      <c r="B522" s="1">
        <v>58</v>
      </c>
      <c r="C522" s="1" t="s">
        <v>104</v>
      </c>
      <c r="D522" s="1">
        <v>5.8860000000000001</v>
      </c>
      <c r="E522" s="1" t="s">
        <v>260</v>
      </c>
      <c r="F522" s="1">
        <v>38</v>
      </c>
      <c r="G522" s="1">
        <v>50</v>
      </c>
      <c r="H522" s="1">
        <v>27</v>
      </c>
      <c r="I522" s="1">
        <v>2</v>
      </c>
      <c r="J522" s="1">
        <v>79</v>
      </c>
      <c r="K522" s="1">
        <v>118</v>
      </c>
      <c r="L522" s="1">
        <v>32</v>
      </c>
      <c r="M522" s="1">
        <v>78</v>
      </c>
      <c r="N522" s="1">
        <v>12</v>
      </c>
      <c r="O522" s="1">
        <v>118</v>
      </c>
      <c r="P522" s="1">
        <v>107</v>
      </c>
      <c r="Q522" s="1">
        <v>140</v>
      </c>
    </row>
    <row r="523" spans="1:17" ht="15.75" customHeight="1">
      <c r="A523" s="1">
        <v>2018</v>
      </c>
      <c r="B523" s="1">
        <v>59</v>
      </c>
      <c r="C523" s="1" t="s">
        <v>167</v>
      </c>
      <c r="D523" s="1">
        <v>5.86</v>
      </c>
      <c r="E523" s="1">
        <v>0.71799999999999997</v>
      </c>
      <c r="F523" s="1">
        <v>133</v>
      </c>
      <c r="G523" s="1">
        <v>77</v>
      </c>
      <c r="H523" s="1">
        <v>104</v>
      </c>
      <c r="I523" s="1">
        <v>91</v>
      </c>
      <c r="J523" s="1">
        <v>38</v>
      </c>
      <c r="K523" s="1">
        <v>38</v>
      </c>
      <c r="L523" s="1">
        <v>73</v>
      </c>
      <c r="M523" s="1">
        <v>3</v>
      </c>
      <c r="N523" s="1">
        <v>71</v>
      </c>
      <c r="O523" s="1">
        <v>38</v>
      </c>
      <c r="P523" s="1">
        <v>21</v>
      </c>
      <c r="Q523" s="1">
        <v>36</v>
      </c>
    </row>
    <row r="524" spans="1:17" ht="15.75" customHeight="1">
      <c r="A524" s="1">
        <v>2018</v>
      </c>
      <c r="B524" s="1">
        <v>60</v>
      </c>
      <c r="C524" s="1" t="s">
        <v>106</v>
      </c>
      <c r="D524" s="1">
        <v>5.8090000000000002</v>
      </c>
      <c r="E524" s="1">
        <v>0.13800000000000001</v>
      </c>
      <c r="F524" s="1">
        <v>36</v>
      </c>
      <c r="G524" s="1">
        <v>12</v>
      </c>
      <c r="H524" s="1">
        <v>43</v>
      </c>
      <c r="I524" s="1">
        <v>77</v>
      </c>
      <c r="J524" s="1">
        <v>54</v>
      </c>
      <c r="K524" s="1">
        <v>60</v>
      </c>
      <c r="L524" s="1">
        <v>85</v>
      </c>
      <c r="M524" s="1">
        <v>95</v>
      </c>
      <c r="N524" s="1">
        <v>5</v>
      </c>
      <c r="O524" s="1">
        <v>60</v>
      </c>
      <c r="P524" s="1">
        <v>126</v>
      </c>
      <c r="Q524" s="1">
        <v>127</v>
      </c>
    </row>
    <row r="525" spans="1:17" ht="15.75" customHeight="1">
      <c r="A525" s="1">
        <v>2018</v>
      </c>
      <c r="B525" s="1">
        <v>61</v>
      </c>
      <c r="C525" s="1" t="s">
        <v>112</v>
      </c>
      <c r="D525" s="1">
        <v>5.7789999999999999</v>
      </c>
      <c r="E525" s="1" t="s">
        <v>289</v>
      </c>
      <c r="F525" s="1">
        <v>72</v>
      </c>
      <c r="G525" s="1">
        <v>76</v>
      </c>
      <c r="H525" s="1">
        <v>91</v>
      </c>
      <c r="I525" s="1">
        <v>82</v>
      </c>
      <c r="J525" s="1">
        <v>44</v>
      </c>
      <c r="K525" s="1">
        <v>94</v>
      </c>
      <c r="L525" s="1">
        <v>63</v>
      </c>
      <c r="M525" s="1">
        <v>55</v>
      </c>
      <c r="N525" s="1">
        <v>117</v>
      </c>
      <c r="O525" s="1">
        <v>94</v>
      </c>
      <c r="P525" s="1">
        <v>65</v>
      </c>
      <c r="Q525" s="1">
        <v>84</v>
      </c>
    </row>
    <row r="526" spans="1:17" ht="15.75" customHeight="1">
      <c r="A526" s="1">
        <v>2018</v>
      </c>
      <c r="B526" s="1">
        <v>62</v>
      </c>
      <c r="C526" s="1" t="s">
        <v>151</v>
      </c>
      <c r="D526" s="1">
        <v>5.758</v>
      </c>
      <c r="E526" s="1">
        <v>0.98299999999999998</v>
      </c>
      <c r="F526" s="1">
        <v>32</v>
      </c>
      <c r="G526" s="1">
        <v>8</v>
      </c>
      <c r="H526" s="1">
        <v>37</v>
      </c>
      <c r="I526" s="1">
        <v>57</v>
      </c>
      <c r="J526" s="1">
        <v>112</v>
      </c>
      <c r="K526" s="1">
        <v>122</v>
      </c>
      <c r="L526" s="1">
        <v>125</v>
      </c>
      <c r="M526" s="1">
        <v>99</v>
      </c>
      <c r="N526" s="1">
        <v>25</v>
      </c>
      <c r="O526" s="1">
        <v>122</v>
      </c>
      <c r="P526" s="1">
        <v>140</v>
      </c>
      <c r="Q526" s="1">
        <v>133</v>
      </c>
    </row>
    <row r="527" spans="1:17" ht="15.75" customHeight="1">
      <c r="A527" s="1">
        <v>2018</v>
      </c>
      <c r="B527" s="1">
        <v>63</v>
      </c>
      <c r="C527" s="1" t="s">
        <v>126</v>
      </c>
      <c r="D527" s="1">
        <v>5.7430000000000003</v>
      </c>
      <c r="E527" s="1" t="s">
        <v>431</v>
      </c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1:17" ht="15.75" customHeight="1">
      <c r="A528" s="1">
        <v>2018</v>
      </c>
      <c r="B528" s="1">
        <v>65</v>
      </c>
      <c r="C528" s="1" t="s">
        <v>118</v>
      </c>
      <c r="D528" s="1">
        <v>5.6970000000000001</v>
      </c>
      <c r="E528" s="1" t="s">
        <v>432</v>
      </c>
      <c r="F528" s="1">
        <v>112</v>
      </c>
      <c r="G528" s="1">
        <v>69</v>
      </c>
      <c r="H528" s="1">
        <v>71</v>
      </c>
      <c r="I528" s="1">
        <v>31</v>
      </c>
      <c r="J528" s="1">
        <v>56</v>
      </c>
      <c r="K528" s="1">
        <v>120</v>
      </c>
      <c r="L528" s="1">
        <v>119</v>
      </c>
      <c r="M528" s="1">
        <v>11</v>
      </c>
      <c r="N528" s="1">
        <v>114</v>
      </c>
      <c r="O528" s="1">
        <v>120</v>
      </c>
      <c r="P528" s="1">
        <v>67</v>
      </c>
      <c r="Q528" s="1">
        <v>68</v>
      </c>
    </row>
    <row r="529" spans="1:17" ht="15.75" customHeight="1">
      <c r="A529" s="1">
        <v>2018</v>
      </c>
      <c r="B529" s="1">
        <v>66</v>
      </c>
      <c r="C529" s="1" t="s">
        <v>155</v>
      </c>
      <c r="D529" s="1">
        <v>5.6929999999999996</v>
      </c>
      <c r="E529" s="1">
        <v>0.59199999999999997</v>
      </c>
      <c r="F529" s="1">
        <v>68</v>
      </c>
      <c r="G529" s="1">
        <v>48</v>
      </c>
      <c r="H529" s="1">
        <v>33</v>
      </c>
      <c r="I529" s="1">
        <v>23</v>
      </c>
      <c r="J529" s="1">
        <v>34</v>
      </c>
      <c r="K529" s="1">
        <v>127</v>
      </c>
      <c r="L529" s="1">
        <v>112</v>
      </c>
      <c r="M529" s="1">
        <v>79</v>
      </c>
      <c r="N529" s="1">
        <v>89</v>
      </c>
      <c r="O529" s="1">
        <v>127</v>
      </c>
      <c r="P529" s="1">
        <v>104</v>
      </c>
      <c r="Q529" s="1">
        <v>102</v>
      </c>
    </row>
    <row r="530" spans="1:17" ht="15.75" customHeight="1">
      <c r="A530" s="1">
        <v>2018</v>
      </c>
      <c r="B530" s="1">
        <v>67</v>
      </c>
      <c r="C530" s="1" t="s">
        <v>152</v>
      </c>
      <c r="D530" s="1">
        <v>5.6529999999999996</v>
      </c>
      <c r="E530" s="1">
        <v>0.36099999999999999</v>
      </c>
      <c r="F530" s="1">
        <v>84</v>
      </c>
      <c r="G530" s="1">
        <v>117</v>
      </c>
      <c r="H530" s="1">
        <v>111</v>
      </c>
      <c r="I530" s="1">
        <v>107</v>
      </c>
      <c r="J530" s="1">
        <v>81</v>
      </c>
      <c r="K530" s="1">
        <v>44</v>
      </c>
      <c r="L530" s="1">
        <v>69</v>
      </c>
      <c r="M530" s="1">
        <v>131</v>
      </c>
      <c r="N530" s="1">
        <v>112</v>
      </c>
      <c r="O530" s="1">
        <v>44</v>
      </c>
      <c r="P530" s="1">
        <v>119</v>
      </c>
      <c r="Q530" s="1">
        <v>86</v>
      </c>
    </row>
    <row r="531" spans="1:17" ht="15.75" customHeight="1">
      <c r="A531" s="1">
        <v>2018</v>
      </c>
      <c r="B531" s="1">
        <v>68</v>
      </c>
      <c r="C531" s="1" t="s">
        <v>108</v>
      </c>
      <c r="D531" s="1">
        <v>5.6479999999999997</v>
      </c>
      <c r="E531" s="1">
        <v>0.184</v>
      </c>
      <c r="F531" s="1">
        <v>70</v>
      </c>
      <c r="G531" s="1">
        <v>36</v>
      </c>
      <c r="H531" s="1">
        <v>34</v>
      </c>
      <c r="I531" s="1">
        <v>84</v>
      </c>
      <c r="J531" s="1">
        <v>97</v>
      </c>
      <c r="K531" s="1">
        <v>81</v>
      </c>
      <c r="L531" s="1">
        <v>108</v>
      </c>
      <c r="M531" s="1">
        <v>91</v>
      </c>
      <c r="N531" s="1">
        <v>23</v>
      </c>
      <c r="O531" s="1">
        <v>81</v>
      </c>
      <c r="P531" s="1">
        <v>106</v>
      </c>
      <c r="Q531" s="1">
        <v>94</v>
      </c>
    </row>
    <row r="532" spans="1:17" ht="15.75" customHeight="1">
      <c r="A532" s="1">
        <v>2018</v>
      </c>
      <c r="B532" s="1">
        <v>69</v>
      </c>
      <c r="C532" s="1" t="s">
        <v>141</v>
      </c>
      <c r="D532" s="1">
        <v>5.6310000000000002</v>
      </c>
      <c r="E532" s="1">
        <v>0.64600000000000002</v>
      </c>
      <c r="F532" s="1">
        <v>113</v>
      </c>
      <c r="G532" s="1">
        <v>68</v>
      </c>
      <c r="H532" s="1">
        <v>94</v>
      </c>
      <c r="I532" s="1">
        <v>93</v>
      </c>
      <c r="J532" s="1">
        <v>17</v>
      </c>
      <c r="K532" s="1">
        <v>99</v>
      </c>
      <c r="L532" s="1">
        <v>44</v>
      </c>
      <c r="M532" s="1">
        <v>23</v>
      </c>
      <c r="N532" s="1">
        <v>119</v>
      </c>
      <c r="O532" s="1">
        <v>99</v>
      </c>
      <c r="P532" s="1">
        <v>16</v>
      </c>
      <c r="Q532" s="1">
        <v>42</v>
      </c>
    </row>
    <row r="533" spans="1:17" ht="15.75" customHeight="1">
      <c r="A533" s="1">
        <v>2018</v>
      </c>
      <c r="B533" s="1">
        <v>70</v>
      </c>
      <c r="C533" s="1" t="s">
        <v>145</v>
      </c>
      <c r="D533" s="1">
        <v>5.6029999999999998</v>
      </c>
      <c r="E533" s="1">
        <v>0.79</v>
      </c>
      <c r="F533" s="1">
        <v>77</v>
      </c>
      <c r="G533" s="1">
        <v>63</v>
      </c>
      <c r="H533" s="1">
        <v>59</v>
      </c>
      <c r="I533" s="1">
        <v>53</v>
      </c>
      <c r="J533" s="1">
        <v>94</v>
      </c>
      <c r="K533" s="1">
        <v>74</v>
      </c>
      <c r="L533" s="1">
        <v>107</v>
      </c>
      <c r="M533" s="1">
        <v>123</v>
      </c>
      <c r="N533" s="1">
        <v>79</v>
      </c>
      <c r="O533" s="1">
        <v>74</v>
      </c>
      <c r="P533" s="1">
        <v>124</v>
      </c>
      <c r="Q533" s="1">
        <v>121</v>
      </c>
    </row>
    <row r="534" spans="1:17" ht="15.75" customHeight="1">
      <c r="A534" s="1">
        <v>2018</v>
      </c>
      <c r="B534" s="1">
        <v>71</v>
      </c>
      <c r="C534" s="1" t="s">
        <v>285</v>
      </c>
      <c r="D534" s="1">
        <v>5.5289999999999999</v>
      </c>
      <c r="E534" s="1" t="s">
        <v>212</v>
      </c>
      <c r="F534" s="1">
        <v>48</v>
      </c>
      <c r="G534" s="1">
        <v>46</v>
      </c>
      <c r="H534" s="1">
        <v>83</v>
      </c>
      <c r="I534" s="1">
        <v>76</v>
      </c>
      <c r="J534" s="1">
        <v>59</v>
      </c>
      <c r="K534" s="1">
        <v>78</v>
      </c>
      <c r="L534" s="1">
        <v>131</v>
      </c>
      <c r="M534" s="1">
        <v>102</v>
      </c>
      <c r="N534" s="1">
        <v>59</v>
      </c>
      <c r="O534" s="1">
        <v>78</v>
      </c>
      <c r="P534" s="1">
        <v>115</v>
      </c>
      <c r="Q534" s="1">
        <v>66</v>
      </c>
    </row>
    <row r="535" spans="1:17" ht="15.75" customHeight="1">
      <c r="A535" s="1">
        <v>2018</v>
      </c>
      <c r="B535" s="1">
        <v>72</v>
      </c>
      <c r="C535" s="1" t="s">
        <v>122</v>
      </c>
      <c r="D535" s="1">
        <v>5.5250000000000004</v>
      </c>
      <c r="E535" s="1">
        <v>0.185</v>
      </c>
      <c r="F535" s="1">
        <v>90</v>
      </c>
      <c r="G535" s="1">
        <v>79</v>
      </c>
      <c r="H535" s="1">
        <v>68</v>
      </c>
      <c r="I535" s="1">
        <v>83</v>
      </c>
      <c r="J535" s="1">
        <v>77</v>
      </c>
      <c r="K535" s="1">
        <v>80</v>
      </c>
      <c r="L535" s="1">
        <v>28</v>
      </c>
      <c r="M535" s="1">
        <v>84</v>
      </c>
      <c r="N535" s="1">
        <v>121</v>
      </c>
      <c r="O535" s="1">
        <v>80</v>
      </c>
      <c r="P535" s="1">
        <v>69</v>
      </c>
      <c r="Q535" s="1">
        <v>4</v>
      </c>
    </row>
    <row r="536" spans="1:17" ht="15.75" customHeight="1">
      <c r="A536" s="1">
        <v>2018</v>
      </c>
      <c r="B536" s="1">
        <v>73</v>
      </c>
      <c r="C536" s="1" t="s">
        <v>147</v>
      </c>
      <c r="D536" s="1">
        <v>5.5229999999999997</v>
      </c>
      <c r="E536" s="1">
        <v>0.224</v>
      </c>
      <c r="F536" s="1">
        <v>79</v>
      </c>
      <c r="G536" s="1">
        <v>61</v>
      </c>
      <c r="H536" s="1">
        <v>52</v>
      </c>
      <c r="I536" s="1">
        <v>40</v>
      </c>
      <c r="J536" s="1">
        <v>124</v>
      </c>
      <c r="K536" s="1">
        <v>49</v>
      </c>
      <c r="L536" s="1">
        <v>57</v>
      </c>
      <c r="M536" s="1">
        <v>121</v>
      </c>
      <c r="N536" s="1">
        <v>100</v>
      </c>
      <c r="O536" s="1">
        <v>49</v>
      </c>
      <c r="P536" s="1">
        <v>114</v>
      </c>
      <c r="Q536" s="1">
        <v>93</v>
      </c>
    </row>
    <row r="537" spans="1:17" ht="15.75" customHeight="1">
      <c r="A537" s="1">
        <v>2018</v>
      </c>
      <c r="B537" s="1">
        <v>74</v>
      </c>
      <c r="C537" s="1" t="s">
        <v>162</v>
      </c>
      <c r="D537" s="1">
        <v>5.4669999999999996</v>
      </c>
      <c r="E537" s="1">
        <v>1.087</v>
      </c>
      <c r="F537" s="1">
        <v>42</v>
      </c>
      <c r="G537" s="1">
        <v>53</v>
      </c>
      <c r="H537" s="1">
        <v>120</v>
      </c>
      <c r="I537" s="1">
        <v>71</v>
      </c>
      <c r="J537" s="1">
        <v>112</v>
      </c>
      <c r="K537" s="1">
        <v>19</v>
      </c>
      <c r="L537" s="1">
        <v>85</v>
      </c>
      <c r="M537" s="1">
        <v>37</v>
      </c>
      <c r="N537" s="1">
        <v>112</v>
      </c>
      <c r="O537" s="1">
        <v>8</v>
      </c>
      <c r="P537" s="1">
        <v>30</v>
      </c>
      <c r="Q537" s="1"/>
    </row>
    <row r="538" spans="1:17" ht="15.75" customHeight="1">
      <c r="A538" s="1">
        <v>2018</v>
      </c>
      <c r="B538" s="3">
        <v>75</v>
      </c>
      <c r="C538" s="8" t="s">
        <v>433</v>
      </c>
      <c r="D538" s="5">
        <v>5.4320000000000004</v>
      </c>
      <c r="E538" s="9" t="s">
        <v>434</v>
      </c>
      <c r="F538" s="6">
        <v>24</v>
      </c>
      <c r="G538" s="6">
        <v>33</v>
      </c>
      <c r="H538" s="6">
        <v>40</v>
      </c>
      <c r="I538" s="7">
        <v>36</v>
      </c>
      <c r="J538" s="6">
        <v>113</v>
      </c>
      <c r="K538" s="6">
        <v>82</v>
      </c>
      <c r="L538" s="6">
        <v>129</v>
      </c>
      <c r="M538" s="6">
        <v>128</v>
      </c>
      <c r="N538" s="6">
        <v>73</v>
      </c>
      <c r="O538" s="6">
        <v>82</v>
      </c>
      <c r="P538" s="6">
        <v>121</v>
      </c>
      <c r="Q538" s="6">
        <v>126</v>
      </c>
    </row>
    <row r="539" spans="1:17" ht="15.75" customHeight="1">
      <c r="A539" s="1">
        <v>2018</v>
      </c>
      <c r="B539" s="1">
        <v>76</v>
      </c>
      <c r="C539" s="1" t="s">
        <v>132</v>
      </c>
      <c r="D539" s="1">
        <v>5.43</v>
      </c>
      <c r="E539" s="1" t="s">
        <v>366</v>
      </c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1:17" ht="15.75" customHeight="1">
      <c r="A540" s="1">
        <v>2018</v>
      </c>
      <c r="B540" s="1">
        <v>77</v>
      </c>
      <c r="C540" s="1" t="s">
        <v>149</v>
      </c>
      <c r="D540" s="1">
        <v>5.4249999999999998</v>
      </c>
      <c r="E540" s="1">
        <v>0.46200000000000002</v>
      </c>
      <c r="F540" s="1">
        <v>139</v>
      </c>
      <c r="G540" s="1">
        <v>59</v>
      </c>
      <c r="H540" s="1">
        <v>58</v>
      </c>
      <c r="I540" s="1">
        <v>78</v>
      </c>
      <c r="J540" s="1">
        <v>42</v>
      </c>
      <c r="K540" s="1">
        <v>97</v>
      </c>
      <c r="L540" s="1">
        <v>52</v>
      </c>
      <c r="M540" s="1">
        <v>48</v>
      </c>
      <c r="N540" s="1">
        <v>74</v>
      </c>
      <c r="O540" s="1">
        <v>97</v>
      </c>
      <c r="P540" s="1">
        <v>29</v>
      </c>
      <c r="Q540" s="1">
        <v>49</v>
      </c>
    </row>
    <row r="541" spans="1:17" ht="15.75" customHeight="1">
      <c r="A541" s="1">
        <v>2018</v>
      </c>
      <c r="B541" s="1">
        <v>78</v>
      </c>
      <c r="C541" s="1" t="s">
        <v>146</v>
      </c>
      <c r="D541" s="1">
        <v>5.3860000000000001</v>
      </c>
      <c r="E541" s="1">
        <v>0.57299999999999995</v>
      </c>
      <c r="F541" s="1">
        <v>45</v>
      </c>
      <c r="G541" s="1">
        <v>72</v>
      </c>
      <c r="H541" s="1">
        <v>69</v>
      </c>
      <c r="I541" s="1">
        <v>47</v>
      </c>
      <c r="J541" s="1">
        <v>116</v>
      </c>
      <c r="K541" s="1">
        <v>28</v>
      </c>
      <c r="L541" s="1">
        <v>126</v>
      </c>
      <c r="M541" s="1">
        <v>107</v>
      </c>
      <c r="N541" s="1">
        <v>66</v>
      </c>
      <c r="O541" s="1">
        <v>28</v>
      </c>
      <c r="P541" s="1">
        <v>116</v>
      </c>
      <c r="Q541" s="1">
        <v>90</v>
      </c>
    </row>
    <row r="542" spans="1:17" ht="15.75" customHeight="1">
      <c r="A542" s="1">
        <v>2018</v>
      </c>
      <c r="B542" s="1">
        <v>79</v>
      </c>
      <c r="C542" s="1" t="s">
        <v>136</v>
      </c>
      <c r="D542" s="1">
        <v>5.3730000000000002</v>
      </c>
      <c r="E542" s="1">
        <v>2.8000000000000001E-2</v>
      </c>
      <c r="F542" s="1">
        <v>62</v>
      </c>
      <c r="G542" s="1">
        <v>67</v>
      </c>
      <c r="H542" s="1">
        <v>47</v>
      </c>
      <c r="I542" s="1">
        <v>48</v>
      </c>
      <c r="J542" s="1">
        <v>138</v>
      </c>
      <c r="K542" s="1">
        <v>93</v>
      </c>
      <c r="L542" s="1">
        <v>75</v>
      </c>
      <c r="M542" s="1">
        <v>139</v>
      </c>
      <c r="N542" s="1">
        <v>98</v>
      </c>
      <c r="O542" s="1">
        <v>93</v>
      </c>
      <c r="P542" s="1">
        <v>120</v>
      </c>
      <c r="Q542" s="1">
        <v>48</v>
      </c>
    </row>
    <row r="543" spans="1:17" ht="15.75" customHeight="1">
      <c r="A543" s="1">
        <v>2018</v>
      </c>
      <c r="B543" s="1">
        <v>80</v>
      </c>
      <c r="C543" s="1" t="s">
        <v>97</v>
      </c>
      <c r="D543" s="1">
        <v>5.3390000000000004</v>
      </c>
      <c r="E543" s="1" t="s">
        <v>302</v>
      </c>
      <c r="F543" s="1">
        <v>16</v>
      </c>
      <c r="G543" s="1">
        <v>94</v>
      </c>
      <c r="H543" s="1">
        <v>44</v>
      </c>
      <c r="I543" s="1">
        <v>67</v>
      </c>
      <c r="J543" s="1">
        <v>37</v>
      </c>
      <c r="K543" s="1">
        <v>21</v>
      </c>
      <c r="L543" s="1">
        <v>117</v>
      </c>
      <c r="M543" s="1">
        <v>50</v>
      </c>
      <c r="N543" s="1">
        <v>24</v>
      </c>
      <c r="O543" s="1">
        <v>21</v>
      </c>
      <c r="P543" s="1">
        <v>43</v>
      </c>
      <c r="Q543" s="1">
        <v>26</v>
      </c>
    </row>
    <row r="544" spans="1:17" ht="15.75" customHeight="1">
      <c r="A544" s="1">
        <v>2018</v>
      </c>
      <c r="B544" s="1">
        <v>81</v>
      </c>
      <c r="C544" s="1" t="s">
        <v>115</v>
      </c>
      <c r="D544" s="1">
        <v>5.3230000000000004</v>
      </c>
      <c r="E544" s="1" t="s">
        <v>435</v>
      </c>
      <c r="F544" s="1">
        <v>21</v>
      </c>
      <c r="G544" s="1">
        <v>37</v>
      </c>
      <c r="H544" s="1">
        <v>50</v>
      </c>
      <c r="I544" s="1">
        <v>69</v>
      </c>
      <c r="J544" s="1">
        <v>122</v>
      </c>
      <c r="K544" s="1">
        <v>104</v>
      </c>
      <c r="L544" s="1">
        <v>41</v>
      </c>
      <c r="M544" s="1">
        <v>136</v>
      </c>
      <c r="N544" s="1">
        <v>43</v>
      </c>
      <c r="O544" s="1">
        <v>104</v>
      </c>
      <c r="P544" s="1">
        <v>99</v>
      </c>
      <c r="Q544" s="1">
        <v>135</v>
      </c>
    </row>
    <row r="545" spans="1:17" ht="15.75" customHeight="1">
      <c r="A545" s="1">
        <v>2018</v>
      </c>
      <c r="B545" s="1">
        <v>82</v>
      </c>
      <c r="C545" s="1" t="s">
        <v>160</v>
      </c>
      <c r="D545" s="1">
        <v>5.2869999999999999</v>
      </c>
      <c r="E545" s="1" t="s">
        <v>436</v>
      </c>
      <c r="F545" s="1">
        <v>51</v>
      </c>
      <c r="G545" s="1">
        <v>92</v>
      </c>
      <c r="H545" s="1">
        <v>41</v>
      </c>
      <c r="I545" s="1">
        <v>21</v>
      </c>
      <c r="J545" s="1">
        <v>134</v>
      </c>
      <c r="K545" s="1">
        <v>141</v>
      </c>
      <c r="L545" s="1">
        <v>106</v>
      </c>
      <c r="M545" s="1">
        <v>109</v>
      </c>
      <c r="N545" s="1">
        <v>53</v>
      </c>
      <c r="O545" s="1">
        <v>141</v>
      </c>
      <c r="P545" s="1">
        <v>132</v>
      </c>
      <c r="Q545" s="1">
        <v>112</v>
      </c>
    </row>
    <row r="546" spans="1:17" ht="15.75" customHeight="1">
      <c r="A546" s="1">
        <v>2018</v>
      </c>
      <c r="B546" s="1">
        <v>83</v>
      </c>
      <c r="C546" s="1" t="s">
        <v>163</v>
      </c>
      <c r="D546" s="1">
        <v>5.2850000000000001</v>
      </c>
      <c r="E546" s="1">
        <v>0.45100000000000001</v>
      </c>
      <c r="F546" s="1">
        <v>46</v>
      </c>
      <c r="G546" s="1">
        <v>6</v>
      </c>
      <c r="H546" s="1">
        <v>73</v>
      </c>
      <c r="I546" s="1">
        <v>92</v>
      </c>
      <c r="J546" s="1">
        <v>111</v>
      </c>
      <c r="K546" s="1">
        <v>37</v>
      </c>
      <c r="L546" s="1">
        <v>98</v>
      </c>
      <c r="M546" s="1">
        <v>124</v>
      </c>
      <c r="N546" s="1">
        <v>21</v>
      </c>
      <c r="O546" s="1">
        <v>37</v>
      </c>
      <c r="P546" s="1">
        <v>20</v>
      </c>
      <c r="Q546" s="1">
        <v>107</v>
      </c>
    </row>
    <row r="547" spans="1:17" ht="15.75" customHeight="1">
      <c r="A547" s="1">
        <v>2018</v>
      </c>
      <c r="B547" s="1">
        <v>84</v>
      </c>
      <c r="C547" s="1" t="s">
        <v>156</v>
      </c>
      <c r="D547" s="1">
        <v>5.274</v>
      </c>
      <c r="E547" s="1">
        <v>0.7</v>
      </c>
      <c r="F547" s="1">
        <v>63</v>
      </c>
      <c r="G547" s="1">
        <v>66</v>
      </c>
      <c r="H547" s="1">
        <v>57</v>
      </c>
      <c r="I547" s="1">
        <v>51</v>
      </c>
      <c r="J547" s="1">
        <v>91</v>
      </c>
      <c r="K547" s="1">
        <v>52</v>
      </c>
      <c r="L547" s="1">
        <v>123</v>
      </c>
      <c r="M547" s="1">
        <v>127</v>
      </c>
      <c r="N547" s="1">
        <v>81</v>
      </c>
      <c r="O547" s="1">
        <v>52</v>
      </c>
      <c r="P547" s="1">
        <v>137</v>
      </c>
      <c r="Q547" s="1">
        <v>125</v>
      </c>
    </row>
    <row r="548" spans="1:17" ht="15.75" customHeight="1">
      <c r="A548" s="1">
        <v>2018</v>
      </c>
      <c r="B548" s="1">
        <v>85</v>
      </c>
      <c r="C548" s="1" t="s">
        <v>165</v>
      </c>
      <c r="D548" s="1">
        <v>5.2649999999999997</v>
      </c>
      <c r="E548" s="1">
        <v>1.7000000000000001E-2</v>
      </c>
      <c r="F548" s="1">
        <v>106</v>
      </c>
      <c r="G548" s="1">
        <v>105</v>
      </c>
      <c r="H548" s="1">
        <v>110</v>
      </c>
      <c r="I548" s="1">
        <v>124</v>
      </c>
      <c r="J548" s="1">
        <v>75</v>
      </c>
      <c r="K548" s="1">
        <v>71</v>
      </c>
      <c r="L548" s="1">
        <v>109</v>
      </c>
      <c r="M548" s="1">
        <v>19</v>
      </c>
      <c r="N548" s="1">
        <v>54</v>
      </c>
      <c r="O548" s="1">
        <v>71</v>
      </c>
      <c r="P548" s="1">
        <v>34</v>
      </c>
      <c r="Q548" s="1">
        <v>3</v>
      </c>
    </row>
    <row r="549" spans="1:17" ht="15.75" customHeight="1">
      <c r="A549" s="1">
        <v>2018</v>
      </c>
      <c r="B549" s="1">
        <v>86</v>
      </c>
      <c r="C549" s="1" t="s">
        <v>144</v>
      </c>
      <c r="D549" s="1">
        <v>5.2610000000000001</v>
      </c>
      <c r="E549" s="1">
        <v>0.219</v>
      </c>
      <c r="F549" s="1">
        <v>37</v>
      </c>
      <c r="G549" s="1">
        <v>44</v>
      </c>
      <c r="H549" s="1">
        <v>108</v>
      </c>
      <c r="I549" s="1">
        <v>73</v>
      </c>
      <c r="J549" s="1">
        <v>6</v>
      </c>
      <c r="K549" s="1">
        <v>20</v>
      </c>
      <c r="L549" s="1">
        <v>122</v>
      </c>
      <c r="M549" s="1">
        <v>90</v>
      </c>
      <c r="N549" s="1">
        <v>27</v>
      </c>
      <c r="O549" s="1">
        <v>20</v>
      </c>
      <c r="P549" s="1">
        <v>83</v>
      </c>
      <c r="Q549" s="1">
        <v>47</v>
      </c>
    </row>
    <row r="550" spans="1:17" ht="15.75" customHeight="1">
      <c r="A550" s="1">
        <v>2018</v>
      </c>
      <c r="B550" s="1">
        <v>87</v>
      </c>
      <c r="C550" s="1" t="s">
        <v>120</v>
      </c>
      <c r="D550" s="1">
        <v>5.2469999999999999</v>
      </c>
      <c r="E550" s="1" t="s">
        <v>437</v>
      </c>
      <c r="F550" s="1">
        <v>1</v>
      </c>
      <c r="G550" s="1">
        <v>1</v>
      </c>
      <c r="H550" s="1">
        <v>77</v>
      </c>
      <c r="I550" s="1">
        <v>96</v>
      </c>
      <c r="J550" s="1">
        <v>48</v>
      </c>
      <c r="K550" s="1">
        <v>9</v>
      </c>
      <c r="L550" s="1">
        <v>108</v>
      </c>
      <c r="M550" s="1">
        <v>14</v>
      </c>
      <c r="N550" s="1">
        <v>9</v>
      </c>
      <c r="O550" s="1">
        <v>61</v>
      </c>
      <c r="P550" s="1">
        <v>17</v>
      </c>
      <c r="Q550" s="1"/>
    </row>
    <row r="551" spans="1:17" ht="15.75" customHeight="1">
      <c r="A551" s="1">
        <v>2018</v>
      </c>
      <c r="B551" s="1">
        <v>88</v>
      </c>
      <c r="C551" s="1" t="s">
        <v>85</v>
      </c>
      <c r="D551" s="1">
        <v>5.2110000000000003</v>
      </c>
      <c r="E551" s="1" t="s">
        <v>171</v>
      </c>
      <c r="F551" s="1">
        <v>44</v>
      </c>
      <c r="G551" s="1">
        <v>88</v>
      </c>
      <c r="H551" s="1">
        <v>72</v>
      </c>
      <c r="I551" s="1">
        <v>60</v>
      </c>
      <c r="J551" s="1">
        <v>133</v>
      </c>
      <c r="K551" s="1">
        <v>107</v>
      </c>
      <c r="L551" s="1">
        <v>51</v>
      </c>
      <c r="M551" s="1">
        <v>117</v>
      </c>
      <c r="N551" s="1">
        <v>76</v>
      </c>
      <c r="O551" s="1">
        <v>107</v>
      </c>
      <c r="P551" s="1">
        <v>105</v>
      </c>
      <c r="Q551" s="1">
        <v>89</v>
      </c>
    </row>
    <row r="552" spans="1:17" ht="15.75" customHeight="1">
      <c r="A552" s="1">
        <v>2018</v>
      </c>
      <c r="B552" s="1">
        <v>89</v>
      </c>
      <c r="C552" s="1" t="s">
        <v>150</v>
      </c>
      <c r="D552" s="1">
        <v>5.2080000000000002</v>
      </c>
      <c r="E552" s="1">
        <v>0.32300000000000001</v>
      </c>
      <c r="F552" s="1">
        <v>114</v>
      </c>
      <c r="G552" s="1">
        <v>136</v>
      </c>
      <c r="H552" s="1">
        <v>95</v>
      </c>
      <c r="I552" s="1">
        <v>80</v>
      </c>
      <c r="J552" s="1">
        <v>80</v>
      </c>
      <c r="K552" s="1">
        <v>140</v>
      </c>
      <c r="L552" s="1">
        <v>92</v>
      </c>
      <c r="M552" s="1">
        <v>105</v>
      </c>
      <c r="N552" s="1">
        <v>126</v>
      </c>
      <c r="O552" s="1">
        <v>140</v>
      </c>
      <c r="P552" s="1">
        <v>129</v>
      </c>
      <c r="Q552" s="1">
        <v>27</v>
      </c>
    </row>
    <row r="553" spans="1:17" ht="15.75" customHeight="1">
      <c r="A553" s="1">
        <v>2018</v>
      </c>
      <c r="B553" s="1">
        <v>90</v>
      </c>
      <c r="C553" s="1" t="s">
        <v>140</v>
      </c>
      <c r="D553" s="1">
        <v>5.2080000000000002</v>
      </c>
      <c r="E553" s="1">
        <v>0.60399999999999998</v>
      </c>
      <c r="F553" s="1">
        <v>34</v>
      </c>
      <c r="G553" s="1">
        <v>97</v>
      </c>
      <c r="H553" s="1">
        <v>60</v>
      </c>
      <c r="I553" s="1">
        <v>58</v>
      </c>
      <c r="J553" s="1">
        <v>82</v>
      </c>
      <c r="K553" s="1">
        <v>135</v>
      </c>
      <c r="L553" s="1">
        <v>18</v>
      </c>
      <c r="M553" s="1">
        <v>122</v>
      </c>
      <c r="N553" s="1">
        <v>18</v>
      </c>
      <c r="O553" s="1">
        <v>135</v>
      </c>
      <c r="P553" s="1">
        <v>139</v>
      </c>
      <c r="Q553" s="1">
        <v>106</v>
      </c>
    </row>
    <row r="554" spans="1:17" ht="15.75" customHeight="1">
      <c r="A554" s="1">
        <v>2018</v>
      </c>
      <c r="B554" s="1">
        <v>91</v>
      </c>
      <c r="C554" s="1" t="s">
        <v>154</v>
      </c>
      <c r="D554" s="1">
        <v>5.1970000000000001</v>
      </c>
      <c r="E554" s="1">
        <v>0.26600000000000001</v>
      </c>
      <c r="F554" s="1">
        <v>64</v>
      </c>
      <c r="G554" s="1">
        <v>75</v>
      </c>
      <c r="H554" s="1">
        <v>70</v>
      </c>
      <c r="I554" s="1">
        <v>41</v>
      </c>
      <c r="J554" s="1">
        <v>128</v>
      </c>
      <c r="K554" s="1">
        <v>65</v>
      </c>
      <c r="L554" s="1">
        <v>121</v>
      </c>
      <c r="M554" s="1">
        <v>134</v>
      </c>
      <c r="N554" s="1">
        <v>60</v>
      </c>
      <c r="O554" s="1">
        <v>65</v>
      </c>
      <c r="P554" s="1">
        <v>128</v>
      </c>
      <c r="Q554" s="1">
        <v>120</v>
      </c>
    </row>
    <row r="555" spans="1:17" ht="15.75" customHeight="1">
      <c r="A555" s="1">
        <v>2018</v>
      </c>
      <c r="B555" s="1">
        <v>92</v>
      </c>
      <c r="C555" s="1" t="s">
        <v>137</v>
      </c>
      <c r="D555" s="1">
        <v>5.1920000000000002</v>
      </c>
      <c r="E555" s="1" t="s">
        <v>255</v>
      </c>
      <c r="F555" s="1">
        <v>95</v>
      </c>
      <c r="G555" s="1">
        <v>85</v>
      </c>
      <c r="H555" s="1">
        <v>85</v>
      </c>
      <c r="I555" s="1">
        <v>86</v>
      </c>
      <c r="J555" s="1">
        <v>33</v>
      </c>
      <c r="K555" s="1">
        <v>1</v>
      </c>
      <c r="L555" s="1">
        <v>110</v>
      </c>
      <c r="M555" s="1">
        <v>8</v>
      </c>
      <c r="N555" s="1">
        <v>78</v>
      </c>
      <c r="O555" s="1">
        <v>1</v>
      </c>
      <c r="P555" s="1">
        <v>1</v>
      </c>
      <c r="Q555" s="1">
        <v>37</v>
      </c>
    </row>
    <row r="556" spans="1:17" ht="15.75" customHeight="1">
      <c r="A556" s="1">
        <v>2018</v>
      </c>
      <c r="B556" s="1">
        <v>93</v>
      </c>
      <c r="C556" s="1" t="s">
        <v>142</v>
      </c>
      <c r="D556" s="1">
        <v>5.1909999999999998</v>
      </c>
      <c r="E556" s="1">
        <v>0.21299999999999999</v>
      </c>
      <c r="F556" s="1">
        <v>78</v>
      </c>
      <c r="G556" s="1">
        <v>95</v>
      </c>
      <c r="H556" s="1">
        <v>64</v>
      </c>
      <c r="I556" s="1">
        <v>33</v>
      </c>
      <c r="J556" s="1">
        <v>28</v>
      </c>
      <c r="K556" s="1">
        <v>103</v>
      </c>
      <c r="L556" s="1">
        <v>47</v>
      </c>
      <c r="M556" s="1">
        <v>16</v>
      </c>
      <c r="N556" s="1">
        <v>103</v>
      </c>
      <c r="O556" s="1">
        <v>122</v>
      </c>
      <c r="P556" s="1">
        <v>117</v>
      </c>
      <c r="Q556" s="1"/>
    </row>
    <row r="557" spans="1:17" ht="15.75" customHeight="1">
      <c r="A557" s="1">
        <v>2018</v>
      </c>
      <c r="B557" s="3">
        <v>94</v>
      </c>
      <c r="C557" s="8" t="s">
        <v>438</v>
      </c>
      <c r="D557" s="5">
        <v>5.1749999999999998</v>
      </c>
      <c r="E557" s="9" t="s">
        <v>439</v>
      </c>
      <c r="F557" s="6">
        <v>20</v>
      </c>
      <c r="G557" s="6">
        <v>74</v>
      </c>
      <c r="H557" s="6">
        <v>89</v>
      </c>
      <c r="I557" s="10">
        <v>68</v>
      </c>
      <c r="J557" s="6">
        <v>21</v>
      </c>
      <c r="K557" s="6">
        <v>75</v>
      </c>
      <c r="L557" s="6">
        <v>78</v>
      </c>
      <c r="M557" s="6">
        <v>93</v>
      </c>
      <c r="N557" s="6">
        <v>17</v>
      </c>
      <c r="O557" s="6">
        <v>75</v>
      </c>
      <c r="P557" s="6">
        <v>94</v>
      </c>
      <c r="Q557" s="6">
        <v>113</v>
      </c>
    </row>
    <row r="558" spans="1:17" ht="15.75" customHeight="1">
      <c r="A558" s="1">
        <v>2018</v>
      </c>
      <c r="B558" s="3">
        <v>95</v>
      </c>
      <c r="C558" s="8" t="s">
        <v>440</v>
      </c>
      <c r="D558" s="5">
        <v>5.0819999999999999</v>
      </c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</row>
    <row r="559" spans="1:17" ht="15.75" customHeight="1">
      <c r="A559" s="1">
        <v>2018</v>
      </c>
      <c r="B559" s="1">
        <v>96</v>
      </c>
      <c r="C559" s="1" t="s">
        <v>182</v>
      </c>
      <c r="D559" s="1">
        <v>5.0439999999999996</v>
      </c>
      <c r="E559" s="1">
        <v>0.624</v>
      </c>
      <c r="F559" s="1">
        <v>125</v>
      </c>
      <c r="G559" s="1">
        <v>120</v>
      </c>
      <c r="H559" s="1">
        <v>113</v>
      </c>
      <c r="I559" s="1">
        <v>125</v>
      </c>
      <c r="J559" s="1">
        <v>64</v>
      </c>
      <c r="K559" s="1">
        <v>66</v>
      </c>
      <c r="L559" s="1">
        <v>113</v>
      </c>
      <c r="M559" s="1">
        <v>86</v>
      </c>
      <c r="N559" s="1">
        <v>101</v>
      </c>
      <c r="O559" s="1">
        <v>66</v>
      </c>
      <c r="P559" s="1">
        <v>57</v>
      </c>
      <c r="Q559" s="1">
        <v>18</v>
      </c>
    </row>
    <row r="560" spans="1:17" ht="15.75" customHeight="1">
      <c r="A560" s="1">
        <v>2018</v>
      </c>
      <c r="B560" s="1">
        <v>97</v>
      </c>
      <c r="C560" s="1" t="s">
        <v>205</v>
      </c>
      <c r="D560" s="1">
        <v>5.0110000000000001</v>
      </c>
      <c r="E560" s="1">
        <v>1.03</v>
      </c>
      <c r="F560" s="1">
        <v>49</v>
      </c>
      <c r="G560" s="1">
        <v>21</v>
      </c>
      <c r="H560" s="1">
        <v>49</v>
      </c>
      <c r="I560" s="1">
        <v>65</v>
      </c>
      <c r="J560" s="1">
        <v>100</v>
      </c>
      <c r="K560" s="1">
        <v>98</v>
      </c>
      <c r="L560" s="1">
        <v>133</v>
      </c>
      <c r="M560" s="1">
        <v>111</v>
      </c>
      <c r="N560" s="1">
        <v>15</v>
      </c>
      <c r="O560" s="1">
        <v>98</v>
      </c>
      <c r="P560" s="1">
        <v>138</v>
      </c>
      <c r="Q560" s="1">
        <v>101</v>
      </c>
    </row>
    <row r="561" spans="1:17" ht="15.75" customHeight="1">
      <c r="A561" s="1">
        <v>2018</v>
      </c>
      <c r="B561" s="1">
        <v>98</v>
      </c>
      <c r="C561" s="1" t="s">
        <v>197</v>
      </c>
      <c r="D561" s="1">
        <v>4.9960000000000004</v>
      </c>
      <c r="E561" s="1" t="s">
        <v>441</v>
      </c>
      <c r="F561" s="1">
        <v>94</v>
      </c>
      <c r="G561" s="1">
        <v>103</v>
      </c>
      <c r="H561" s="1">
        <v>103</v>
      </c>
      <c r="I561" s="1">
        <v>108</v>
      </c>
      <c r="J561" s="1">
        <v>62</v>
      </c>
      <c r="K561" s="1">
        <v>45</v>
      </c>
      <c r="L561" s="1">
        <v>96</v>
      </c>
      <c r="M561" s="1">
        <v>49</v>
      </c>
      <c r="N561" s="1">
        <v>49</v>
      </c>
      <c r="O561" s="1">
        <v>45</v>
      </c>
      <c r="P561" s="1">
        <v>15</v>
      </c>
      <c r="Q561" s="1">
        <v>20</v>
      </c>
    </row>
    <row r="562" spans="1:17" ht="15.75" customHeight="1">
      <c r="A562" s="1">
        <v>2018</v>
      </c>
      <c r="B562" s="1">
        <v>99</v>
      </c>
      <c r="C562" s="1" t="s">
        <v>220</v>
      </c>
      <c r="D562" s="1">
        <v>4.944</v>
      </c>
      <c r="E562" s="1">
        <v>130</v>
      </c>
      <c r="F562" s="1">
        <v>129</v>
      </c>
      <c r="G562" s="1">
        <v>109</v>
      </c>
      <c r="H562" s="1">
        <v>107</v>
      </c>
      <c r="I562" s="1"/>
      <c r="J562" s="1">
        <v>91</v>
      </c>
      <c r="K562" s="1">
        <v>64</v>
      </c>
      <c r="L562" s="1">
        <v>74</v>
      </c>
      <c r="M562" s="1">
        <v>115</v>
      </c>
      <c r="N562" s="1">
        <v>91</v>
      </c>
      <c r="O562" s="1">
        <v>95</v>
      </c>
      <c r="P562" s="1">
        <v>45</v>
      </c>
      <c r="Q562" s="1"/>
    </row>
    <row r="563" spans="1:17" ht="15.75" customHeight="1">
      <c r="A563" s="1">
        <v>2018</v>
      </c>
      <c r="B563" s="1">
        <v>100</v>
      </c>
      <c r="C563" s="1" t="s">
        <v>172</v>
      </c>
      <c r="D563" s="1">
        <v>4.9130000000000003</v>
      </c>
      <c r="E563" s="1">
        <v>0.75700000000000001</v>
      </c>
      <c r="F563" s="1">
        <v>127</v>
      </c>
      <c r="G563" s="1">
        <v>101</v>
      </c>
      <c r="H563" s="1">
        <v>114</v>
      </c>
      <c r="I563" s="1">
        <v>95</v>
      </c>
      <c r="J563" s="1">
        <v>83</v>
      </c>
      <c r="K563" s="1">
        <v>41</v>
      </c>
      <c r="L563" s="1">
        <v>47</v>
      </c>
      <c r="M563" s="1">
        <v>132</v>
      </c>
      <c r="N563" s="1">
        <v>116</v>
      </c>
      <c r="O563" s="1">
        <v>41</v>
      </c>
      <c r="P563" s="1">
        <v>30</v>
      </c>
      <c r="Q563" s="1">
        <v>79</v>
      </c>
    </row>
    <row r="564" spans="1:17" ht="15.75" customHeight="1">
      <c r="A564" s="1">
        <v>2018</v>
      </c>
      <c r="B564" s="1">
        <v>101</v>
      </c>
      <c r="C564" s="1" t="s">
        <v>138</v>
      </c>
      <c r="D564" s="1">
        <v>4.9059999999999997</v>
      </c>
      <c r="E564" s="1" t="s">
        <v>442</v>
      </c>
      <c r="F564" s="1">
        <v>118</v>
      </c>
      <c r="G564" s="1">
        <v>87</v>
      </c>
      <c r="H564" s="1">
        <v>93</v>
      </c>
      <c r="I564" s="1">
        <v>35</v>
      </c>
      <c r="J564" s="1">
        <v>86</v>
      </c>
      <c r="K564" s="1">
        <v>129</v>
      </c>
      <c r="L564" s="1">
        <v>129</v>
      </c>
      <c r="M564" s="1">
        <v>136</v>
      </c>
      <c r="N564" s="1">
        <v>38</v>
      </c>
      <c r="O564" s="1"/>
      <c r="P564" s="1"/>
      <c r="Q564" s="1"/>
    </row>
    <row r="565" spans="1:17" ht="15.75" customHeight="1">
      <c r="A565" s="1">
        <v>2018</v>
      </c>
      <c r="B565" s="1">
        <v>102</v>
      </c>
      <c r="C565" s="1" t="s">
        <v>244</v>
      </c>
      <c r="D565" s="1">
        <v>4.883</v>
      </c>
      <c r="E565" s="1">
        <v>1.355</v>
      </c>
      <c r="F565" s="1">
        <v>136</v>
      </c>
      <c r="G565" s="1">
        <v>140</v>
      </c>
      <c r="H565" s="1">
        <v>123</v>
      </c>
      <c r="I565" s="1">
        <v>117</v>
      </c>
      <c r="J565" s="1">
        <v>106</v>
      </c>
      <c r="K565" s="1">
        <v>83</v>
      </c>
      <c r="L565" s="1">
        <v>48</v>
      </c>
      <c r="M565" s="1">
        <v>87</v>
      </c>
      <c r="N565" s="1">
        <v>135</v>
      </c>
      <c r="O565" s="1">
        <v>83</v>
      </c>
      <c r="P565" s="1">
        <v>51</v>
      </c>
      <c r="Q565" s="1">
        <v>75</v>
      </c>
    </row>
    <row r="566" spans="1:17" ht="15.75" customHeight="1">
      <c r="A566" s="1">
        <v>2018</v>
      </c>
      <c r="B566" s="1">
        <v>103</v>
      </c>
      <c r="C566" s="1" t="s">
        <v>202</v>
      </c>
      <c r="D566" s="1">
        <v>4.8120000000000003</v>
      </c>
      <c r="E566" s="1">
        <v>0.51500000000000001</v>
      </c>
      <c r="F566" s="1">
        <v>138</v>
      </c>
      <c r="G566" s="1">
        <v>130</v>
      </c>
      <c r="H566" s="1">
        <v>99</v>
      </c>
      <c r="I566" s="1">
        <v>121</v>
      </c>
      <c r="J566" s="1">
        <v>110</v>
      </c>
      <c r="K566" s="1">
        <v>123</v>
      </c>
      <c r="L566" s="1">
        <v>46</v>
      </c>
      <c r="M566" s="1">
        <v>106</v>
      </c>
      <c r="N566" s="1">
        <v>132</v>
      </c>
      <c r="O566" s="1">
        <v>123</v>
      </c>
      <c r="P566" s="1">
        <v>71</v>
      </c>
      <c r="Q566" s="1">
        <v>44</v>
      </c>
    </row>
    <row r="567" spans="1:17" ht="15.75" customHeight="1">
      <c r="A567" s="1">
        <v>2018</v>
      </c>
      <c r="B567" s="1">
        <v>104</v>
      </c>
      <c r="C567" s="1" t="s">
        <v>306</v>
      </c>
      <c r="D567" s="1">
        <v>4.7990000000000004</v>
      </c>
      <c r="E567" s="1">
        <v>0.68500000000000005</v>
      </c>
      <c r="F567" s="1">
        <v>102</v>
      </c>
      <c r="G567" s="1">
        <v>96</v>
      </c>
      <c r="H567" s="1">
        <v>61</v>
      </c>
      <c r="I567" s="1">
        <v>112</v>
      </c>
      <c r="J567" s="1">
        <v>103</v>
      </c>
      <c r="K567" s="1">
        <v>124</v>
      </c>
      <c r="L567" s="1">
        <v>84</v>
      </c>
      <c r="M567" s="1">
        <v>92</v>
      </c>
      <c r="N567" s="1">
        <v>127</v>
      </c>
      <c r="O567" s="1">
        <v>124</v>
      </c>
      <c r="P567" s="1">
        <v>112</v>
      </c>
      <c r="Q567" s="1">
        <v>39</v>
      </c>
    </row>
    <row r="568" spans="1:17" ht="15.75" customHeight="1">
      <c r="A568" s="1">
        <v>2018</v>
      </c>
      <c r="B568" s="1">
        <v>105</v>
      </c>
      <c r="C568" s="1" t="s">
        <v>164</v>
      </c>
      <c r="D568" s="1">
        <v>4.7960000000000003</v>
      </c>
      <c r="E568" s="1">
        <v>8.9999999999999993E-3</v>
      </c>
      <c r="F568" s="1">
        <v>67</v>
      </c>
      <c r="G568" s="1">
        <v>115</v>
      </c>
      <c r="H568" s="1">
        <v>97</v>
      </c>
      <c r="I568" s="1">
        <v>100</v>
      </c>
      <c r="J568" s="1">
        <v>22</v>
      </c>
      <c r="K568" s="1">
        <v>31</v>
      </c>
      <c r="L568" s="1">
        <v>26</v>
      </c>
      <c r="M568" s="1">
        <v>52</v>
      </c>
      <c r="N568" s="1">
        <v>94</v>
      </c>
      <c r="O568" s="1">
        <v>31</v>
      </c>
      <c r="P568" s="1">
        <v>91</v>
      </c>
      <c r="Q568" s="1">
        <v>134</v>
      </c>
    </row>
    <row r="569" spans="1:17" ht="15.75" customHeight="1">
      <c r="A569" s="1">
        <v>2018</v>
      </c>
      <c r="B569" s="1">
        <v>106</v>
      </c>
      <c r="C569" s="1" t="s">
        <v>185</v>
      </c>
      <c r="D569" s="1">
        <v>4.7220000000000004</v>
      </c>
      <c r="E569" s="1" t="s">
        <v>127</v>
      </c>
      <c r="F569" s="1">
        <v>116</v>
      </c>
      <c r="G569" s="1">
        <v>70</v>
      </c>
      <c r="H569" s="1">
        <v>79</v>
      </c>
      <c r="I569" s="1">
        <v>115</v>
      </c>
      <c r="J569" s="1">
        <v>89</v>
      </c>
      <c r="K569" s="1">
        <v>64</v>
      </c>
      <c r="L569" s="1">
        <v>91</v>
      </c>
      <c r="M569" s="1">
        <v>36</v>
      </c>
      <c r="N569" s="1">
        <v>69</v>
      </c>
      <c r="O569" s="1">
        <v>64</v>
      </c>
      <c r="P569" s="1">
        <v>33</v>
      </c>
      <c r="Q569" s="1">
        <v>6</v>
      </c>
    </row>
    <row r="570" spans="1:17" ht="15.75" customHeight="1">
      <c r="A570" s="1">
        <v>2018</v>
      </c>
      <c r="B570" s="1">
        <v>107</v>
      </c>
      <c r="C570" s="1" t="s">
        <v>174</v>
      </c>
      <c r="D570" s="1">
        <v>4.7190000000000003</v>
      </c>
      <c r="E570" s="1" t="s">
        <v>443</v>
      </c>
      <c r="F570" s="1">
        <v>107</v>
      </c>
      <c r="G570" s="1">
        <v>119</v>
      </c>
      <c r="H570" s="1">
        <v>76</v>
      </c>
      <c r="I570" s="1">
        <v>32</v>
      </c>
      <c r="J570" s="1">
        <v>58</v>
      </c>
      <c r="K570" s="1">
        <v>42</v>
      </c>
      <c r="L570" s="1">
        <v>118</v>
      </c>
      <c r="M570" s="1">
        <v>100</v>
      </c>
      <c r="N570" s="1">
        <v>90</v>
      </c>
      <c r="O570" s="1">
        <v>42</v>
      </c>
      <c r="P570" s="1">
        <v>125</v>
      </c>
      <c r="Q570" s="1">
        <v>71</v>
      </c>
    </row>
    <row r="571" spans="1:17" ht="15.75" customHeight="1">
      <c r="A571" s="1">
        <v>2018</v>
      </c>
      <c r="B571" s="1">
        <v>108</v>
      </c>
      <c r="C571" s="1" t="s">
        <v>93</v>
      </c>
      <c r="D571" s="1">
        <v>4.7069999999999999</v>
      </c>
      <c r="E571" s="1" t="s">
        <v>444</v>
      </c>
      <c r="F571" s="1">
        <v>123</v>
      </c>
      <c r="G571" s="1">
        <v>49</v>
      </c>
      <c r="H571" s="1">
        <v>141</v>
      </c>
      <c r="I571" s="1">
        <v>81</v>
      </c>
      <c r="J571" s="1">
        <v>126</v>
      </c>
      <c r="K571" s="1">
        <v>121</v>
      </c>
      <c r="L571" s="1">
        <v>86</v>
      </c>
      <c r="M571" s="1">
        <v>44</v>
      </c>
      <c r="N571" s="1">
        <v>111</v>
      </c>
      <c r="O571" s="1">
        <v>121</v>
      </c>
      <c r="P571" s="1">
        <v>64</v>
      </c>
      <c r="Q571" s="1">
        <v>33</v>
      </c>
    </row>
    <row r="572" spans="1:17" ht="15.75" customHeight="1">
      <c r="A572" s="1">
        <v>2018</v>
      </c>
      <c r="B572" s="1">
        <v>109</v>
      </c>
      <c r="C572" s="1" t="s">
        <v>221</v>
      </c>
      <c r="D572" s="1">
        <v>4.7</v>
      </c>
      <c r="E572" s="1">
        <v>0.63300000000000001</v>
      </c>
      <c r="F572" s="1">
        <v>124</v>
      </c>
      <c r="G572" s="1">
        <v>91</v>
      </c>
      <c r="H572" s="1">
        <v>107</v>
      </c>
      <c r="I572" s="1">
        <v>97</v>
      </c>
      <c r="J572" s="1">
        <v>3</v>
      </c>
      <c r="K572" s="1">
        <v>58</v>
      </c>
      <c r="L572" s="1">
        <v>46</v>
      </c>
      <c r="M572" s="1">
        <v>125</v>
      </c>
      <c r="N572" s="1">
        <v>58</v>
      </c>
      <c r="O572" s="1">
        <v>135</v>
      </c>
      <c r="P572" s="1">
        <v>138</v>
      </c>
      <c r="Q572" s="1"/>
    </row>
    <row r="573" spans="1:17" ht="15.75" customHeight="1">
      <c r="A573" s="1">
        <v>2018</v>
      </c>
      <c r="B573" s="1">
        <v>110</v>
      </c>
      <c r="C573" s="1" t="s">
        <v>173</v>
      </c>
      <c r="D573" s="1">
        <v>4.6959999999999997</v>
      </c>
      <c r="E573" s="1" t="s">
        <v>445</v>
      </c>
      <c r="F573" s="1">
        <v>101</v>
      </c>
      <c r="G573" s="1">
        <v>82</v>
      </c>
      <c r="H573" s="1">
        <v>101</v>
      </c>
      <c r="I573" s="1"/>
      <c r="J573" s="1">
        <v>117</v>
      </c>
      <c r="K573" s="1">
        <v>131</v>
      </c>
      <c r="L573" s="1">
        <v>82</v>
      </c>
      <c r="M573" s="1">
        <v>120</v>
      </c>
      <c r="N573" s="1">
        <v>131</v>
      </c>
      <c r="O573" s="1">
        <v>127</v>
      </c>
      <c r="P573" s="1">
        <v>77</v>
      </c>
      <c r="Q573" s="1"/>
    </row>
    <row r="574" spans="1:17" ht="15.75" customHeight="1">
      <c r="A574" s="1">
        <v>2018</v>
      </c>
      <c r="B574" s="1">
        <v>111</v>
      </c>
      <c r="C574" s="1" t="s">
        <v>204</v>
      </c>
      <c r="D574" s="1">
        <v>4.681</v>
      </c>
      <c r="E574" s="1">
        <v>0.72199999999999998</v>
      </c>
      <c r="F574" s="1">
        <v>43</v>
      </c>
      <c r="G574" s="1">
        <v>108</v>
      </c>
      <c r="H574" s="1">
        <v>115</v>
      </c>
      <c r="I574" s="1">
        <v>103</v>
      </c>
      <c r="J574" s="1">
        <v>123</v>
      </c>
      <c r="K574" s="1">
        <v>117</v>
      </c>
      <c r="L574" s="1">
        <v>74</v>
      </c>
      <c r="M574" s="1">
        <v>42</v>
      </c>
      <c r="N574" s="1">
        <v>48</v>
      </c>
      <c r="O574" s="1">
        <v>117</v>
      </c>
      <c r="P574" s="1">
        <v>79</v>
      </c>
      <c r="Q574" s="1">
        <v>52</v>
      </c>
    </row>
    <row r="575" spans="1:17" ht="15.75" customHeight="1">
      <c r="A575" s="1">
        <v>2018</v>
      </c>
      <c r="B575" s="1">
        <v>112</v>
      </c>
      <c r="C575" s="1" t="s">
        <v>134</v>
      </c>
      <c r="D575" s="1">
        <v>4.6680000000000001</v>
      </c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1:17" ht="15.75" customHeight="1">
      <c r="A576" s="1">
        <v>2018</v>
      </c>
      <c r="B576" s="3">
        <v>113</v>
      </c>
      <c r="C576" s="8" t="s">
        <v>446</v>
      </c>
      <c r="D576" s="5">
        <v>4.6390000000000002</v>
      </c>
      <c r="E576" s="7"/>
      <c r="F576" s="6">
        <v>53</v>
      </c>
      <c r="G576" s="6">
        <v>57</v>
      </c>
      <c r="H576" s="6">
        <v>86</v>
      </c>
      <c r="I576" s="7">
        <v>120</v>
      </c>
      <c r="J576" s="6">
        <v>88</v>
      </c>
      <c r="K576" s="6">
        <v>125</v>
      </c>
      <c r="L576" s="6">
        <v>95</v>
      </c>
      <c r="M576" s="6">
        <v>59</v>
      </c>
      <c r="N576" s="6">
        <v>45</v>
      </c>
      <c r="O576" s="6">
        <v>125</v>
      </c>
      <c r="P576" s="6">
        <v>58</v>
      </c>
      <c r="Q576" s="6">
        <v>40</v>
      </c>
    </row>
    <row r="577" spans="1:17" ht="15.75" customHeight="1">
      <c r="A577" s="1">
        <v>2018</v>
      </c>
      <c r="B577" s="3">
        <v>114</v>
      </c>
      <c r="C577" s="8" t="s">
        <v>447</v>
      </c>
      <c r="D577" s="5">
        <v>4.6280000000000001</v>
      </c>
      <c r="E577" s="6">
        <v>0.47599999999999998</v>
      </c>
      <c r="F577" s="6">
        <v>140</v>
      </c>
      <c r="G577" s="6">
        <v>133</v>
      </c>
      <c r="H577" s="6">
        <v>138</v>
      </c>
      <c r="I577" s="10">
        <v>130</v>
      </c>
      <c r="J577" s="6">
        <v>72</v>
      </c>
      <c r="K577" s="6">
        <v>111</v>
      </c>
      <c r="L577" s="6">
        <v>27</v>
      </c>
      <c r="M577" s="6">
        <v>20</v>
      </c>
      <c r="N577" s="6">
        <v>138</v>
      </c>
      <c r="O577" s="6">
        <v>111</v>
      </c>
      <c r="P577" s="6">
        <v>74</v>
      </c>
      <c r="Q577" s="6">
        <v>7</v>
      </c>
    </row>
    <row r="578" spans="1:17" ht="15.75" customHeight="1">
      <c r="A578" s="1">
        <v>2018</v>
      </c>
      <c r="B578" s="1">
        <v>115</v>
      </c>
      <c r="C578" s="1" t="s">
        <v>229</v>
      </c>
      <c r="D578" s="1">
        <v>4.5869999999999997</v>
      </c>
      <c r="E578" s="1">
        <v>0.32800000000000001</v>
      </c>
      <c r="F578" s="1">
        <v>108</v>
      </c>
      <c r="G578" s="1">
        <v>124</v>
      </c>
      <c r="H578" s="1">
        <v>131</v>
      </c>
      <c r="I578" s="1">
        <v>123</v>
      </c>
      <c r="J578" s="1">
        <v>102</v>
      </c>
      <c r="K578" s="1">
        <v>101</v>
      </c>
      <c r="L578" s="1">
        <v>50</v>
      </c>
      <c r="M578" s="1">
        <v>76</v>
      </c>
      <c r="N578" s="1">
        <v>96</v>
      </c>
      <c r="O578" s="1">
        <v>101</v>
      </c>
      <c r="P578" s="1">
        <v>59</v>
      </c>
      <c r="Q578" s="1">
        <v>43</v>
      </c>
    </row>
    <row r="579" spans="1:17" ht="15.75" customHeight="1">
      <c r="A579" s="1">
        <v>2018</v>
      </c>
      <c r="B579" s="1">
        <v>116</v>
      </c>
      <c r="C579" s="1" t="s">
        <v>192</v>
      </c>
      <c r="D579" s="1">
        <v>4.5590000000000002</v>
      </c>
      <c r="E579" s="1">
        <v>0.24299999999999999</v>
      </c>
      <c r="F579" s="1">
        <v>54</v>
      </c>
      <c r="G579" s="1">
        <v>84</v>
      </c>
      <c r="H579" s="1">
        <v>74</v>
      </c>
      <c r="I579" s="1">
        <v>56</v>
      </c>
      <c r="J579" s="1">
        <v>67</v>
      </c>
      <c r="K579" s="1">
        <v>113</v>
      </c>
      <c r="L579" s="1">
        <v>30</v>
      </c>
      <c r="M579" s="1">
        <v>116</v>
      </c>
      <c r="N579" s="1">
        <v>133</v>
      </c>
      <c r="O579" s="1">
        <v>113</v>
      </c>
      <c r="P579" s="1">
        <v>130</v>
      </c>
      <c r="Q579" s="1">
        <v>53</v>
      </c>
    </row>
    <row r="580" spans="1:17" ht="15.75" customHeight="1">
      <c r="A580" s="1">
        <v>2018</v>
      </c>
      <c r="B580" s="1">
        <v>117</v>
      </c>
      <c r="C580" s="1" t="s">
        <v>169</v>
      </c>
      <c r="D580" s="1">
        <v>4.548</v>
      </c>
      <c r="E580" s="1" t="s">
        <v>441</v>
      </c>
      <c r="F580" s="1">
        <v>86</v>
      </c>
      <c r="G580" s="1">
        <v>122</v>
      </c>
      <c r="H580" s="1">
        <v>78</v>
      </c>
      <c r="I580" s="1">
        <v>55</v>
      </c>
      <c r="J580" s="1">
        <v>129</v>
      </c>
      <c r="K580" s="1">
        <v>32</v>
      </c>
      <c r="L580" s="1">
        <v>37</v>
      </c>
      <c r="M580" s="1">
        <v>129</v>
      </c>
      <c r="N580" s="1">
        <v>137</v>
      </c>
      <c r="O580" s="1">
        <v>32</v>
      </c>
      <c r="P580" s="1">
        <v>98</v>
      </c>
      <c r="Q580" s="1">
        <v>34</v>
      </c>
    </row>
    <row r="581" spans="1:17" ht="15.75" customHeight="1">
      <c r="A581" s="1">
        <v>2018</v>
      </c>
      <c r="B581" s="1">
        <v>118</v>
      </c>
      <c r="C581" s="1" t="s">
        <v>240</v>
      </c>
      <c r="D581" s="1">
        <v>4.5339999999999998</v>
      </c>
      <c r="E581" s="1">
        <v>0.68700000000000006</v>
      </c>
      <c r="F581" s="1">
        <v>135</v>
      </c>
      <c r="G581" s="1">
        <v>127</v>
      </c>
      <c r="H581" s="1">
        <v>121</v>
      </c>
      <c r="I581" s="1">
        <v>129</v>
      </c>
      <c r="J581" s="1">
        <v>96</v>
      </c>
      <c r="K581" s="1">
        <v>50</v>
      </c>
      <c r="L581" s="1">
        <v>60</v>
      </c>
      <c r="M581" s="1">
        <v>41</v>
      </c>
      <c r="N581" s="1">
        <v>130</v>
      </c>
      <c r="O581" s="1">
        <v>50</v>
      </c>
      <c r="P581" s="1">
        <v>26</v>
      </c>
      <c r="Q581" s="1">
        <v>19</v>
      </c>
    </row>
    <row r="582" spans="1:17" ht="15.75" customHeight="1">
      <c r="A582" s="1">
        <v>2018</v>
      </c>
      <c r="B582" s="1">
        <v>119</v>
      </c>
      <c r="C582" s="1" t="s">
        <v>201</v>
      </c>
      <c r="D582" s="1">
        <v>4.5190000000000001</v>
      </c>
      <c r="E582" s="1">
        <v>0.33200000000000002</v>
      </c>
      <c r="F582" s="1">
        <v>76</v>
      </c>
      <c r="G582" s="1">
        <v>131</v>
      </c>
      <c r="H582" s="1">
        <v>65</v>
      </c>
      <c r="I582" s="1">
        <v>70</v>
      </c>
      <c r="J582" s="1">
        <v>78</v>
      </c>
      <c r="K582" s="1">
        <v>136</v>
      </c>
      <c r="L582" s="1">
        <v>49</v>
      </c>
      <c r="M582" s="1">
        <v>130</v>
      </c>
      <c r="N582" s="1">
        <v>47</v>
      </c>
      <c r="O582" s="1">
        <v>136</v>
      </c>
      <c r="P582" s="1">
        <v>49</v>
      </c>
      <c r="Q582" s="1">
        <v>24</v>
      </c>
    </row>
    <row r="583" spans="1:17" ht="15.75" customHeight="1">
      <c r="A583" s="1">
        <v>2018</v>
      </c>
      <c r="B583" s="1">
        <v>120</v>
      </c>
      <c r="C583" s="1" t="s">
        <v>403</v>
      </c>
      <c r="D583" s="1">
        <v>4.516</v>
      </c>
      <c r="E583" s="1">
        <v>134</v>
      </c>
      <c r="F583" s="1">
        <v>118</v>
      </c>
      <c r="G583" s="1">
        <v>126</v>
      </c>
      <c r="H583" s="1">
        <v>104</v>
      </c>
      <c r="I583" s="1">
        <v>111</v>
      </c>
      <c r="J583" s="1">
        <v>4</v>
      </c>
      <c r="K583" s="1">
        <v>33</v>
      </c>
      <c r="L583" s="1">
        <v>21</v>
      </c>
      <c r="M583" s="1">
        <v>113</v>
      </c>
      <c r="N583" s="1">
        <v>4</v>
      </c>
      <c r="O583" s="1">
        <v>9</v>
      </c>
      <c r="P583" s="1">
        <v>9</v>
      </c>
      <c r="Q583" s="1"/>
    </row>
    <row r="584" spans="1:17" ht="15.75" customHeight="1">
      <c r="A584" s="1">
        <v>2018</v>
      </c>
      <c r="B584" s="1">
        <v>120</v>
      </c>
      <c r="C584" s="1" t="s">
        <v>187</v>
      </c>
      <c r="D584" s="1">
        <v>4.3659999999999997</v>
      </c>
      <c r="E584" s="1">
        <v>0.215</v>
      </c>
      <c r="F584" s="1">
        <v>85</v>
      </c>
      <c r="G584" s="1">
        <v>73</v>
      </c>
      <c r="H584" s="1">
        <v>75</v>
      </c>
      <c r="I584" s="1">
        <v>49</v>
      </c>
      <c r="J584" s="1">
        <v>47</v>
      </c>
      <c r="K584" s="1">
        <v>30</v>
      </c>
      <c r="L584" s="1">
        <v>104</v>
      </c>
      <c r="M584" s="1">
        <v>15</v>
      </c>
      <c r="N584" s="1">
        <v>85</v>
      </c>
      <c r="O584" s="1">
        <v>30</v>
      </c>
      <c r="P584" s="1">
        <v>5</v>
      </c>
      <c r="Q584" s="1">
        <v>46</v>
      </c>
    </row>
    <row r="585" spans="1:17" ht="15.75" customHeight="1">
      <c r="A585" s="1">
        <v>2018</v>
      </c>
      <c r="B585" s="1">
        <v>121</v>
      </c>
      <c r="C585" s="1" t="s">
        <v>193</v>
      </c>
      <c r="D585" s="1">
        <v>4.5090000000000003</v>
      </c>
      <c r="E585" s="1">
        <v>0.106</v>
      </c>
      <c r="F585" s="1">
        <v>117</v>
      </c>
      <c r="G585" s="1">
        <v>113</v>
      </c>
      <c r="H585" s="1">
        <v>112</v>
      </c>
      <c r="I585" s="1">
        <v>106</v>
      </c>
      <c r="J585" s="1">
        <v>60</v>
      </c>
      <c r="K585" s="1">
        <v>16</v>
      </c>
      <c r="L585" s="1">
        <v>94</v>
      </c>
      <c r="M585" s="1">
        <v>29</v>
      </c>
      <c r="N585" s="1">
        <v>44</v>
      </c>
      <c r="O585" s="1">
        <v>16</v>
      </c>
      <c r="P585" s="1">
        <v>2</v>
      </c>
      <c r="Q585" s="1">
        <v>10</v>
      </c>
    </row>
    <row r="586" spans="1:17" ht="15.75" customHeight="1">
      <c r="A586" s="1">
        <v>2018</v>
      </c>
      <c r="B586" s="1">
        <v>122</v>
      </c>
      <c r="C586" s="1" t="s">
        <v>206</v>
      </c>
      <c r="D586" s="1">
        <v>4.49</v>
      </c>
      <c r="E586" s="1" t="s">
        <v>448</v>
      </c>
      <c r="F586" s="1">
        <v>59</v>
      </c>
      <c r="G586" s="1">
        <v>86</v>
      </c>
      <c r="H586" s="1">
        <v>106</v>
      </c>
      <c r="I586" s="1">
        <v>94</v>
      </c>
      <c r="J586" s="1">
        <v>139</v>
      </c>
      <c r="K586" s="1">
        <v>119</v>
      </c>
      <c r="L586" s="1">
        <v>39</v>
      </c>
      <c r="M586" s="1">
        <v>70</v>
      </c>
      <c r="N586" s="1">
        <v>64</v>
      </c>
      <c r="O586" s="1">
        <v>119</v>
      </c>
      <c r="P586" s="1">
        <v>100</v>
      </c>
      <c r="Q586" s="1">
        <v>99</v>
      </c>
    </row>
    <row r="587" spans="1:17" ht="15.75" customHeight="1">
      <c r="A587" s="1">
        <v>2018</v>
      </c>
      <c r="B587" s="1">
        <v>123</v>
      </c>
      <c r="C587" s="1" t="s">
        <v>252</v>
      </c>
      <c r="D587" s="1">
        <v>4.4660000000000002</v>
      </c>
      <c r="E587" s="1" t="s">
        <v>449</v>
      </c>
      <c r="F587" s="1">
        <v>137</v>
      </c>
      <c r="G587" s="1">
        <v>109</v>
      </c>
      <c r="H587" s="1">
        <v>139</v>
      </c>
      <c r="I587" s="1">
        <v>135</v>
      </c>
      <c r="J587" s="1">
        <v>27</v>
      </c>
      <c r="K587" s="1">
        <v>90</v>
      </c>
      <c r="L587" s="1">
        <v>34</v>
      </c>
      <c r="M587" s="1">
        <v>89</v>
      </c>
      <c r="N587" s="1">
        <v>120</v>
      </c>
      <c r="O587" s="1">
        <v>90</v>
      </c>
      <c r="P587" s="1">
        <v>17</v>
      </c>
      <c r="Q587" s="1">
        <v>59</v>
      </c>
    </row>
    <row r="588" spans="1:17" ht="15.75" customHeight="1">
      <c r="A588" s="1">
        <v>2018</v>
      </c>
      <c r="B588" s="1">
        <v>124</v>
      </c>
      <c r="C588" s="1" t="s">
        <v>159</v>
      </c>
      <c r="D588" s="1">
        <v>4.4610000000000003</v>
      </c>
      <c r="E588" s="1" t="s">
        <v>450</v>
      </c>
      <c r="F588" s="1">
        <v>69</v>
      </c>
      <c r="G588" s="1">
        <v>110</v>
      </c>
      <c r="H588" s="1">
        <v>84</v>
      </c>
      <c r="I588" s="1">
        <v>54</v>
      </c>
      <c r="J588" s="1">
        <v>120</v>
      </c>
      <c r="K588" s="1">
        <v>128</v>
      </c>
      <c r="L588" s="1">
        <v>90</v>
      </c>
      <c r="M588" s="1">
        <v>115</v>
      </c>
      <c r="N588" s="1">
        <v>109</v>
      </c>
      <c r="O588" s="1">
        <v>128</v>
      </c>
      <c r="P588" s="1">
        <v>111</v>
      </c>
      <c r="Q588" s="1">
        <v>55</v>
      </c>
    </row>
    <row r="589" spans="1:17" ht="15.75" customHeight="1">
      <c r="A589" s="1">
        <v>2018</v>
      </c>
      <c r="B589" s="1">
        <v>125</v>
      </c>
      <c r="C589" s="1" t="s">
        <v>176</v>
      </c>
      <c r="D589" s="1">
        <v>4.4560000000000004</v>
      </c>
      <c r="E589" s="1" t="s">
        <v>451</v>
      </c>
      <c r="F589" s="1">
        <v>66</v>
      </c>
      <c r="G589" s="1">
        <v>114</v>
      </c>
      <c r="H589" s="1">
        <v>102</v>
      </c>
      <c r="I589" s="1">
        <v>79</v>
      </c>
      <c r="J589" s="1">
        <v>26</v>
      </c>
      <c r="K589" s="1">
        <v>92</v>
      </c>
      <c r="L589" s="1">
        <v>36</v>
      </c>
      <c r="M589" s="1">
        <v>133</v>
      </c>
      <c r="N589" s="1">
        <v>105</v>
      </c>
      <c r="O589" s="1">
        <v>92</v>
      </c>
      <c r="P589" s="1">
        <v>97</v>
      </c>
      <c r="Q589" s="1">
        <v>21</v>
      </c>
    </row>
    <row r="590" spans="1:17" ht="15.75" customHeight="1">
      <c r="A590" s="1">
        <v>2018</v>
      </c>
      <c r="B590" s="1">
        <v>126</v>
      </c>
      <c r="C590" s="1" t="s">
        <v>179</v>
      </c>
      <c r="D590" s="1">
        <v>4.4370000000000003</v>
      </c>
      <c r="E590" s="1" t="s">
        <v>395</v>
      </c>
      <c r="F590" s="1">
        <v>97</v>
      </c>
      <c r="G590" s="1">
        <v>102</v>
      </c>
      <c r="H590" s="1">
        <v>81</v>
      </c>
      <c r="I590" s="1">
        <v>89</v>
      </c>
      <c r="J590" s="1">
        <v>131</v>
      </c>
      <c r="K590" s="1">
        <v>77</v>
      </c>
      <c r="L590" s="1">
        <v>114</v>
      </c>
      <c r="M590" s="1">
        <v>112</v>
      </c>
      <c r="N590" s="1">
        <v>136</v>
      </c>
      <c r="O590" s="1">
        <v>77</v>
      </c>
      <c r="P590" s="1">
        <v>118</v>
      </c>
      <c r="Q590" s="1">
        <v>13</v>
      </c>
    </row>
    <row r="591" spans="1:17" ht="15.75" customHeight="1">
      <c r="A591" s="1">
        <v>2018</v>
      </c>
      <c r="B591" s="1">
        <v>127</v>
      </c>
      <c r="C591" s="1" t="s">
        <v>199</v>
      </c>
      <c r="D591" s="1">
        <v>4.4180000000000001</v>
      </c>
      <c r="E591" s="1" t="s">
        <v>153</v>
      </c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spans="1:17" ht="15.75" customHeight="1">
      <c r="A592" s="1">
        <v>2018</v>
      </c>
      <c r="B592" s="1">
        <v>128</v>
      </c>
      <c r="C592" s="1" t="s">
        <v>311</v>
      </c>
      <c r="D592" s="1">
        <v>4.3899999999999997</v>
      </c>
      <c r="E592" s="1">
        <v>0.14299999999999999</v>
      </c>
      <c r="F592" s="1">
        <v>103</v>
      </c>
      <c r="G592" s="1">
        <v>116</v>
      </c>
      <c r="H592" s="1">
        <v>130</v>
      </c>
      <c r="I592" s="1">
        <v>128</v>
      </c>
      <c r="J592" s="1">
        <v>95</v>
      </c>
      <c r="K592" s="1">
        <v>108</v>
      </c>
      <c r="L592" s="1">
        <v>66</v>
      </c>
      <c r="M592" s="1">
        <v>61</v>
      </c>
      <c r="N592" s="1">
        <v>110</v>
      </c>
      <c r="O592" s="1">
        <v>108</v>
      </c>
      <c r="P592" s="1">
        <v>52</v>
      </c>
      <c r="Q592" s="1">
        <v>72</v>
      </c>
    </row>
    <row r="593" spans="1:17" ht="15.75" customHeight="1">
      <c r="A593" s="1">
        <v>2018</v>
      </c>
      <c r="B593" s="1">
        <v>129</v>
      </c>
      <c r="C593" s="1" t="s">
        <v>178</v>
      </c>
      <c r="D593" s="1">
        <v>4.3739999999999997</v>
      </c>
      <c r="E593" s="1">
        <v>5.6000000000000001E-2</v>
      </c>
      <c r="F593" s="1">
        <v>128</v>
      </c>
      <c r="G593" s="1">
        <v>125</v>
      </c>
      <c r="H593" s="1">
        <v>125</v>
      </c>
      <c r="I593" s="1">
        <v>131</v>
      </c>
      <c r="J593" s="1">
        <v>105</v>
      </c>
      <c r="K593" s="1">
        <v>63</v>
      </c>
      <c r="L593" s="1">
        <v>103</v>
      </c>
      <c r="M593" s="1">
        <v>118</v>
      </c>
      <c r="N593" s="1">
        <v>134</v>
      </c>
      <c r="O593" s="1">
        <v>63</v>
      </c>
      <c r="P593" s="1">
        <v>7</v>
      </c>
      <c r="Q593" s="1">
        <v>2</v>
      </c>
    </row>
    <row r="594" spans="1:17" ht="15.75" customHeight="1">
      <c r="A594" s="1">
        <v>2018</v>
      </c>
      <c r="B594" s="1">
        <v>131</v>
      </c>
      <c r="C594" s="1" t="s">
        <v>190</v>
      </c>
      <c r="D594" s="1">
        <v>4.3600000000000003</v>
      </c>
      <c r="E594" s="1" t="s">
        <v>432</v>
      </c>
      <c r="F594" s="1">
        <v>80</v>
      </c>
      <c r="G594" s="1">
        <v>100</v>
      </c>
      <c r="H594" s="1">
        <v>105</v>
      </c>
      <c r="I594" s="1">
        <v>99</v>
      </c>
      <c r="J594" s="1">
        <v>23</v>
      </c>
      <c r="K594" s="1">
        <v>2</v>
      </c>
      <c r="L594" s="1">
        <v>29</v>
      </c>
      <c r="M594" s="1">
        <v>81</v>
      </c>
      <c r="N594" s="1">
        <v>83</v>
      </c>
      <c r="O594" s="1">
        <v>2</v>
      </c>
      <c r="P594" s="1">
        <v>53</v>
      </c>
      <c r="Q594" s="1">
        <v>114</v>
      </c>
    </row>
    <row r="595" spans="1:17" ht="15.75" customHeight="1">
      <c r="A595" s="1">
        <v>2018</v>
      </c>
      <c r="B595" s="3">
        <v>132</v>
      </c>
      <c r="C595" s="8" t="s">
        <v>452</v>
      </c>
      <c r="D595" s="5">
        <v>4.3499999999999996</v>
      </c>
      <c r="E595" s="6">
        <v>0.29399999999999998</v>
      </c>
      <c r="F595" s="6">
        <v>131</v>
      </c>
      <c r="G595" s="6">
        <v>135</v>
      </c>
      <c r="H595" s="6">
        <v>134</v>
      </c>
      <c r="I595" s="10">
        <v>134</v>
      </c>
      <c r="J595" s="6">
        <v>118</v>
      </c>
      <c r="K595" s="6">
        <v>96</v>
      </c>
      <c r="L595" s="6">
        <v>53</v>
      </c>
      <c r="M595" s="6">
        <v>119</v>
      </c>
      <c r="N595" s="6">
        <v>139</v>
      </c>
      <c r="O595" s="6">
        <v>96</v>
      </c>
      <c r="P595" s="6">
        <v>56</v>
      </c>
      <c r="Q595" s="6">
        <v>58</v>
      </c>
    </row>
    <row r="596" spans="1:17" ht="15.75" customHeight="1">
      <c r="A596" s="1">
        <v>2018</v>
      </c>
      <c r="B596" s="1">
        <v>134</v>
      </c>
      <c r="C596" s="1" t="s">
        <v>183</v>
      </c>
      <c r="D596" s="1">
        <v>4.2859999999999996</v>
      </c>
      <c r="E596" s="1" t="s">
        <v>346</v>
      </c>
      <c r="F596" s="1">
        <v>39</v>
      </c>
      <c r="G596" s="1">
        <v>106</v>
      </c>
      <c r="H596" s="1">
        <v>132</v>
      </c>
      <c r="I596" s="1">
        <v>102</v>
      </c>
      <c r="J596" s="1">
        <v>93</v>
      </c>
      <c r="K596" s="1">
        <v>79</v>
      </c>
      <c r="L596" s="1">
        <v>71</v>
      </c>
      <c r="M596" s="1">
        <v>110</v>
      </c>
      <c r="N596" s="1">
        <v>61</v>
      </c>
      <c r="O596" s="1">
        <v>79</v>
      </c>
      <c r="P596" s="1">
        <v>45</v>
      </c>
      <c r="Q596" s="1">
        <v>70</v>
      </c>
    </row>
    <row r="597" spans="1:17" ht="15.75" customHeight="1">
      <c r="A597" s="1">
        <v>2018</v>
      </c>
      <c r="B597" s="1">
        <v>135</v>
      </c>
      <c r="C597" s="1" t="s">
        <v>453</v>
      </c>
      <c r="D597" s="1">
        <v>4.2119999999999997</v>
      </c>
      <c r="E597" s="1" t="s">
        <v>454</v>
      </c>
      <c r="F597" s="1">
        <v>88</v>
      </c>
      <c r="G597" s="1">
        <v>98</v>
      </c>
      <c r="H597" s="1">
        <v>92</v>
      </c>
      <c r="I597" s="1">
        <v>136</v>
      </c>
      <c r="J597" s="1">
        <v>108</v>
      </c>
      <c r="K597" s="1">
        <v>130</v>
      </c>
      <c r="L597" s="1">
        <v>35</v>
      </c>
      <c r="M597" s="1">
        <v>35</v>
      </c>
      <c r="N597" s="1">
        <v>51</v>
      </c>
      <c r="O597" s="1">
        <v>130</v>
      </c>
      <c r="P597" s="1">
        <v>63</v>
      </c>
      <c r="Q597" s="1">
        <v>29</v>
      </c>
    </row>
    <row r="598" spans="1:17" ht="15.75" customHeight="1">
      <c r="A598" s="1">
        <v>2018</v>
      </c>
      <c r="B598" s="1">
        <v>136</v>
      </c>
      <c r="C598" s="1" t="s">
        <v>231</v>
      </c>
      <c r="D598" s="1">
        <v>4.1890000000000001</v>
      </c>
      <c r="E598" s="1" t="s">
        <v>455</v>
      </c>
      <c r="F598" s="1">
        <v>126</v>
      </c>
      <c r="G598" s="1">
        <v>107</v>
      </c>
      <c r="H598" s="1">
        <v>127</v>
      </c>
      <c r="I598" s="1">
        <v>109</v>
      </c>
      <c r="J598" s="1">
        <v>98</v>
      </c>
      <c r="K598" s="1">
        <v>62</v>
      </c>
      <c r="L598" s="1">
        <v>105</v>
      </c>
      <c r="M598" s="1">
        <v>64</v>
      </c>
      <c r="N598" s="1">
        <v>118</v>
      </c>
      <c r="O598" s="1">
        <v>62</v>
      </c>
      <c r="P598" s="1">
        <v>24</v>
      </c>
      <c r="Q598" s="1">
        <v>11</v>
      </c>
    </row>
    <row r="599" spans="1:17" ht="15.75" customHeight="1">
      <c r="A599" s="1">
        <v>2018</v>
      </c>
      <c r="B599" s="1">
        <v>137</v>
      </c>
      <c r="C599" s="1" t="s">
        <v>191</v>
      </c>
      <c r="D599" s="1">
        <v>4.1660000000000004</v>
      </c>
      <c r="E599" s="1" t="s">
        <v>456</v>
      </c>
      <c r="F599" s="1">
        <v>47</v>
      </c>
      <c r="G599" s="1">
        <v>104</v>
      </c>
      <c r="H599" s="1">
        <v>80</v>
      </c>
      <c r="I599" s="1">
        <v>90</v>
      </c>
      <c r="J599" s="1">
        <v>114</v>
      </c>
      <c r="K599" s="1">
        <v>134</v>
      </c>
      <c r="L599" s="1">
        <v>137</v>
      </c>
      <c r="M599" s="1">
        <v>70</v>
      </c>
      <c r="N599" s="1">
        <v>134</v>
      </c>
      <c r="O599" s="1">
        <v>141</v>
      </c>
      <c r="P599" s="1">
        <v>63</v>
      </c>
      <c r="Q599" s="1"/>
    </row>
    <row r="600" spans="1:17" ht="15.75" customHeight="1">
      <c r="A600" s="1">
        <v>2018</v>
      </c>
      <c r="B600" s="1">
        <v>138</v>
      </c>
      <c r="C600" s="1" t="s">
        <v>170</v>
      </c>
      <c r="D600" s="1">
        <v>4.1070000000000002</v>
      </c>
      <c r="E600" s="1" t="s">
        <v>457</v>
      </c>
      <c r="F600" s="1">
        <v>119</v>
      </c>
      <c r="G600" s="1">
        <v>112</v>
      </c>
      <c r="H600" s="1">
        <v>116</v>
      </c>
      <c r="I600" s="1">
        <v>127</v>
      </c>
      <c r="J600" s="1">
        <v>73</v>
      </c>
      <c r="K600" s="1">
        <v>57</v>
      </c>
      <c r="L600" s="1">
        <v>81</v>
      </c>
      <c r="M600" s="1">
        <v>73</v>
      </c>
      <c r="N600" s="1">
        <v>99</v>
      </c>
      <c r="O600" s="1">
        <v>57</v>
      </c>
      <c r="P600" s="1">
        <v>22</v>
      </c>
      <c r="Q600" s="1">
        <v>8</v>
      </c>
    </row>
    <row r="601" spans="1:17" ht="15.75" customHeight="1">
      <c r="A601" s="1">
        <v>2018</v>
      </c>
      <c r="B601" s="1">
        <v>139</v>
      </c>
      <c r="C601" s="1" t="s">
        <v>247</v>
      </c>
      <c r="D601" s="1">
        <v>4.085</v>
      </c>
      <c r="E601" s="1">
        <v>1.149</v>
      </c>
      <c r="F601" s="1">
        <v>56</v>
      </c>
      <c r="G601" s="1">
        <v>134</v>
      </c>
      <c r="H601" s="1">
        <v>129</v>
      </c>
      <c r="I601" s="1">
        <v>118</v>
      </c>
      <c r="J601" s="1">
        <v>125</v>
      </c>
      <c r="K601" s="1">
        <v>109</v>
      </c>
      <c r="L601" s="1">
        <v>79</v>
      </c>
      <c r="M601" s="1">
        <v>96</v>
      </c>
      <c r="N601" s="1">
        <v>131</v>
      </c>
      <c r="O601" s="1">
        <v>109</v>
      </c>
      <c r="P601" s="1">
        <v>76</v>
      </c>
      <c r="Q601" s="1">
        <v>57</v>
      </c>
    </row>
    <row r="602" spans="1:17" ht="15.75" customHeight="1">
      <c r="A602" s="1">
        <v>2018</v>
      </c>
      <c r="B602" s="1">
        <v>140</v>
      </c>
      <c r="C602" s="1" t="s">
        <v>188</v>
      </c>
      <c r="D602" s="1">
        <v>4.0149999999999997</v>
      </c>
      <c r="E602" s="1" t="s">
        <v>458</v>
      </c>
      <c r="F602" s="1">
        <v>73</v>
      </c>
      <c r="G602" s="1">
        <v>126</v>
      </c>
      <c r="H602" s="1">
        <v>98</v>
      </c>
      <c r="I602" s="1">
        <v>98</v>
      </c>
      <c r="J602" s="1">
        <v>29</v>
      </c>
      <c r="K602" s="1">
        <v>40</v>
      </c>
      <c r="L602" s="1">
        <v>76</v>
      </c>
      <c r="M602" s="1">
        <v>101</v>
      </c>
      <c r="N602" s="1">
        <v>103</v>
      </c>
      <c r="O602" s="1">
        <v>40</v>
      </c>
      <c r="P602" s="1">
        <v>32</v>
      </c>
      <c r="Q602" s="1">
        <v>104</v>
      </c>
    </row>
    <row r="603" spans="1:17" ht="15.75" customHeight="1">
      <c r="A603" s="1">
        <v>2018</v>
      </c>
      <c r="B603" s="1">
        <v>141</v>
      </c>
      <c r="C603" s="1" t="s">
        <v>238</v>
      </c>
      <c r="D603" s="1">
        <v>3.9750000000000001</v>
      </c>
      <c r="E603" s="1" t="s">
        <v>459</v>
      </c>
      <c r="F603" s="1">
        <v>141</v>
      </c>
      <c r="G603" s="1">
        <v>111</v>
      </c>
      <c r="H603" s="1">
        <v>136</v>
      </c>
      <c r="I603" s="1">
        <v>126</v>
      </c>
      <c r="J603" s="1">
        <v>84</v>
      </c>
      <c r="K603" s="1">
        <v>86</v>
      </c>
      <c r="L603" s="1">
        <v>111</v>
      </c>
      <c r="M603" s="1">
        <v>71</v>
      </c>
      <c r="N603" s="1">
        <v>129</v>
      </c>
      <c r="O603" s="1">
        <v>86</v>
      </c>
      <c r="P603" s="1">
        <v>4</v>
      </c>
      <c r="Q603" s="1">
        <v>1</v>
      </c>
    </row>
    <row r="604" spans="1:17" ht="15.75" customHeight="1">
      <c r="A604" s="1">
        <v>2018</v>
      </c>
      <c r="B604" s="1">
        <v>142</v>
      </c>
      <c r="C604" s="1" t="s">
        <v>219</v>
      </c>
      <c r="D604" s="1">
        <v>3.9729999999999999</v>
      </c>
      <c r="E604" s="1">
        <v>0.122</v>
      </c>
      <c r="F604" s="1">
        <v>122</v>
      </c>
      <c r="G604" s="1">
        <v>128</v>
      </c>
      <c r="H604" s="1">
        <v>118</v>
      </c>
      <c r="I604" s="1">
        <v>101</v>
      </c>
      <c r="J604" s="1">
        <v>135</v>
      </c>
      <c r="K604" s="1">
        <v>48</v>
      </c>
      <c r="L604" s="1">
        <v>67</v>
      </c>
      <c r="M604" s="1">
        <v>63</v>
      </c>
      <c r="N604" s="1">
        <v>95</v>
      </c>
      <c r="O604" s="1">
        <v>48</v>
      </c>
      <c r="P604" s="1">
        <v>3</v>
      </c>
      <c r="Q604" s="1">
        <v>15</v>
      </c>
    </row>
    <row r="605" spans="1:17" ht="15.75" customHeight="1">
      <c r="A605" s="1">
        <v>2018</v>
      </c>
      <c r="B605" s="1">
        <v>143</v>
      </c>
      <c r="C605" s="1" t="s">
        <v>235</v>
      </c>
      <c r="D605" s="1">
        <v>3.9329999999999998</v>
      </c>
      <c r="E605" s="1" t="s">
        <v>119</v>
      </c>
      <c r="F605" s="1">
        <v>100</v>
      </c>
      <c r="G605" s="1">
        <v>123</v>
      </c>
      <c r="H605" s="1">
        <v>135</v>
      </c>
      <c r="I605" s="1">
        <v>113</v>
      </c>
      <c r="J605" s="1">
        <v>137</v>
      </c>
      <c r="K605" s="1">
        <v>102</v>
      </c>
      <c r="L605" s="1">
        <v>116</v>
      </c>
      <c r="M605" s="1">
        <v>45</v>
      </c>
      <c r="N605" s="1">
        <v>106</v>
      </c>
      <c r="O605" s="1">
        <v>102</v>
      </c>
      <c r="P605" s="1">
        <v>35</v>
      </c>
      <c r="Q605" s="1">
        <v>95</v>
      </c>
    </row>
    <row r="606" spans="1:17" ht="15.75" customHeight="1">
      <c r="A606" s="1">
        <v>2018</v>
      </c>
      <c r="B606" s="1">
        <v>144</v>
      </c>
      <c r="C606" s="1" t="s">
        <v>321</v>
      </c>
      <c r="D606" s="1">
        <v>3.802</v>
      </c>
      <c r="E606" s="1" t="s">
        <v>460</v>
      </c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spans="1:17" ht="15.75" customHeight="1">
      <c r="A607" s="1">
        <v>2018</v>
      </c>
      <c r="B607" s="1">
        <v>145</v>
      </c>
      <c r="C607" s="1" t="s">
        <v>250</v>
      </c>
      <c r="D607" s="1">
        <v>3.7749999999999999</v>
      </c>
      <c r="E607" s="1">
        <v>6.9000000000000006E-2</v>
      </c>
      <c r="F607" s="1">
        <v>120</v>
      </c>
      <c r="G607" s="1">
        <v>141</v>
      </c>
      <c r="H607" s="1">
        <v>140</v>
      </c>
      <c r="I607" s="1">
        <v>114</v>
      </c>
      <c r="J607" s="1">
        <v>121</v>
      </c>
      <c r="K607" s="1">
        <v>137</v>
      </c>
      <c r="L607" s="1">
        <v>22</v>
      </c>
      <c r="M607" s="1">
        <v>83</v>
      </c>
      <c r="N607" s="1">
        <v>107</v>
      </c>
      <c r="O607" s="1">
        <v>137</v>
      </c>
      <c r="P607" s="1">
        <v>60</v>
      </c>
      <c r="Q607" s="1">
        <v>119</v>
      </c>
    </row>
    <row r="608" spans="1:17" ht="15.75" customHeight="1">
      <c r="A608" s="1">
        <v>2018</v>
      </c>
      <c r="B608" s="1">
        <v>146</v>
      </c>
      <c r="C608" s="1" t="s">
        <v>208</v>
      </c>
      <c r="D608" s="1">
        <v>3.6629999999999998</v>
      </c>
      <c r="E608" s="1" t="s">
        <v>461</v>
      </c>
      <c r="F608" s="1">
        <v>93</v>
      </c>
      <c r="G608" s="1">
        <v>99</v>
      </c>
      <c r="H608" s="1">
        <v>117</v>
      </c>
      <c r="I608" s="1">
        <v>133</v>
      </c>
      <c r="J608" s="1">
        <v>85</v>
      </c>
      <c r="K608" s="1">
        <v>115</v>
      </c>
      <c r="L608" s="1">
        <v>93</v>
      </c>
      <c r="M608" s="1">
        <v>75</v>
      </c>
      <c r="N608" s="1">
        <v>31</v>
      </c>
      <c r="O608" s="1">
        <v>115</v>
      </c>
      <c r="P608" s="1">
        <v>39</v>
      </c>
      <c r="Q608" s="1">
        <v>50</v>
      </c>
    </row>
    <row r="609" spans="1:17" ht="15.75" customHeight="1">
      <c r="A609" s="1">
        <v>2018</v>
      </c>
      <c r="B609" s="1">
        <v>147</v>
      </c>
      <c r="C609" s="1" t="s">
        <v>216</v>
      </c>
      <c r="D609" s="1">
        <v>3.597</v>
      </c>
      <c r="E609" s="1" t="s">
        <v>462</v>
      </c>
      <c r="F609" s="1">
        <v>129</v>
      </c>
      <c r="G609" s="1">
        <v>137</v>
      </c>
      <c r="H609" s="1">
        <v>119</v>
      </c>
      <c r="I609" s="1">
        <v>122</v>
      </c>
      <c r="J609" s="1">
        <v>132</v>
      </c>
      <c r="K609" s="1">
        <v>6</v>
      </c>
      <c r="L609" s="1">
        <v>42</v>
      </c>
      <c r="M609" s="1">
        <v>103</v>
      </c>
      <c r="N609" s="1">
        <v>104</v>
      </c>
      <c r="O609" s="1">
        <v>6</v>
      </c>
      <c r="P609" s="1">
        <v>6</v>
      </c>
      <c r="Q609" s="1">
        <v>5</v>
      </c>
    </row>
    <row r="610" spans="1:17" ht="15.75" customHeight="1">
      <c r="A610" s="1">
        <v>2018</v>
      </c>
      <c r="B610" s="1">
        <v>148</v>
      </c>
      <c r="C610" s="1" t="s">
        <v>218</v>
      </c>
      <c r="D610" s="1">
        <v>3.488</v>
      </c>
      <c r="E610" s="1" t="s">
        <v>463</v>
      </c>
      <c r="F610" s="1">
        <v>105</v>
      </c>
      <c r="G610" s="1">
        <v>90</v>
      </c>
      <c r="H610" s="1">
        <v>63</v>
      </c>
      <c r="I610" s="1">
        <v>116</v>
      </c>
      <c r="J610" s="1">
        <v>61</v>
      </c>
      <c r="K610" s="1">
        <v>138</v>
      </c>
      <c r="L610" s="1">
        <v>77</v>
      </c>
      <c r="M610" s="1">
        <v>62</v>
      </c>
      <c r="N610" s="1">
        <v>57</v>
      </c>
      <c r="O610" s="1">
        <v>138</v>
      </c>
      <c r="P610" s="1">
        <v>110</v>
      </c>
      <c r="Q610" s="1">
        <v>12</v>
      </c>
    </row>
    <row r="611" spans="1:17" ht="15.75" customHeight="1">
      <c r="A611" s="1">
        <v>2018</v>
      </c>
      <c r="B611" s="1">
        <v>149</v>
      </c>
      <c r="C611" s="1" t="s">
        <v>248</v>
      </c>
      <c r="D611" s="1">
        <v>3.4620000000000002</v>
      </c>
      <c r="E611" s="1" t="s">
        <v>331</v>
      </c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spans="1:17" ht="15.75" customHeight="1">
      <c r="A612" s="1">
        <v>2018</v>
      </c>
      <c r="B612" s="1">
        <v>150</v>
      </c>
      <c r="C612" s="1" t="s">
        <v>210</v>
      </c>
      <c r="D612" s="1">
        <v>3.41</v>
      </c>
      <c r="E612" s="1" t="s">
        <v>464</v>
      </c>
      <c r="F612" s="1">
        <v>132</v>
      </c>
      <c r="G612" s="1">
        <v>138</v>
      </c>
      <c r="H612" s="1">
        <v>137</v>
      </c>
      <c r="I612" s="1">
        <v>119</v>
      </c>
      <c r="J612" s="1">
        <v>69</v>
      </c>
      <c r="K612" s="1">
        <v>87</v>
      </c>
      <c r="L612" s="1">
        <v>56</v>
      </c>
      <c r="M612" s="1">
        <v>114</v>
      </c>
      <c r="N612" s="1">
        <v>108</v>
      </c>
      <c r="O612" s="1">
        <v>87</v>
      </c>
      <c r="P612" s="1">
        <v>36</v>
      </c>
      <c r="Q612" s="1">
        <v>14</v>
      </c>
    </row>
    <row r="613" spans="1:17" ht="15.75" customHeight="1">
      <c r="A613" s="1">
        <v>2018</v>
      </c>
      <c r="B613" s="1">
        <v>151</v>
      </c>
      <c r="C613" s="1" t="s">
        <v>233</v>
      </c>
      <c r="D613" s="1">
        <v>3.38</v>
      </c>
      <c r="E613" s="1" t="s">
        <v>465</v>
      </c>
      <c r="F613" s="1">
        <v>87</v>
      </c>
      <c r="G613" s="1">
        <v>93</v>
      </c>
      <c r="H613" s="1">
        <v>133</v>
      </c>
      <c r="I613" s="1">
        <v>110</v>
      </c>
      <c r="J613" s="1">
        <v>136</v>
      </c>
      <c r="K613" s="1">
        <v>139</v>
      </c>
      <c r="L613" s="1">
        <v>65</v>
      </c>
      <c r="M613" s="1">
        <v>135</v>
      </c>
      <c r="N613" s="1">
        <v>88</v>
      </c>
      <c r="O613" s="1">
        <v>139</v>
      </c>
      <c r="P613" s="1">
        <v>131</v>
      </c>
      <c r="Q613" s="1">
        <v>80</v>
      </c>
    </row>
    <row r="614" spans="1:17" ht="15.75" customHeight="1">
      <c r="A614" s="1">
        <v>2018</v>
      </c>
      <c r="B614" s="1">
        <v>152</v>
      </c>
      <c r="C614" s="1" t="s">
        <v>242</v>
      </c>
      <c r="D614" s="1">
        <v>3.3340000000000001</v>
      </c>
      <c r="E614" s="1" t="s">
        <v>437</v>
      </c>
      <c r="F614" s="1">
        <v>83</v>
      </c>
      <c r="G614" s="1">
        <v>132</v>
      </c>
      <c r="H614" s="1">
        <v>128</v>
      </c>
      <c r="I614" s="1">
        <v>104</v>
      </c>
      <c r="J614" s="1">
        <v>15</v>
      </c>
      <c r="K614" s="1">
        <v>70</v>
      </c>
      <c r="L614" s="1">
        <v>3</v>
      </c>
      <c r="M614" s="1">
        <v>18</v>
      </c>
      <c r="N614" s="1">
        <v>87</v>
      </c>
      <c r="O614" s="1">
        <v>70</v>
      </c>
      <c r="P614" s="1">
        <v>72</v>
      </c>
      <c r="Q614" s="1">
        <v>97</v>
      </c>
    </row>
    <row r="615" spans="1:17" ht="15.75" customHeight="1">
      <c r="A615" s="1">
        <v>2018</v>
      </c>
      <c r="B615" s="1">
        <v>153</v>
      </c>
      <c r="C615" s="1" t="s">
        <v>236</v>
      </c>
      <c r="D615" s="1">
        <v>3.2309999999999999</v>
      </c>
      <c r="E615" s="1" t="s">
        <v>466</v>
      </c>
      <c r="F615" s="1">
        <v>110</v>
      </c>
      <c r="G615" s="1">
        <v>121</v>
      </c>
      <c r="H615" s="1">
        <v>122</v>
      </c>
      <c r="I615" s="1">
        <v>105</v>
      </c>
      <c r="J615" s="1">
        <v>68</v>
      </c>
      <c r="K615" s="1">
        <v>39</v>
      </c>
      <c r="L615" s="1">
        <v>23</v>
      </c>
      <c r="M615" s="1">
        <v>57</v>
      </c>
      <c r="N615" s="1">
        <v>38</v>
      </c>
      <c r="O615" s="1">
        <v>39</v>
      </c>
      <c r="P615" s="1">
        <v>84</v>
      </c>
      <c r="Q615" s="1">
        <v>92</v>
      </c>
    </row>
    <row r="616" spans="1:17" ht="15.75" customHeight="1">
      <c r="A616" s="1">
        <v>2018</v>
      </c>
      <c r="B616" s="1">
        <v>154</v>
      </c>
      <c r="C616" s="1" t="s">
        <v>245</v>
      </c>
      <c r="D616" s="1">
        <v>3.2029999999999998</v>
      </c>
      <c r="E616" s="1" t="s">
        <v>467</v>
      </c>
      <c r="F616" s="1">
        <v>4</v>
      </c>
      <c r="G616" s="1">
        <v>139</v>
      </c>
      <c r="H616" s="1">
        <v>124</v>
      </c>
      <c r="I616" s="1">
        <v>132</v>
      </c>
      <c r="J616" s="1">
        <v>140</v>
      </c>
      <c r="K616" s="1">
        <v>133</v>
      </c>
      <c r="L616" s="1">
        <v>130</v>
      </c>
      <c r="M616" s="1">
        <v>138</v>
      </c>
      <c r="N616" s="1">
        <v>123</v>
      </c>
      <c r="O616" s="1">
        <v>133</v>
      </c>
      <c r="P616" s="1">
        <v>87</v>
      </c>
      <c r="Q616" s="1">
        <v>87</v>
      </c>
    </row>
    <row r="617" spans="1:17" ht="15.75" customHeight="1">
      <c r="A617" s="1">
        <v>2018</v>
      </c>
      <c r="B617" s="1">
        <v>155</v>
      </c>
      <c r="C617" s="1" t="s">
        <v>332</v>
      </c>
      <c r="D617" s="1">
        <v>3.0830000000000002</v>
      </c>
      <c r="E617" s="1" t="s">
        <v>402</v>
      </c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spans="1:17" ht="15.75" customHeight="1">
      <c r="A618" s="1">
        <v>2018</v>
      </c>
      <c r="B618" s="1">
        <v>156</v>
      </c>
      <c r="C618" s="1" t="s">
        <v>226</v>
      </c>
      <c r="D618" s="1">
        <v>2.8530000000000002</v>
      </c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spans="1:17" ht="15.75" customHeight="1">
      <c r="A619" s="1">
        <v>2018</v>
      </c>
      <c r="B619" s="1"/>
      <c r="C619" s="1" t="s">
        <v>468</v>
      </c>
      <c r="D619" s="1"/>
      <c r="E619" s="1"/>
      <c r="F619" s="1">
        <v>52</v>
      </c>
      <c r="G619" s="1">
        <v>28</v>
      </c>
      <c r="H619" s="1">
        <v>55</v>
      </c>
      <c r="I619" s="1">
        <v>30</v>
      </c>
      <c r="J619" s="1">
        <v>50</v>
      </c>
      <c r="K619" s="1">
        <v>36</v>
      </c>
      <c r="L619" s="1"/>
      <c r="M619" s="1"/>
      <c r="N619" s="1"/>
      <c r="O619" s="1">
        <v>36</v>
      </c>
      <c r="P619" s="1">
        <v>41</v>
      </c>
      <c r="Q619" s="1">
        <v>56</v>
      </c>
    </row>
    <row r="620" spans="1:17" ht="15.75" customHeight="1">
      <c r="A620" s="1">
        <v>2019</v>
      </c>
      <c r="B620" s="1">
        <v>1</v>
      </c>
      <c r="C620" s="1" t="s">
        <v>37</v>
      </c>
      <c r="D620" s="1">
        <v>7.8090000000000002</v>
      </c>
      <c r="E620" s="1">
        <v>0.42</v>
      </c>
      <c r="F620" s="1">
        <v>5</v>
      </c>
      <c r="G620" s="1">
        <v>20</v>
      </c>
      <c r="H620" s="1">
        <v>18</v>
      </c>
      <c r="I620" s="1">
        <v>22</v>
      </c>
      <c r="J620" s="1">
        <v>7</v>
      </c>
      <c r="K620" s="1">
        <v>39</v>
      </c>
      <c r="L620" s="1">
        <v>4</v>
      </c>
      <c r="M620" s="1">
        <v>39</v>
      </c>
      <c r="N620" s="1">
        <v>16</v>
      </c>
      <c r="O620" s="1">
        <v>39</v>
      </c>
      <c r="P620" s="1">
        <v>30</v>
      </c>
      <c r="Q620" s="1">
        <v>97</v>
      </c>
    </row>
    <row r="621" spans="1:17" ht="15.75" customHeight="1">
      <c r="A621" s="1">
        <v>2019</v>
      </c>
      <c r="B621" s="1">
        <v>2</v>
      </c>
      <c r="C621" s="1" t="s">
        <v>30</v>
      </c>
      <c r="D621" s="1">
        <v>7.6459999999999999</v>
      </c>
      <c r="E621" s="1" t="s">
        <v>194</v>
      </c>
      <c r="F621" s="1">
        <v>7</v>
      </c>
      <c r="G621" s="1">
        <v>5</v>
      </c>
      <c r="H621" s="1">
        <v>9</v>
      </c>
      <c r="I621" s="1">
        <v>18</v>
      </c>
      <c r="J621" s="1">
        <v>2</v>
      </c>
      <c r="K621" s="1">
        <v>30</v>
      </c>
      <c r="L621" s="1">
        <v>3</v>
      </c>
      <c r="M621" s="1">
        <v>6</v>
      </c>
      <c r="N621" s="1">
        <v>17</v>
      </c>
      <c r="O621" s="1">
        <v>30</v>
      </c>
      <c r="P621" s="1">
        <v>65</v>
      </c>
      <c r="Q621" s="1">
        <v>67</v>
      </c>
    </row>
    <row r="622" spans="1:17" ht="15.75" customHeight="1">
      <c r="A622" s="1">
        <v>2019</v>
      </c>
      <c r="B622" s="1">
        <v>3</v>
      </c>
      <c r="C622" s="1" t="s">
        <v>32</v>
      </c>
      <c r="D622" s="1">
        <v>7.56</v>
      </c>
      <c r="E622" s="1" t="s">
        <v>409</v>
      </c>
      <c r="F622" s="1">
        <v>6</v>
      </c>
      <c r="G622" s="1">
        <v>9</v>
      </c>
      <c r="H622" s="1">
        <v>5</v>
      </c>
      <c r="I622" s="1">
        <v>5</v>
      </c>
      <c r="J622" s="1">
        <v>18</v>
      </c>
      <c r="K622" s="1">
        <v>26</v>
      </c>
      <c r="L622" s="1">
        <v>8</v>
      </c>
      <c r="M622" s="1">
        <v>31</v>
      </c>
      <c r="N622" s="1">
        <v>11</v>
      </c>
      <c r="O622" s="1">
        <v>26</v>
      </c>
      <c r="P622" s="1">
        <v>32</v>
      </c>
      <c r="Q622" s="1">
        <v>125</v>
      </c>
    </row>
    <row r="623" spans="1:17" ht="15.75" customHeight="1">
      <c r="A623" s="1">
        <v>2019</v>
      </c>
      <c r="B623" s="1">
        <v>4</v>
      </c>
      <c r="C623" s="1" t="s">
        <v>34</v>
      </c>
      <c r="D623" s="1">
        <v>7.5039999999999996</v>
      </c>
      <c r="E623" s="1">
        <v>0.14899999999999999</v>
      </c>
      <c r="F623" s="1">
        <v>10</v>
      </c>
      <c r="G623" s="1">
        <v>1</v>
      </c>
      <c r="H623" s="1">
        <v>11</v>
      </c>
      <c r="I623" s="1">
        <v>10</v>
      </c>
      <c r="J623" s="1">
        <v>3</v>
      </c>
      <c r="K623" s="1">
        <v>41</v>
      </c>
      <c r="L623" s="1">
        <v>15</v>
      </c>
      <c r="M623" s="1">
        <v>13</v>
      </c>
      <c r="N623" s="1"/>
      <c r="O623" s="1"/>
      <c r="P623" s="1"/>
      <c r="Q623" s="1"/>
    </row>
    <row r="624" spans="1:17" ht="15.75" customHeight="1">
      <c r="A624" s="1">
        <v>2019</v>
      </c>
      <c r="B624" s="1">
        <v>5</v>
      </c>
      <c r="C624" s="1" t="s">
        <v>35</v>
      </c>
      <c r="D624" s="1">
        <v>7.4880000000000004</v>
      </c>
      <c r="E624" s="1" t="s">
        <v>31</v>
      </c>
      <c r="F624" s="1">
        <v>13</v>
      </c>
      <c r="G624" s="1">
        <v>17</v>
      </c>
      <c r="H624" s="1">
        <v>4</v>
      </c>
      <c r="I624" s="1">
        <v>11</v>
      </c>
      <c r="J624" s="1">
        <v>5</v>
      </c>
      <c r="K624" s="1">
        <v>14</v>
      </c>
      <c r="L624" s="1">
        <v>7</v>
      </c>
      <c r="M624" s="1">
        <v>16</v>
      </c>
      <c r="N624" s="1">
        <v>24</v>
      </c>
      <c r="O624" s="1">
        <v>14</v>
      </c>
      <c r="P624" s="1">
        <v>28</v>
      </c>
      <c r="Q624" s="1">
        <v>103</v>
      </c>
    </row>
    <row r="625" spans="1:17" ht="15.75" customHeight="1">
      <c r="A625" s="1">
        <v>2019</v>
      </c>
      <c r="B625" s="1">
        <v>6</v>
      </c>
      <c r="C625" s="1" t="s">
        <v>40</v>
      </c>
      <c r="D625" s="1">
        <v>7.4489999999999998</v>
      </c>
      <c r="E625" s="1" t="s">
        <v>291</v>
      </c>
      <c r="F625" s="1">
        <v>2</v>
      </c>
      <c r="G625" s="1">
        <v>18</v>
      </c>
      <c r="H625" s="1">
        <v>8</v>
      </c>
      <c r="I625" s="1"/>
      <c r="J625" s="1">
        <v>38</v>
      </c>
      <c r="K625" s="1">
        <v>5</v>
      </c>
      <c r="L625" s="1">
        <v>9</v>
      </c>
      <c r="M625" s="1">
        <v>43</v>
      </c>
      <c r="N625" s="1">
        <v>43</v>
      </c>
      <c r="O625" s="1">
        <v>5</v>
      </c>
      <c r="P625" s="1">
        <v>42</v>
      </c>
      <c r="Q625" s="1">
        <v>122</v>
      </c>
    </row>
    <row r="626" spans="1:17" ht="15.75" customHeight="1">
      <c r="A626" s="1">
        <v>2019</v>
      </c>
      <c r="B626" s="1">
        <v>7</v>
      </c>
      <c r="C626" s="1" t="s">
        <v>45</v>
      </c>
      <c r="D626" s="1">
        <v>7.3529999999999998</v>
      </c>
      <c r="E626" s="1" t="s">
        <v>368</v>
      </c>
      <c r="F626" s="1">
        <v>14</v>
      </c>
      <c r="G626" s="1">
        <v>24</v>
      </c>
      <c r="H626" s="1">
        <v>14</v>
      </c>
      <c r="I626" s="1">
        <v>9</v>
      </c>
      <c r="J626" s="1">
        <v>9</v>
      </c>
      <c r="K626" s="1">
        <v>18</v>
      </c>
      <c r="L626" s="1">
        <v>6</v>
      </c>
      <c r="M626" s="1">
        <v>18</v>
      </c>
      <c r="N626" s="1">
        <v>28</v>
      </c>
      <c r="O626" s="1">
        <v>18</v>
      </c>
      <c r="P626" s="1">
        <v>97</v>
      </c>
      <c r="Q626" s="1">
        <v>95</v>
      </c>
    </row>
    <row r="627" spans="1:17" ht="15.75" customHeight="1">
      <c r="A627" s="1">
        <v>2019</v>
      </c>
      <c r="B627" s="1">
        <v>8</v>
      </c>
      <c r="C627" s="1" t="s">
        <v>42</v>
      </c>
      <c r="D627" s="1">
        <v>7.3</v>
      </c>
      <c r="E627" s="1">
        <v>7.9000000000000001E-2</v>
      </c>
      <c r="F627" s="1">
        <v>30</v>
      </c>
      <c r="G627" s="1">
        <v>19</v>
      </c>
      <c r="H627" s="1">
        <v>27</v>
      </c>
      <c r="I627" s="1">
        <v>26</v>
      </c>
      <c r="J627" s="1">
        <v>19</v>
      </c>
      <c r="K627" s="1">
        <v>11</v>
      </c>
      <c r="L627" s="1">
        <v>5</v>
      </c>
      <c r="M627" s="1">
        <v>20</v>
      </c>
      <c r="N627" s="1">
        <v>21</v>
      </c>
      <c r="O627" s="1">
        <v>11</v>
      </c>
      <c r="P627" s="1">
        <v>8</v>
      </c>
      <c r="Q627" s="1">
        <v>56</v>
      </c>
    </row>
    <row r="628" spans="1:17" ht="15.75" customHeight="1">
      <c r="A628" s="1">
        <v>2019</v>
      </c>
      <c r="B628" s="1">
        <v>9</v>
      </c>
      <c r="C628" s="1" t="s">
        <v>49</v>
      </c>
      <c r="D628" s="1">
        <v>7.2939999999999996</v>
      </c>
      <c r="E628" s="1" t="s">
        <v>469</v>
      </c>
      <c r="F628" s="1">
        <v>11</v>
      </c>
      <c r="G628" s="1">
        <v>3</v>
      </c>
      <c r="H628" s="1">
        <v>12</v>
      </c>
      <c r="I628" s="1">
        <v>17</v>
      </c>
      <c r="J628" s="1">
        <v>25</v>
      </c>
      <c r="K628" s="1">
        <v>24</v>
      </c>
      <c r="L628" s="1">
        <v>15</v>
      </c>
      <c r="M628" s="1">
        <v>46</v>
      </c>
      <c r="N628" s="1">
        <v>30</v>
      </c>
      <c r="O628" s="1">
        <v>24</v>
      </c>
      <c r="P628" s="1">
        <v>37</v>
      </c>
      <c r="Q628" s="1">
        <v>79</v>
      </c>
    </row>
    <row r="629" spans="1:17" ht="15.75" customHeight="1">
      <c r="A629" s="1">
        <v>2019</v>
      </c>
      <c r="B629" s="1">
        <v>10</v>
      </c>
      <c r="C629" s="1" t="s">
        <v>59</v>
      </c>
      <c r="D629" s="1">
        <v>7.2380000000000004</v>
      </c>
      <c r="E629" s="1">
        <v>0.184</v>
      </c>
      <c r="F629" s="1">
        <v>1</v>
      </c>
      <c r="G629" s="1">
        <v>35</v>
      </c>
      <c r="H629" s="1">
        <v>1</v>
      </c>
      <c r="I629" s="1">
        <v>7</v>
      </c>
      <c r="J629" s="1">
        <v>11</v>
      </c>
      <c r="K629" s="1">
        <v>31</v>
      </c>
      <c r="L629" s="1">
        <v>11</v>
      </c>
      <c r="M629" s="1">
        <v>32</v>
      </c>
      <c r="N629" s="1">
        <v>34</v>
      </c>
      <c r="O629" s="1">
        <v>31</v>
      </c>
      <c r="P629" s="1">
        <v>22</v>
      </c>
      <c r="Q629" s="1">
        <v>132</v>
      </c>
    </row>
    <row r="630" spans="1:17" ht="15.75" customHeight="1">
      <c r="A630" s="1">
        <v>2019</v>
      </c>
      <c r="B630" s="1">
        <v>11</v>
      </c>
      <c r="C630" s="1" t="s">
        <v>38</v>
      </c>
      <c r="D630" s="1">
        <v>7.2320000000000002</v>
      </c>
      <c r="E630" s="1" t="s">
        <v>470</v>
      </c>
      <c r="F630" s="1">
        <v>28</v>
      </c>
      <c r="G630" s="1">
        <v>27</v>
      </c>
      <c r="H630" s="1">
        <v>17</v>
      </c>
      <c r="I630" s="1">
        <v>19</v>
      </c>
      <c r="J630" s="1">
        <v>20</v>
      </c>
      <c r="K630" s="1">
        <v>17</v>
      </c>
      <c r="L630" s="1">
        <v>14</v>
      </c>
      <c r="M630" s="1">
        <v>17</v>
      </c>
      <c r="N630" s="1">
        <v>79</v>
      </c>
      <c r="O630" s="1">
        <v>17</v>
      </c>
      <c r="P630" s="1">
        <v>15</v>
      </c>
      <c r="Q630" s="1">
        <v>31</v>
      </c>
    </row>
    <row r="631" spans="1:17" ht="15.75" customHeight="1">
      <c r="A631" s="1">
        <v>2019</v>
      </c>
      <c r="B631" s="1">
        <v>12</v>
      </c>
      <c r="C631" s="1" t="s">
        <v>43</v>
      </c>
      <c r="D631" s="1">
        <v>7.2229999999999999</v>
      </c>
      <c r="E631" s="1" t="s">
        <v>368</v>
      </c>
      <c r="F631" s="1">
        <v>21</v>
      </c>
      <c r="G631" s="1">
        <v>15</v>
      </c>
      <c r="H631" s="1">
        <v>16</v>
      </c>
      <c r="I631" s="1">
        <v>20</v>
      </c>
      <c r="J631" s="1">
        <v>16</v>
      </c>
      <c r="K631" s="1">
        <v>15</v>
      </c>
      <c r="L631" s="1">
        <v>12</v>
      </c>
      <c r="M631" s="1">
        <v>45</v>
      </c>
      <c r="N631" s="1">
        <v>29</v>
      </c>
      <c r="O631" s="1">
        <v>15</v>
      </c>
      <c r="P631" s="1">
        <v>16</v>
      </c>
      <c r="Q631" s="1">
        <v>47</v>
      </c>
    </row>
    <row r="632" spans="1:17" ht="15.75" customHeight="1">
      <c r="A632" s="1">
        <v>2019</v>
      </c>
      <c r="B632" s="1">
        <v>13</v>
      </c>
      <c r="C632" s="1" t="s">
        <v>64</v>
      </c>
      <c r="D632" s="1">
        <v>7.165</v>
      </c>
      <c r="E632" s="1">
        <v>0.28199999999999997</v>
      </c>
      <c r="F632" s="1">
        <v>18</v>
      </c>
      <c r="G632" s="1">
        <v>16</v>
      </c>
      <c r="H632" s="1">
        <v>24</v>
      </c>
      <c r="I632" s="1">
        <v>27</v>
      </c>
      <c r="J632" s="1">
        <v>54</v>
      </c>
      <c r="K632" s="1">
        <v>3</v>
      </c>
      <c r="L632" s="1">
        <v>18</v>
      </c>
      <c r="M632" s="1">
        <v>34</v>
      </c>
      <c r="N632" s="1">
        <v>58</v>
      </c>
      <c r="O632" s="1">
        <v>3</v>
      </c>
      <c r="P632" s="1">
        <v>11</v>
      </c>
      <c r="Q632" s="1">
        <v>32</v>
      </c>
    </row>
    <row r="633" spans="1:17" ht="15.75" customHeight="1">
      <c r="A633" s="1">
        <v>2019</v>
      </c>
      <c r="B633" s="1">
        <v>14</v>
      </c>
      <c r="C633" s="1" t="s">
        <v>47</v>
      </c>
      <c r="D633" s="1">
        <v>7.1289999999999996</v>
      </c>
      <c r="E633" s="1" t="s">
        <v>419</v>
      </c>
      <c r="F633" s="1">
        <v>9</v>
      </c>
      <c r="G633" s="1">
        <v>12</v>
      </c>
      <c r="H633" s="1">
        <v>33</v>
      </c>
      <c r="I633" s="1">
        <v>6</v>
      </c>
      <c r="J633" s="1">
        <v>62</v>
      </c>
      <c r="K633" s="1">
        <v>23</v>
      </c>
      <c r="L633" s="1">
        <v>57</v>
      </c>
      <c r="M633" s="1">
        <v>102</v>
      </c>
      <c r="N633" s="1">
        <v>65</v>
      </c>
      <c r="O633" s="1">
        <v>23</v>
      </c>
      <c r="P633" s="1">
        <v>38</v>
      </c>
      <c r="Q633" s="1">
        <v>70</v>
      </c>
    </row>
    <row r="634" spans="1:17" ht="15.75" customHeight="1">
      <c r="A634" s="1">
        <v>2019</v>
      </c>
      <c r="B634" s="12">
        <v>15</v>
      </c>
      <c r="C634" s="8" t="s">
        <v>471</v>
      </c>
      <c r="D634" s="5">
        <v>7.1210000000000004</v>
      </c>
      <c r="E634" s="9" t="s">
        <v>278</v>
      </c>
      <c r="F634" s="6">
        <v>55</v>
      </c>
      <c r="G634" s="6">
        <v>38</v>
      </c>
      <c r="H634" s="6">
        <v>56</v>
      </c>
      <c r="I634" s="10">
        <v>31</v>
      </c>
      <c r="J634" s="6">
        <v>13</v>
      </c>
      <c r="K634" s="6">
        <v>97</v>
      </c>
      <c r="L634" s="6">
        <v>95</v>
      </c>
      <c r="M634" s="6">
        <v>11</v>
      </c>
      <c r="N634" s="6">
        <v>85</v>
      </c>
      <c r="O634" s="6">
        <v>97</v>
      </c>
      <c r="P634" s="6">
        <v>82</v>
      </c>
      <c r="Q634" s="6">
        <v>74</v>
      </c>
    </row>
    <row r="635" spans="1:17" ht="15.75" customHeight="1">
      <c r="A635" s="1">
        <v>2019</v>
      </c>
      <c r="B635" s="12">
        <v>16</v>
      </c>
      <c r="C635" s="8" t="s">
        <v>472</v>
      </c>
      <c r="D635" s="5">
        <v>7.0940000000000003</v>
      </c>
      <c r="E635" s="6">
        <v>1.7999999999999999E-2</v>
      </c>
      <c r="F635" s="6">
        <v>19</v>
      </c>
      <c r="G635" s="6">
        <v>14</v>
      </c>
      <c r="H635" s="6">
        <v>3</v>
      </c>
      <c r="I635" s="7">
        <v>15</v>
      </c>
      <c r="J635" s="6">
        <v>33</v>
      </c>
      <c r="K635" s="6">
        <v>16</v>
      </c>
      <c r="L635" s="6">
        <v>10</v>
      </c>
      <c r="M635" s="6">
        <v>25</v>
      </c>
      <c r="N635" s="6">
        <v>39</v>
      </c>
      <c r="O635" s="6">
        <v>16</v>
      </c>
      <c r="P635" s="6">
        <v>19</v>
      </c>
      <c r="Q635" s="6">
        <v>63</v>
      </c>
    </row>
    <row r="636" spans="1:17" ht="15.75" customHeight="1">
      <c r="A636" s="1">
        <v>2019</v>
      </c>
      <c r="B636" s="12">
        <v>17</v>
      </c>
      <c r="C636" s="8" t="s">
        <v>473</v>
      </c>
      <c r="D636" s="5">
        <v>7.0759999999999996</v>
      </c>
      <c r="E636" s="6">
        <v>0.40400000000000003</v>
      </c>
      <c r="F636" s="6">
        <v>27</v>
      </c>
      <c r="G636" s="6">
        <v>49</v>
      </c>
      <c r="H636" s="6">
        <v>13</v>
      </c>
      <c r="I636" s="10">
        <v>29</v>
      </c>
      <c r="J636" s="6">
        <v>39</v>
      </c>
      <c r="K636" s="6">
        <v>25</v>
      </c>
      <c r="L636" s="6">
        <v>17</v>
      </c>
      <c r="M636" s="6">
        <v>52</v>
      </c>
      <c r="N636" s="6">
        <v>40</v>
      </c>
      <c r="O636" s="6">
        <v>25</v>
      </c>
      <c r="P636" s="6">
        <v>54</v>
      </c>
      <c r="Q636" s="6">
        <v>101</v>
      </c>
    </row>
    <row r="637" spans="1:17" ht="15.75" customHeight="1">
      <c r="A637" s="1">
        <v>2019</v>
      </c>
      <c r="B637" s="1">
        <v>18</v>
      </c>
      <c r="C637" s="1" t="s">
        <v>51</v>
      </c>
      <c r="D637" s="1">
        <v>6.94</v>
      </c>
      <c r="E637" s="1" t="s">
        <v>474</v>
      </c>
      <c r="F637" s="1">
        <v>29</v>
      </c>
      <c r="G637" s="1">
        <v>32</v>
      </c>
      <c r="H637" s="1">
        <v>6</v>
      </c>
      <c r="I637" s="1">
        <v>63</v>
      </c>
      <c r="J637" s="1">
        <v>61</v>
      </c>
      <c r="K637" s="1">
        <v>9</v>
      </c>
      <c r="L637" s="1">
        <v>42</v>
      </c>
      <c r="M637" s="1">
        <v>26</v>
      </c>
      <c r="N637" s="1">
        <v>55</v>
      </c>
      <c r="O637" s="1">
        <v>9</v>
      </c>
      <c r="P637" s="1">
        <v>9</v>
      </c>
      <c r="Q637" s="1">
        <v>15</v>
      </c>
    </row>
    <row r="638" spans="1:17" ht="15.75" customHeight="1">
      <c r="A638" s="1">
        <v>2019</v>
      </c>
      <c r="B638" s="1">
        <v>19</v>
      </c>
      <c r="C638" s="1" t="s">
        <v>70</v>
      </c>
      <c r="D638" s="1">
        <v>6.9109999999999996</v>
      </c>
      <c r="E638" s="1">
        <v>0.621</v>
      </c>
      <c r="F638" s="1"/>
      <c r="G638" s="1"/>
      <c r="H638" s="1"/>
      <c r="I638" s="1"/>
      <c r="J638" s="1"/>
      <c r="K638" s="1"/>
      <c r="L638" s="1"/>
      <c r="M638" s="1"/>
      <c r="N638" s="1"/>
      <c r="O638" s="1"/>
      <c r="Q638" s="1"/>
    </row>
    <row r="639" spans="1:17" ht="15.75" customHeight="1">
      <c r="A639" s="1">
        <v>2019</v>
      </c>
      <c r="B639" s="1">
        <v>20</v>
      </c>
      <c r="C639" s="1" t="s">
        <v>415</v>
      </c>
      <c r="D639" s="1">
        <v>6.8639999999999999</v>
      </c>
      <c r="E639" s="1" t="s">
        <v>475</v>
      </c>
      <c r="F639" s="1">
        <v>15</v>
      </c>
      <c r="G639" s="1">
        <v>50</v>
      </c>
      <c r="H639" s="1">
        <v>15</v>
      </c>
      <c r="I639" s="1">
        <v>23</v>
      </c>
      <c r="J639" s="1">
        <v>85</v>
      </c>
      <c r="K639" s="1">
        <v>77</v>
      </c>
      <c r="L639" s="1">
        <v>32</v>
      </c>
      <c r="M639" s="1">
        <v>60</v>
      </c>
      <c r="N639" s="1">
        <v>52</v>
      </c>
      <c r="O639" s="1">
        <v>77</v>
      </c>
      <c r="P639" s="1">
        <v>63</v>
      </c>
      <c r="Q639" s="1">
        <v>129</v>
      </c>
    </row>
    <row r="640" spans="1:17" ht="15.75" customHeight="1">
      <c r="A640" s="1">
        <v>2019</v>
      </c>
      <c r="B640" s="1">
        <v>21</v>
      </c>
      <c r="C640" s="1" t="s">
        <v>71</v>
      </c>
      <c r="D640" s="1">
        <v>6.7910000000000004</v>
      </c>
      <c r="E640" s="1" t="s">
        <v>476</v>
      </c>
      <c r="F640" s="1">
        <v>69</v>
      </c>
      <c r="G640" s="1">
        <v>66</v>
      </c>
      <c r="H640" s="1">
        <v>7</v>
      </c>
      <c r="I640" s="1">
        <v>28</v>
      </c>
      <c r="J640" s="1">
        <v>21</v>
      </c>
      <c r="K640" s="1">
        <v>10</v>
      </c>
      <c r="L640" s="1">
        <v>40</v>
      </c>
      <c r="M640" s="1">
        <v>78</v>
      </c>
      <c r="N640" s="1">
        <v>10</v>
      </c>
      <c r="O640" s="1">
        <v>40</v>
      </c>
      <c r="P640" s="1">
        <v>25</v>
      </c>
    </row>
    <row r="641" spans="1:17" ht="15.75" customHeight="1">
      <c r="A641" s="1">
        <v>2019</v>
      </c>
      <c r="B641" s="1">
        <v>22</v>
      </c>
      <c r="C641" s="1" t="s">
        <v>74</v>
      </c>
      <c r="D641" s="1">
        <v>6.7729999999999997</v>
      </c>
      <c r="E641" s="1">
        <v>0.80900000000000005</v>
      </c>
      <c r="F641" s="1">
        <v>33</v>
      </c>
      <c r="G641" s="1">
        <v>29</v>
      </c>
      <c r="H641" s="1">
        <v>23</v>
      </c>
      <c r="I641" s="1">
        <v>12</v>
      </c>
      <c r="J641" s="1">
        <v>14</v>
      </c>
      <c r="K641" s="1">
        <v>21</v>
      </c>
      <c r="L641" s="1">
        <v>38</v>
      </c>
      <c r="M641" s="1">
        <v>87</v>
      </c>
      <c r="N641" s="1">
        <v>107</v>
      </c>
      <c r="O641" s="1">
        <v>21</v>
      </c>
      <c r="P641" s="1">
        <v>56</v>
      </c>
      <c r="Q641" s="1">
        <v>111</v>
      </c>
    </row>
    <row r="642" spans="1:17" ht="15.75" customHeight="1">
      <c r="A642" s="1">
        <v>2019</v>
      </c>
      <c r="B642" s="1">
        <v>23</v>
      </c>
      <c r="C642" s="1" t="s">
        <v>76</v>
      </c>
      <c r="D642" s="1">
        <v>6.6639999999999997</v>
      </c>
      <c r="E642" s="1" t="s">
        <v>477</v>
      </c>
      <c r="F642" s="1">
        <v>20</v>
      </c>
      <c r="G642" s="1">
        <v>4</v>
      </c>
      <c r="H642" s="1">
        <v>22</v>
      </c>
      <c r="I642" s="1">
        <v>14</v>
      </c>
      <c r="J642" s="1">
        <v>67</v>
      </c>
      <c r="K642" s="1">
        <v>61</v>
      </c>
      <c r="L642" s="1">
        <v>22</v>
      </c>
      <c r="M642" s="1">
        <v>62</v>
      </c>
      <c r="N642" s="1">
        <v>56</v>
      </c>
      <c r="O642" s="1">
        <v>61</v>
      </c>
      <c r="P642" s="1">
        <v>26</v>
      </c>
      <c r="Q642" s="1">
        <v>130</v>
      </c>
    </row>
    <row r="643" spans="1:17" ht="15.75" customHeight="1">
      <c r="A643" s="1">
        <v>2019</v>
      </c>
      <c r="B643" s="1">
        <v>24</v>
      </c>
      <c r="C643" s="1" t="s">
        <v>61</v>
      </c>
      <c r="D643" s="1">
        <v>6.4649999999999999</v>
      </c>
      <c r="E643" s="1" t="s">
        <v>478</v>
      </c>
      <c r="F643" s="1">
        <v>77</v>
      </c>
      <c r="G643" s="1">
        <v>68</v>
      </c>
      <c r="H643" s="1">
        <v>58</v>
      </c>
      <c r="I643" s="1">
        <v>68</v>
      </c>
      <c r="J643" s="1">
        <v>26</v>
      </c>
      <c r="K643" s="1">
        <v>93</v>
      </c>
      <c r="L643" s="1">
        <v>80</v>
      </c>
      <c r="M643" s="1">
        <v>4</v>
      </c>
      <c r="N643" s="1">
        <v>60</v>
      </c>
      <c r="O643" s="1">
        <v>93</v>
      </c>
      <c r="P643" s="1">
        <v>83</v>
      </c>
      <c r="Q643" s="1">
        <v>66</v>
      </c>
    </row>
    <row r="644" spans="1:17" ht="15.75" customHeight="1">
      <c r="A644" s="1">
        <v>2019</v>
      </c>
      <c r="B644" s="1">
        <v>25</v>
      </c>
      <c r="C644" s="1" t="s">
        <v>81</v>
      </c>
      <c r="D644" s="1">
        <v>6.4550000000000001</v>
      </c>
      <c r="E644" s="1">
        <v>0.23400000000000001</v>
      </c>
      <c r="F644" s="1">
        <v>24</v>
      </c>
      <c r="G644" s="1">
        <v>43</v>
      </c>
      <c r="H644" s="1">
        <v>21</v>
      </c>
      <c r="I644" s="1"/>
      <c r="J644" s="1">
        <v>74</v>
      </c>
      <c r="K644" s="1">
        <v>59</v>
      </c>
      <c r="L644" s="1">
        <v>46</v>
      </c>
      <c r="M644" s="1">
        <v>23</v>
      </c>
      <c r="N644" s="1">
        <v>1</v>
      </c>
      <c r="O644" s="1">
        <v>59</v>
      </c>
      <c r="P644" s="1">
        <v>99</v>
      </c>
      <c r="Q644" s="1">
        <v>118</v>
      </c>
    </row>
    <row r="645" spans="1:17" ht="15.75" customHeight="1">
      <c r="A645" s="1">
        <v>2019</v>
      </c>
      <c r="B645" s="1">
        <v>26</v>
      </c>
      <c r="C645" s="1" t="s">
        <v>73</v>
      </c>
      <c r="D645" s="1">
        <v>6.44</v>
      </c>
      <c r="E645" s="1">
        <v>8.5000000000000006E-2</v>
      </c>
      <c r="F645" s="1">
        <v>48</v>
      </c>
      <c r="G645" s="1">
        <v>25</v>
      </c>
      <c r="H645" s="1">
        <v>48</v>
      </c>
      <c r="I645" s="1">
        <v>51</v>
      </c>
      <c r="J645" s="1">
        <v>27</v>
      </c>
      <c r="K645" s="1">
        <v>66</v>
      </c>
      <c r="L645" s="1">
        <v>26</v>
      </c>
      <c r="M645" s="1">
        <v>22</v>
      </c>
      <c r="N645" s="1">
        <v>38</v>
      </c>
      <c r="O645" s="1">
        <v>66</v>
      </c>
      <c r="P645" s="1">
        <v>93</v>
      </c>
      <c r="Q645" s="1">
        <v>75</v>
      </c>
    </row>
    <row r="646" spans="1:17" ht="15.75" customHeight="1">
      <c r="A646" s="1">
        <v>2019</v>
      </c>
      <c r="B646" s="1">
        <v>27</v>
      </c>
      <c r="C646" s="1" t="s">
        <v>79</v>
      </c>
      <c r="D646" s="1">
        <v>6.4059999999999997</v>
      </c>
      <c r="E646" s="1" t="s">
        <v>479</v>
      </c>
      <c r="F646" s="1">
        <v>78</v>
      </c>
      <c r="G646" s="1">
        <v>36</v>
      </c>
      <c r="H646" s="1">
        <v>20</v>
      </c>
      <c r="I646" s="1">
        <v>61</v>
      </c>
      <c r="J646" s="1">
        <v>35</v>
      </c>
      <c r="K646" s="1">
        <v>64</v>
      </c>
      <c r="L646" s="1">
        <v>70</v>
      </c>
      <c r="M646" s="1">
        <v>47</v>
      </c>
      <c r="N646" s="1">
        <v>64</v>
      </c>
      <c r="O646" s="1">
        <v>115</v>
      </c>
      <c r="P646" s="1">
        <v>34</v>
      </c>
    </row>
    <row r="647" spans="1:17" ht="15.75" customHeight="1">
      <c r="A647" s="1">
        <v>2019</v>
      </c>
      <c r="B647" s="1">
        <v>28</v>
      </c>
      <c r="C647" s="1" t="s">
        <v>274</v>
      </c>
      <c r="D647" s="1">
        <v>6.4009999999999998</v>
      </c>
      <c r="E647" s="1">
        <v>7.9000000000000001E-2</v>
      </c>
      <c r="F647" s="1">
        <v>26</v>
      </c>
      <c r="G647" s="1">
        <v>8</v>
      </c>
      <c r="H647" s="1">
        <v>28</v>
      </c>
      <c r="I647" s="1">
        <v>4</v>
      </c>
      <c r="J647" s="1">
        <v>83</v>
      </c>
      <c r="K647" s="1">
        <v>41</v>
      </c>
      <c r="L647" s="1">
        <v>52</v>
      </c>
      <c r="M647" s="1">
        <v>91</v>
      </c>
      <c r="N647" s="1">
        <v>93</v>
      </c>
      <c r="O647" s="1">
        <v>41</v>
      </c>
      <c r="P647" s="1">
        <v>96</v>
      </c>
      <c r="Q647" s="1">
        <v>76</v>
      </c>
    </row>
    <row r="648" spans="1:17" ht="15.75" customHeight="1">
      <c r="A648" s="1">
        <v>2019</v>
      </c>
      <c r="B648" s="1">
        <v>29</v>
      </c>
      <c r="C648" s="1" t="s">
        <v>86</v>
      </c>
      <c r="D648" s="1">
        <v>6.399</v>
      </c>
      <c r="E648" s="1">
        <v>0.434</v>
      </c>
      <c r="F648" s="1">
        <v>117</v>
      </c>
      <c r="G648" s="1">
        <v>99</v>
      </c>
      <c r="H648" s="1">
        <v>90</v>
      </c>
      <c r="I648" s="1">
        <v>91</v>
      </c>
      <c r="J648" s="1">
        <v>29</v>
      </c>
      <c r="K648" s="1">
        <v>84</v>
      </c>
      <c r="L648" s="1">
        <v>67</v>
      </c>
      <c r="M648" s="1">
        <v>3</v>
      </c>
      <c r="N648" s="1">
        <v>90</v>
      </c>
      <c r="O648" s="1">
        <v>84</v>
      </c>
      <c r="P648" s="1">
        <v>34</v>
      </c>
      <c r="Q648" s="1">
        <v>86</v>
      </c>
    </row>
    <row r="649" spans="1:17" ht="15.75" customHeight="1">
      <c r="A649" s="1">
        <v>2019</v>
      </c>
      <c r="B649" s="1">
        <v>30</v>
      </c>
      <c r="C649" s="1" t="s">
        <v>100</v>
      </c>
      <c r="D649" s="1">
        <v>6.3869999999999996</v>
      </c>
      <c r="E649" s="1">
        <v>0.36599999999999999</v>
      </c>
      <c r="F649" s="1">
        <v>22</v>
      </c>
      <c r="G649" s="1">
        <v>77</v>
      </c>
      <c r="H649" s="1">
        <v>26</v>
      </c>
      <c r="I649" s="1">
        <v>8</v>
      </c>
      <c r="J649" s="1">
        <v>112</v>
      </c>
      <c r="K649" s="1">
        <v>47</v>
      </c>
      <c r="L649" s="1">
        <v>109</v>
      </c>
      <c r="M649" s="1">
        <v>108</v>
      </c>
      <c r="N649" s="1">
        <v>98</v>
      </c>
      <c r="O649" s="1">
        <v>47</v>
      </c>
      <c r="P649" s="1">
        <v>95</v>
      </c>
      <c r="Q649" s="1">
        <v>123</v>
      </c>
    </row>
    <row r="650" spans="1:17" ht="15.75" customHeight="1">
      <c r="A650" s="1">
        <v>2019</v>
      </c>
      <c r="B650" s="1">
        <v>31</v>
      </c>
      <c r="C650" s="1" t="s">
        <v>63</v>
      </c>
      <c r="D650" s="1">
        <v>6.3769999999999998</v>
      </c>
      <c r="E650" s="1" t="s">
        <v>58</v>
      </c>
      <c r="F650" s="1">
        <v>8</v>
      </c>
      <c r="G650" s="1">
        <v>28</v>
      </c>
      <c r="H650" s="1">
        <v>2</v>
      </c>
      <c r="I650" s="1">
        <v>1</v>
      </c>
      <c r="J650" s="1">
        <v>10</v>
      </c>
      <c r="K650" s="1">
        <v>22</v>
      </c>
      <c r="L650" s="1">
        <v>1</v>
      </c>
      <c r="M650" s="1">
        <v>71</v>
      </c>
      <c r="N650" s="1">
        <v>2</v>
      </c>
      <c r="O650" s="1">
        <v>22</v>
      </c>
      <c r="P650" s="1">
        <v>57</v>
      </c>
      <c r="Q650" s="1">
        <v>94</v>
      </c>
    </row>
    <row r="651" spans="1:17" ht="15.75" customHeight="1">
      <c r="A651" s="1">
        <v>2019</v>
      </c>
      <c r="B651" s="1">
        <v>32</v>
      </c>
      <c r="C651" s="1" t="s">
        <v>54</v>
      </c>
      <c r="D651" s="1">
        <v>6.3760000000000003</v>
      </c>
      <c r="E651" s="1" t="s">
        <v>480</v>
      </c>
      <c r="F651" s="1">
        <v>82</v>
      </c>
      <c r="G651" s="1">
        <v>41</v>
      </c>
      <c r="H651" s="1">
        <v>67</v>
      </c>
      <c r="I651" s="1">
        <v>75</v>
      </c>
      <c r="J651" s="1">
        <v>65</v>
      </c>
      <c r="K651" s="1">
        <v>63</v>
      </c>
      <c r="L651" s="1">
        <v>65</v>
      </c>
      <c r="M651" s="1">
        <v>57</v>
      </c>
      <c r="N651" s="1">
        <v>102</v>
      </c>
      <c r="O651" s="1">
        <v>63</v>
      </c>
      <c r="P651" s="1">
        <v>73</v>
      </c>
      <c r="Q651" s="1">
        <v>43</v>
      </c>
    </row>
    <row r="652" spans="1:17" ht="15.75" customHeight="1">
      <c r="A652" s="1">
        <v>2019</v>
      </c>
      <c r="B652" s="1">
        <v>33</v>
      </c>
      <c r="C652" s="1" t="s">
        <v>116</v>
      </c>
      <c r="D652" s="1">
        <v>6.3630000000000004</v>
      </c>
      <c r="E652" s="1">
        <v>0.30299999999999999</v>
      </c>
      <c r="F652" s="1">
        <v>37</v>
      </c>
      <c r="G652" s="1">
        <v>7</v>
      </c>
      <c r="H652" s="1">
        <v>32</v>
      </c>
      <c r="I652" s="1">
        <v>21</v>
      </c>
      <c r="J652" s="1">
        <v>8</v>
      </c>
      <c r="K652" s="1">
        <v>57</v>
      </c>
      <c r="L652" s="1">
        <v>71</v>
      </c>
      <c r="M652" s="1">
        <v>95</v>
      </c>
      <c r="N652" s="1">
        <v>41</v>
      </c>
      <c r="O652" s="1">
        <v>57</v>
      </c>
      <c r="P652" s="1">
        <v>24</v>
      </c>
      <c r="Q652" s="1">
        <v>121</v>
      </c>
    </row>
    <row r="653" spans="1:17" ht="15.75" customHeight="1">
      <c r="A653" s="1">
        <v>2019</v>
      </c>
      <c r="B653" s="1">
        <v>34</v>
      </c>
      <c r="C653" s="1" t="s">
        <v>96</v>
      </c>
      <c r="D653" s="1">
        <v>6.3479999999999999</v>
      </c>
      <c r="E653" s="1">
        <v>0.53900000000000003</v>
      </c>
      <c r="F653" s="1">
        <v>108</v>
      </c>
      <c r="G653" s="1">
        <v>103</v>
      </c>
      <c r="H653" s="1">
        <v>92</v>
      </c>
      <c r="I653" s="1">
        <v>77</v>
      </c>
      <c r="J653" s="1">
        <v>46</v>
      </c>
      <c r="K653" s="1">
        <v>106</v>
      </c>
      <c r="L653" s="1">
        <v>34</v>
      </c>
      <c r="M653" s="1">
        <v>2</v>
      </c>
      <c r="N653" s="1">
        <v>69</v>
      </c>
      <c r="O653" s="1">
        <v>106</v>
      </c>
      <c r="P653" s="1">
        <v>67</v>
      </c>
      <c r="Q653" s="1">
        <v>92</v>
      </c>
    </row>
    <row r="654" spans="1:17" ht="15.75" customHeight="1">
      <c r="A654" s="1">
        <v>2019</v>
      </c>
      <c r="B654" s="12">
        <v>35</v>
      </c>
      <c r="C654" s="8" t="s">
        <v>481</v>
      </c>
      <c r="D654" s="5">
        <v>6.3250000000000002</v>
      </c>
      <c r="E654" s="6">
        <v>1.103</v>
      </c>
      <c r="F654" s="6">
        <v>84</v>
      </c>
      <c r="G654" s="6">
        <v>73</v>
      </c>
      <c r="H654" s="6">
        <v>88</v>
      </c>
      <c r="I654" s="10"/>
      <c r="J654" s="6">
        <v>60</v>
      </c>
      <c r="K654" s="6">
        <v>12</v>
      </c>
      <c r="L654" s="6">
        <v>128</v>
      </c>
      <c r="M654" s="6">
        <v>97</v>
      </c>
      <c r="N654" s="10"/>
      <c r="O654" s="6">
        <v>12</v>
      </c>
      <c r="P654" s="6">
        <v>119</v>
      </c>
      <c r="Q654" s="6">
        <v>21</v>
      </c>
    </row>
    <row r="655" spans="1:17" ht="15.75" customHeight="1">
      <c r="A655" s="1">
        <v>2019</v>
      </c>
      <c r="B655" s="12">
        <v>36</v>
      </c>
      <c r="C655" s="8" t="s">
        <v>482</v>
      </c>
      <c r="D655" s="5">
        <v>6.3049999999999997</v>
      </c>
      <c r="E655" s="9" t="s">
        <v>483</v>
      </c>
      <c r="F655" s="6">
        <v>116</v>
      </c>
      <c r="G655" s="6">
        <v>48</v>
      </c>
      <c r="H655" s="6">
        <v>46</v>
      </c>
      <c r="I655" s="7">
        <v>38</v>
      </c>
      <c r="J655" s="6">
        <v>40</v>
      </c>
      <c r="K655" s="6">
        <v>104</v>
      </c>
      <c r="L655" s="6">
        <v>110</v>
      </c>
      <c r="M655" s="6">
        <v>1</v>
      </c>
      <c r="N655" s="6">
        <v>51</v>
      </c>
      <c r="O655" s="6">
        <v>104</v>
      </c>
      <c r="P655" s="6">
        <v>64</v>
      </c>
      <c r="Q655" s="6">
        <v>89</v>
      </c>
    </row>
    <row r="656" spans="1:17" ht="15.75" customHeight="1">
      <c r="A656" s="1">
        <v>2019</v>
      </c>
      <c r="B656" s="1">
        <v>37</v>
      </c>
      <c r="C656" s="1" t="s">
        <v>95</v>
      </c>
      <c r="D656" s="1">
        <v>6.2809999999999997</v>
      </c>
      <c r="E656" s="1">
        <v>0.312</v>
      </c>
      <c r="F656" s="1">
        <v>39</v>
      </c>
      <c r="G656" s="1">
        <v>26</v>
      </c>
      <c r="H656" s="1">
        <v>40</v>
      </c>
      <c r="I656" s="1">
        <v>43</v>
      </c>
      <c r="J656" s="1">
        <v>87</v>
      </c>
      <c r="K656" s="1">
        <v>69</v>
      </c>
      <c r="L656" s="1">
        <v>131</v>
      </c>
      <c r="M656" s="1">
        <v>67</v>
      </c>
      <c r="N656" s="1">
        <v>59</v>
      </c>
      <c r="O656" s="1">
        <v>69</v>
      </c>
      <c r="P656" s="1">
        <v>90</v>
      </c>
      <c r="Q656" s="1">
        <v>117</v>
      </c>
    </row>
    <row r="657" spans="1:17" ht="15.75" customHeight="1">
      <c r="A657" s="1">
        <v>2019</v>
      </c>
      <c r="B657" s="1">
        <v>38</v>
      </c>
      <c r="C657" s="1" t="s">
        <v>99</v>
      </c>
      <c r="D657" s="1">
        <v>6.258</v>
      </c>
      <c r="E657" s="1">
        <v>0.63500000000000001</v>
      </c>
      <c r="F657" s="1">
        <v>79</v>
      </c>
      <c r="G657" s="1">
        <v>33</v>
      </c>
      <c r="H657" s="1">
        <v>99</v>
      </c>
      <c r="I657" s="1">
        <v>84</v>
      </c>
      <c r="J657" s="1">
        <v>1</v>
      </c>
      <c r="K657" s="1">
        <v>8</v>
      </c>
      <c r="L657" s="1">
        <v>20</v>
      </c>
      <c r="M657" s="1">
        <v>28</v>
      </c>
      <c r="N657" s="1">
        <v>37</v>
      </c>
      <c r="O657" s="1">
        <v>8</v>
      </c>
      <c r="P657" s="1">
        <v>101</v>
      </c>
      <c r="Q657" s="1">
        <v>57</v>
      </c>
    </row>
    <row r="658" spans="1:17" ht="15.75" customHeight="1">
      <c r="A658" s="1">
        <v>2019</v>
      </c>
      <c r="B658" s="1">
        <v>39</v>
      </c>
      <c r="C658" s="1" t="s">
        <v>66</v>
      </c>
      <c r="D658" s="1">
        <v>6.2279999999999998</v>
      </c>
      <c r="E658" s="1" t="s">
        <v>484</v>
      </c>
      <c r="F658" s="1">
        <v>53</v>
      </c>
      <c r="G658" s="1">
        <v>64</v>
      </c>
      <c r="H658" s="1">
        <v>49</v>
      </c>
      <c r="I658" s="1">
        <v>30</v>
      </c>
      <c r="J658" s="1">
        <v>125</v>
      </c>
      <c r="K658" s="1">
        <v>65</v>
      </c>
      <c r="L658" s="1">
        <v>105</v>
      </c>
      <c r="M658" s="1">
        <v>33</v>
      </c>
      <c r="N658" s="1">
        <v>103</v>
      </c>
      <c r="O658" s="1">
        <v>65</v>
      </c>
      <c r="P658" s="1">
        <v>89</v>
      </c>
      <c r="Q658" s="1">
        <v>24</v>
      </c>
    </row>
    <row r="659" spans="1:17" ht="15.75" customHeight="1">
      <c r="A659" s="1">
        <v>2019</v>
      </c>
      <c r="B659" s="1">
        <v>40</v>
      </c>
      <c r="C659" s="1" t="s">
        <v>90</v>
      </c>
      <c r="D659" s="1">
        <v>6.2270000000000003</v>
      </c>
      <c r="E659" s="1">
        <v>0.91500000000000004</v>
      </c>
      <c r="F659" s="1">
        <v>56</v>
      </c>
      <c r="G659" s="1">
        <v>55</v>
      </c>
      <c r="H659" s="1">
        <v>19</v>
      </c>
      <c r="I659" s="1">
        <v>65</v>
      </c>
      <c r="J659" s="1">
        <v>23</v>
      </c>
      <c r="K659" s="1">
        <v>29</v>
      </c>
      <c r="L659" s="1">
        <v>53</v>
      </c>
      <c r="M659" s="1">
        <v>94</v>
      </c>
      <c r="N659" s="1">
        <v>29</v>
      </c>
      <c r="O659" s="1">
        <v>41</v>
      </c>
      <c r="P659" s="1">
        <v>10</v>
      </c>
    </row>
    <row r="660" spans="1:17" ht="15.75" customHeight="1">
      <c r="A660" s="1">
        <v>2019</v>
      </c>
      <c r="B660" s="1">
        <v>41</v>
      </c>
      <c r="C660" s="1" t="s">
        <v>114</v>
      </c>
      <c r="D660" s="1">
        <v>6.2149999999999999</v>
      </c>
      <c r="E660" s="1">
        <v>0.78900000000000003</v>
      </c>
      <c r="F660" s="1">
        <v>46</v>
      </c>
      <c r="G660" s="1">
        <v>30</v>
      </c>
      <c r="H660" s="1">
        <v>34</v>
      </c>
      <c r="I660" s="1">
        <v>59</v>
      </c>
      <c r="J660" s="1">
        <v>82</v>
      </c>
      <c r="K660" s="1">
        <v>127</v>
      </c>
      <c r="L660" s="1">
        <v>70</v>
      </c>
      <c r="M660" s="1">
        <v>109</v>
      </c>
      <c r="N660" s="1">
        <v>74</v>
      </c>
      <c r="O660" s="1">
        <v>127</v>
      </c>
      <c r="P660" s="1">
        <v>112</v>
      </c>
      <c r="Q660" s="1">
        <v>136</v>
      </c>
    </row>
    <row r="661" spans="1:17" ht="15.75" customHeight="1">
      <c r="A661" s="1">
        <v>2019</v>
      </c>
      <c r="B661" s="1">
        <v>42</v>
      </c>
      <c r="C661" s="1" t="s">
        <v>91</v>
      </c>
      <c r="D661" s="1">
        <v>6.1920000000000002</v>
      </c>
      <c r="E661" s="1" t="s">
        <v>355</v>
      </c>
      <c r="F661" s="1"/>
      <c r="G661" s="1"/>
      <c r="H661" s="1"/>
      <c r="I661" s="1"/>
      <c r="J661" s="1"/>
      <c r="N661" s="1"/>
      <c r="O661" s="1"/>
      <c r="P661" s="1"/>
      <c r="Q661" s="1"/>
    </row>
    <row r="662" spans="1:17" ht="15.75" customHeight="1">
      <c r="A662" s="1">
        <v>2019</v>
      </c>
      <c r="B662" s="1">
        <v>43</v>
      </c>
      <c r="C662" s="1" t="s">
        <v>109</v>
      </c>
      <c r="D662" s="1">
        <v>6.1859999999999999</v>
      </c>
      <c r="E662" s="1">
        <v>0.36399999999999999</v>
      </c>
      <c r="F662" s="1">
        <v>17</v>
      </c>
      <c r="G662" s="1">
        <v>54</v>
      </c>
      <c r="H662" s="1">
        <v>37</v>
      </c>
      <c r="I662" s="1">
        <v>42</v>
      </c>
      <c r="J662" s="1">
        <v>41</v>
      </c>
      <c r="K662" s="1">
        <v>120</v>
      </c>
      <c r="L662" s="1">
        <v>39</v>
      </c>
      <c r="M662" s="1">
        <v>96</v>
      </c>
      <c r="N662" s="1">
        <v>10</v>
      </c>
      <c r="O662" s="1">
        <v>120</v>
      </c>
      <c r="P662" s="1">
        <v>131</v>
      </c>
      <c r="Q662" s="1">
        <v>140</v>
      </c>
    </row>
    <row r="663" spans="1:17" ht="15.75" customHeight="1">
      <c r="A663" s="1">
        <v>2019</v>
      </c>
      <c r="B663" s="1">
        <v>44</v>
      </c>
      <c r="C663" s="1" t="s">
        <v>75</v>
      </c>
      <c r="D663" s="1">
        <v>6.1630000000000003</v>
      </c>
      <c r="E663" s="1" t="s">
        <v>369</v>
      </c>
      <c r="F663" s="1">
        <v>106</v>
      </c>
      <c r="G663" s="1">
        <v>62</v>
      </c>
      <c r="H663" s="1">
        <v>69</v>
      </c>
      <c r="I663" s="1">
        <v>39</v>
      </c>
      <c r="J663" s="1">
        <v>70</v>
      </c>
      <c r="K663" s="1">
        <v>118</v>
      </c>
      <c r="L663" s="1">
        <v>102</v>
      </c>
      <c r="M663" s="1">
        <v>10</v>
      </c>
      <c r="N663" s="1">
        <v>96</v>
      </c>
      <c r="O663" s="1">
        <v>118</v>
      </c>
      <c r="P663" s="1">
        <v>91</v>
      </c>
      <c r="Q663" s="1">
        <v>49</v>
      </c>
    </row>
    <row r="664" spans="1:17" ht="15.75" customHeight="1">
      <c r="A664" s="1">
        <v>2019</v>
      </c>
      <c r="B664" s="1">
        <v>45</v>
      </c>
      <c r="C664" s="1" t="s">
        <v>124</v>
      </c>
      <c r="D664" s="1">
        <v>6.1589999999999998</v>
      </c>
      <c r="E664" s="1" t="s">
        <v>399</v>
      </c>
      <c r="F664" s="1">
        <v>51</v>
      </c>
      <c r="G664" s="1">
        <v>98</v>
      </c>
      <c r="H664" s="1">
        <v>30</v>
      </c>
      <c r="I664" s="1">
        <v>13</v>
      </c>
      <c r="J664" s="1">
        <v>96</v>
      </c>
      <c r="K664" s="1">
        <v>33</v>
      </c>
      <c r="L664" s="1">
        <v>108</v>
      </c>
      <c r="M664" s="1">
        <v>76</v>
      </c>
      <c r="N664" s="1">
        <v>81</v>
      </c>
      <c r="O664" s="1">
        <v>33</v>
      </c>
      <c r="P664" s="1">
        <v>68</v>
      </c>
      <c r="Q664" s="1">
        <v>46</v>
      </c>
    </row>
    <row r="665" spans="1:17" ht="15.75" customHeight="1">
      <c r="A665" s="1">
        <v>2019</v>
      </c>
      <c r="B665" s="1">
        <v>46</v>
      </c>
      <c r="C665" s="1" t="s">
        <v>98</v>
      </c>
      <c r="D665" s="1">
        <v>6.1369999999999996</v>
      </c>
      <c r="E665" s="1">
        <v>0.63</v>
      </c>
      <c r="F665" s="1">
        <v>126</v>
      </c>
      <c r="G665" s="1">
        <v>60</v>
      </c>
      <c r="H665" s="1">
        <v>104</v>
      </c>
      <c r="I665" s="1">
        <v>40</v>
      </c>
      <c r="J665" s="1">
        <v>42</v>
      </c>
      <c r="K665" s="1">
        <v>60</v>
      </c>
      <c r="L665" s="1">
        <v>29</v>
      </c>
      <c r="M665" s="1">
        <v>13</v>
      </c>
      <c r="N665" s="1">
        <v>101</v>
      </c>
      <c r="O665" s="1">
        <v>60</v>
      </c>
      <c r="P665" s="1">
        <v>53</v>
      </c>
      <c r="Q665" s="1">
        <v>84</v>
      </c>
    </row>
    <row r="666" spans="1:17" ht="15.75" customHeight="1">
      <c r="A666" s="1">
        <v>2019</v>
      </c>
      <c r="B666" s="1">
        <v>47</v>
      </c>
      <c r="C666" s="1" t="s">
        <v>128</v>
      </c>
      <c r="D666" s="1">
        <v>6.1239999999999997</v>
      </c>
      <c r="E666" s="1">
        <v>1.091</v>
      </c>
      <c r="F666" s="1">
        <v>60</v>
      </c>
      <c r="G666" s="1">
        <v>75</v>
      </c>
      <c r="H666" s="1">
        <v>41</v>
      </c>
      <c r="I666" s="1">
        <v>60</v>
      </c>
      <c r="J666" s="1">
        <v>57</v>
      </c>
      <c r="K666" s="1">
        <v>117</v>
      </c>
      <c r="L666" s="1">
        <v>134</v>
      </c>
      <c r="M666" s="1">
        <v>100</v>
      </c>
      <c r="N666" s="1">
        <v>53</v>
      </c>
      <c r="O666" s="1">
        <v>117</v>
      </c>
      <c r="P666" s="1">
        <v>139</v>
      </c>
      <c r="Q666" s="1">
        <v>96</v>
      </c>
    </row>
    <row r="667" spans="1:17" ht="15.75" customHeight="1">
      <c r="A667" s="1">
        <v>2019</v>
      </c>
      <c r="B667" s="1">
        <v>48</v>
      </c>
      <c r="C667" s="1" t="s">
        <v>88</v>
      </c>
      <c r="D667" s="1">
        <v>6.1020000000000003</v>
      </c>
      <c r="E667" s="1" t="s">
        <v>485</v>
      </c>
      <c r="F667" s="1">
        <v>81</v>
      </c>
      <c r="G667" s="1">
        <v>76</v>
      </c>
      <c r="H667" s="1">
        <v>25</v>
      </c>
      <c r="I667" s="1">
        <v>16</v>
      </c>
      <c r="J667" s="1">
        <v>51</v>
      </c>
      <c r="K667" s="1">
        <v>50</v>
      </c>
      <c r="L667" s="1">
        <v>86</v>
      </c>
      <c r="M667" s="1">
        <v>84</v>
      </c>
      <c r="N667" s="1">
        <v>50</v>
      </c>
      <c r="O667" s="1">
        <v>107</v>
      </c>
      <c r="P667" s="1">
        <v>13</v>
      </c>
    </row>
    <row r="668" spans="1:17" ht="15.75" customHeight="1">
      <c r="A668" s="1">
        <v>2019</v>
      </c>
      <c r="B668" s="1">
        <v>49</v>
      </c>
      <c r="C668" s="1" t="s">
        <v>121</v>
      </c>
      <c r="D668" s="1">
        <v>6.101</v>
      </c>
      <c r="E668" s="1">
        <v>0.624</v>
      </c>
      <c r="F668" s="1">
        <v>75</v>
      </c>
      <c r="G668" s="1">
        <v>34</v>
      </c>
      <c r="H668" s="1">
        <v>54</v>
      </c>
      <c r="I668" s="1">
        <v>78</v>
      </c>
      <c r="J668" s="1">
        <v>32</v>
      </c>
      <c r="K668" s="1">
        <v>51</v>
      </c>
      <c r="L668" s="1">
        <v>81</v>
      </c>
      <c r="M668" s="1">
        <v>38</v>
      </c>
      <c r="N668" s="1">
        <v>6</v>
      </c>
      <c r="O668" s="1">
        <v>51</v>
      </c>
      <c r="P668" s="1">
        <v>31</v>
      </c>
      <c r="Q668" s="1">
        <v>87</v>
      </c>
    </row>
    <row r="669" spans="1:17" ht="15.75" customHeight="1">
      <c r="A669" s="1">
        <v>2019</v>
      </c>
      <c r="B669" s="1">
        <v>50</v>
      </c>
      <c r="C669" s="1" t="s">
        <v>106</v>
      </c>
      <c r="D669" s="1">
        <v>6.0579999999999998</v>
      </c>
      <c r="E669" s="1">
        <v>0.38700000000000001</v>
      </c>
      <c r="F669" s="1">
        <v>49</v>
      </c>
      <c r="G669" s="1">
        <v>6</v>
      </c>
      <c r="H669" s="1">
        <v>45</v>
      </c>
      <c r="I669" s="1">
        <v>81</v>
      </c>
      <c r="J669" s="1">
        <v>55</v>
      </c>
      <c r="K669" s="1">
        <v>48</v>
      </c>
      <c r="L669" s="1">
        <v>43</v>
      </c>
      <c r="M669" s="1">
        <v>54</v>
      </c>
      <c r="N669" s="1">
        <v>3</v>
      </c>
      <c r="O669" s="1">
        <v>48</v>
      </c>
      <c r="P669" s="1">
        <v>110</v>
      </c>
      <c r="Q669" s="1">
        <v>112</v>
      </c>
    </row>
    <row r="670" spans="1:17" ht="15.75" customHeight="1">
      <c r="A670" s="1">
        <v>2019</v>
      </c>
      <c r="B670" s="1">
        <v>51</v>
      </c>
      <c r="C670" s="1" t="s">
        <v>129</v>
      </c>
      <c r="D670" s="1">
        <v>6.0220000000000002</v>
      </c>
      <c r="E670" s="1">
        <v>0.59599999999999997</v>
      </c>
      <c r="F670" s="1">
        <v>34</v>
      </c>
      <c r="G670" s="1">
        <v>23</v>
      </c>
      <c r="H670" s="1">
        <v>35</v>
      </c>
      <c r="I670" s="1">
        <v>36</v>
      </c>
      <c r="J670" s="1">
        <v>37</v>
      </c>
      <c r="K670" s="1">
        <v>56</v>
      </c>
      <c r="L670" s="1">
        <v>23</v>
      </c>
      <c r="M670" s="1">
        <v>35</v>
      </c>
      <c r="N670" s="1">
        <v>7</v>
      </c>
      <c r="O670" s="1">
        <v>56</v>
      </c>
      <c r="P670" s="1">
        <v>88</v>
      </c>
      <c r="Q670" s="1">
        <v>109</v>
      </c>
    </row>
    <row r="671" spans="1:17" ht="15.75" customHeight="1">
      <c r="A671" s="1">
        <v>2019</v>
      </c>
      <c r="B671" s="1">
        <v>52</v>
      </c>
      <c r="C671" s="1" t="s">
        <v>141</v>
      </c>
      <c r="D671" s="1">
        <v>6.0060000000000002</v>
      </c>
      <c r="E671" s="1">
        <v>1.0209999999999999</v>
      </c>
      <c r="F671" s="1">
        <v>93</v>
      </c>
      <c r="G671" s="1">
        <v>71</v>
      </c>
      <c r="H671" s="1">
        <v>96</v>
      </c>
      <c r="I671" s="1">
        <v>97</v>
      </c>
      <c r="J671" s="1">
        <v>22</v>
      </c>
      <c r="K671" s="1">
        <v>92</v>
      </c>
      <c r="L671" s="1">
        <v>60</v>
      </c>
      <c r="M671" s="1">
        <v>21</v>
      </c>
      <c r="N671" s="1">
        <v>104</v>
      </c>
      <c r="O671" s="1">
        <v>92</v>
      </c>
      <c r="P671" s="1">
        <v>10</v>
      </c>
      <c r="Q671" s="1">
        <v>69</v>
      </c>
    </row>
    <row r="672" spans="1:17" ht="15.75" customHeight="1">
      <c r="A672" s="1">
        <v>2019</v>
      </c>
      <c r="B672" s="1">
        <v>53</v>
      </c>
      <c r="C672" s="1" t="s">
        <v>151</v>
      </c>
      <c r="D672" s="1">
        <v>6</v>
      </c>
      <c r="E672" s="1">
        <v>1.2250000000000001</v>
      </c>
      <c r="F672" s="1">
        <v>42</v>
      </c>
      <c r="G672" s="1">
        <v>11</v>
      </c>
      <c r="H672" s="1">
        <v>39</v>
      </c>
      <c r="I672" s="1">
        <v>55</v>
      </c>
      <c r="J672" s="1">
        <v>78</v>
      </c>
      <c r="K672" s="1">
        <v>100</v>
      </c>
      <c r="L672" s="1">
        <v>118</v>
      </c>
      <c r="M672" s="1">
        <v>81</v>
      </c>
      <c r="N672" s="1">
        <v>15</v>
      </c>
      <c r="O672" s="1">
        <v>100</v>
      </c>
      <c r="P672" s="1">
        <v>127</v>
      </c>
      <c r="Q672" s="1">
        <v>127</v>
      </c>
    </row>
    <row r="673" spans="1:17" ht="15.75" customHeight="1">
      <c r="A673" s="1">
        <v>2019</v>
      </c>
      <c r="B673" s="12">
        <v>54</v>
      </c>
      <c r="C673" s="8" t="s">
        <v>486</v>
      </c>
      <c r="D673" s="5">
        <v>5.9989999999999997</v>
      </c>
      <c r="E673" s="9" t="s">
        <v>429</v>
      </c>
      <c r="F673" s="6">
        <v>67</v>
      </c>
      <c r="G673" s="6">
        <v>40</v>
      </c>
      <c r="H673" s="6">
        <v>61</v>
      </c>
      <c r="I673" s="7">
        <v>47</v>
      </c>
      <c r="J673" s="6">
        <v>31</v>
      </c>
      <c r="K673" s="6">
        <v>4</v>
      </c>
      <c r="L673" s="6">
        <v>115</v>
      </c>
      <c r="M673" s="6">
        <v>9</v>
      </c>
      <c r="N673" s="6">
        <v>32</v>
      </c>
      <c r="O673" s="6">
        <v>4</v>
      </c>
      <c r="P673" s="6">
        <v>78</v>
      </c>
      <c r="Q673" s="6">
        <v>116</v>
      </c>
    </row>
    <row r="674" spans="1:17" ht="15.75" customHeight="1">
      <c r="A674" s="1">
        <v>2019</v>
      </c>
      <c r="B674" s="12">
        <v>55</v>
      </c>
      <c r="C674" s="8" t="s">
        <v>487</v>
      </c>
      <c r="D674" s="5">
        <v>5.9749999999999996</v>
      </c>
      <c r="E674" s="9" t="s">
        <v>488</v>
      </c>
      <c r="F674" s="6">
        <v>66</v>
      </c>
      <c r="G674" s="6">
        <v>42</v>
      </c>
      <c r="H674" s="6">
        <v>53</v>
      </c>
      <c r="I674" s="10">
        <v>50</v>
      </c>
      <c r="J674" s="6">
        <v>72</v>
      </c>
      <c r="K674" s="6">
        <v>125</v>
      </c>
      <c r="L674" s="6">
        <v>91</v>
      </c>
      <c r="M674" s="6">
        <v>37</v>
      </c>
      <c r="N674" s="6">
        <v>95</v>
      </c>
      <c r="O674" s="6">
        <v>125</v>
      </c>
      <c r="P674" s="6">
        <v>76</v>
      </c>
      <c r="Q674" s="6">
        <v>78</v>
      </c>
    </row>
    <row r="675" spans="1:17" ht="15.75" customHeight="1">
      <c r="A675" s="1">
        <v>2019</v>
      </c>
      <c r="B675" s="1">
        <v>56</v>
      </c>
      <c r="C675" s="1" t="s">
        <v>167</v>
      </c>
      <c r="D675" s="1">
        <v>5.9530000000000003</v>
      </c>
      <c r="E675" s="1">
        <v>0.81100000000000005</v>
      </c>
      <c r="F675" s="1">
        <v>129</v>
      </c>
      <c r="G675" s="1">
        <v>91</v>
      </c>
      <c r="H675" s="1">
        <v>109</v>
      </c>
      <c r="I675" s="1">
        <v>93</v>
      </c>
      <c r="J675" s="1">
        <v>58</v>
      </c>
      <c r="K675" s="1">
        <v>46</v>
      </c>
      <c r="L675" s="1">
        <v>83</v>
      </c>
      <c r="M675" s="1">
        <v>14</v>
      </c>
      <c r="N675" s="1">
        <v>75</v>
      </c>
      <c r="O675" s="1">
        <v>46</v>
      </c>
      <c r="P675" s="1">
        <v>27</v>
      </c>
      <c r="Q675" s="1">
        <v>44</v>
      </c>
    </row>
    <row r="676" spans="1:17" ht="15.75" customHeight="1">
      <c r="A676" s="1">
        <v>2019</v>
      </c>
      <c r="B676" s="1">
        <v>57</v>
      </c>
      <c r="C676" s="1" t="s">
        <v>123</v>
      </c>
      <c r="D676" s="1">
        <v>5.95</v>
      </c>
      <c r="E676" s="1">
        <v>0.90400000000000003</v>
      </c>
      <c r="F676" s="1">
        <v>12</v>
      </c>
      <c r="G676" s="1">
        <v>22</v>
      </c>
      <c r="H676" s="1">
        <v>42</v>
      </c>
      <c r="I676" s="1">
        <v>64</v>
      </c>
      <c r="J676" s="1">
        <v>116</v>
      </c>
      <c r="K676" s="1">
        <v>103</v>
      </c>
      <c r="L676" s="1">
        <v>73</v>
      </c>
      <c r="M676" s="1">
        <v>122</v>
      </c>
      <c r="N676" s="1">
        <v>33</v>
      </c>
      <c r="O676" s="1">
        <v>103</v>
      </c>
      <c r="P676" s="1">
        <v>134</v>
      </c>
      <c r="Q676" s="1">
        <v>138</v>
      </c>
    </row>
    <row r="677" spans="1:17" ht="15.75" customHeight="1">
      <c r="A677" s="1">
        <v>2019</v>
      </c>
      <c r="B677" s="1">
        <v>58</v>
      </c>
      <c r="C677" s="1" t="s">
        <v>102</v>
      </c>
      <c r="D677" s="1">
        <v>5.9249999999999998</v>
      </c>
      <c r="E677" s="1">
        <v>0.06</v>
      </c>
      <c r="F677" s="1">
        <v>83</v>
      </c>
      <c r="G677" s="1">
        <v>86</v>
      </c>
      <c r="H677" s="1">
        <v>85</v>
      </c>
      <c r="I677" s="1">
        <v>41</v>
      </c>
      <c r="J677" s="1">
        <v>66</v>
      </c>
      <c r="K677" s="1">
        <v>99</v>
      </c>
      <c r="L677" s="1">
        <v>97</v>
      </c>
      <c r="M677" s="1">
        <v>29</v>
      </c>
      <c r="N677" s="1">
        <v>115</v>
      </c>
      <c r="O677" s="1">
        <v>99</v>
      </c>
      <c r="P677" s="1">
        <v>103</v>
      </c>
      <c r="Q677" s="1">
        <v>82</v>
      </c>
    </row>
    <row r="678" spans="1:17" ht="15.75" customHeight="1">
      <c r="A678" s="1">
        <v>2019</v>
      </c>
      <c r="B678" s="1">
        <v>59</v>
      </c>
      <c r="C678" s="1" t="s">
        <v>155</v>
      </c>
      <c r="D678" s="1">
        <v>5.9109999999999996</v>
      </c>
      <c r="E678" s="1">
        <v>0.81</v>
      </c>
      <c r="F678" s="1">
        <v>54</v>
      </c>
      <c r="G678" s="1">
        <v>59</v>
      </c>
      <c r="H678" s="1">
        <v>36</v>
      </c>
      <c r="I678" s="1">
        <v>24</v>
      </c>
      <c r="J678" s="1">
        <v>43</v>
      </c>
      <c r="K678" s="1">
        <v>119</v>
      </c>
      <c r="L678" s="1">
        <v>127</v>
      </c>
      <c r="M678" s="1">
        <v>68</v>
      </c>
      <c r="N678" s="1">
        <v>82</v>
      </c>
      <c r="O678" s="1">
        <v>119</v>
      </c>
      <c r="P678" s="1">
        <v>102</v>
      </c>
      <c r="Q678" s="1">
        <v>106</v>
      </c>
    </row>
    <row r="679" spans="1:17" ht="15.75" customHeight="1">
      <c r="A679" s="1">
        <v>2019</v>
      </c>
      <c r="B679" s="1">
        <v>60</v>
      </c>
      <c r="C679" s="1" t="s">
        <v>130</v>
      </c>
      <c r="D679" s="1">
        <v>5.89</v>
      </c>
      <c r="E679" s="1">
        <v>0.51600000000000001</v>
      </c>
      <c r="F679" s="1">
        <v>112</v>
      </c>
      <c r="G679" s="1">
        <v>56</v>
      </c>
      <c r="H679" s="1">
        <v>93</v>
      </c>
      <c r="I679" s="1">
        <v>86</v>
      </c>
      <c r="J679" s="1">
        <v>36</v>
      </c>
      <c r="K679" s="1">
        <v>111</v>
      </c>
      <c r="L679" s="1">
        <v>122</v>
      </c>
      <c r="M679" s="1">
        <v>48</v>
      </c>
      <c r="N679" s="1">
        <v>23</v>
      </c>
      <c r="O679" s="1">
        <v>111</v>
      </c>
      <c r="P679" s="1">
        <v>55</v>
      </c>
      <c r="Q679" s="1">
        <v>18</v>
      </c>
    </row>
    <row r="680" spans="1:17" ht="15.75" customHeight="1">
      <c r="A680" s="1">
        <v>2019</v>
      </c>
      <c r="B680" s="1">
        <v>61</v>
      </c>
      <c r="C680" s="1" t="s">
        <v>110</v>
      </c>
      <c r="D680" s="1">
        <v>5.8719999999999999</v>
      </c>
      <c r="E680" s="1" t="s">
        <v>489</v>
      </c>
      <c r="F680" s="1">
        <v>50</v>
      </c>
      <c r="G680" s="1">
        <v>96</v>
      </c>
      <c r="H680" s="1">
        <v>29</v>
      </c>
      <c r="I680" s="1">
        <v>3</v>
      </c>
      <c r="J680" s="1">
        <v>113</v>
      </c>
      <c r="K680" s="1">
        <v>42</v>
      </c>
      <c r="L680" s="1">
        <v>45</v>
      </c>
      <c r="M680" s="1">
        <v>104</v>
      </c>
      <c r="N680" s="1">
        <v>46</v>
      </c>
      <c r="O680" s="1">
        <v>42</v>
      </c>
      <c r="P680" s="1">
        <v>71</v>
      </c>
      <c r="Q680" s="1">
        <v>124</v>
      </c>
    </row>
    <row r="681" spans="1:17" ht="15.75" customHeight="1">
      <c r="A681" s="1">
        <v>2019</v>
      </c>
      <c r="B681" s="1">
        <v>62</v>
      </c>
      <c r="C681" s="1" t="s">
        <v>104</v>
      </c>
      <c r="D681" s="1">
        <v>5.8710000000000004</v>
      </c>
      <c r="E681" s="1" t="s">
        <v>490</v>
      </c>
      <c r="F681" s="1">
        <v>35</v>
      </c>
      <c r="G681" s="1">
        <v>57</v>
      </c>
      <c r="H681" s="1">
        <v>31</v>
      </c>
      <c r="I681" s="1">
        <v>2</v>
      </c>
      <c r="J681" s="1">
        <v>77</v>
      </c>
      <c r="K681" s="1">
        <v>123</v>
      </c>
      <c r="L681" s="1">
        <v>27</v>
      </c>
      <c r="M681" s="1">
        <v>63</v>
      </c>
      <c r="N681" s="1">
        <v>22</v>
      </c>
      <c r="O681" s="1">
        <v>123</v>
      </c>
      <c r="P681" s="1">
        <v>100</v>
      </c>
      <c r="Q681" s="1">
        <v>141</v>
      </c>
    </row>
    <row r="682" spans="1:17" ht="15.75" customHeight="1">
      <c r="A682" s="1">
        <v>2019</v>
      </c>
      <c r="B682" s="1">
        <v>63</v>
      </c>
      <c r="C682" s="1" t="s">
        <v>118</v>
      </c>
      <c r="D682" s="1">
        <v>5.7969999999999997</v>
      </c>
      <c r="E682" s="1">
        <v>2.1000000000000001E-2</v>
      </c>
      <c r="F682" s="1">
        <v>94</v>
      </c>
      <c r="G682" s="1">
        <v>85</v>
      </c>
      <c r="H682" s="1">
        <v>74</v>
      </c>
      <c r="I682" s="1">
        <v>33</v>
      </c>
      <c r="J682" s="1">
        <v>73</v>
      </c>
      <c r="K682" s="1">
        <v>101</v>
      </c>
      <c r="L682" s="1">
        <v>113</v>
      </c>
      <c r="M682" s="1">
        <v>8</v>
      </c>
      <c r="N682" s="1">
        <v>116</v>
      </c>
      <c r="O682" s="1">
        <v>101</v>
      </c>
      <c r="P682" s="1">
        <v>62</v>
      </c>
      <c r="Q682" s="1">
        <v>73</v>
      </c>
    </row>
    <row r="683" spans="1:17" ht="15.75" customHeight="1">
      <c r="A683" s="1">
        <v>2019</v>
      </c>
      <c r="B683" s="1">
        <v>64</v>
      </c>
      <c r="C683" s="1" t="s">
        <v>145</v>
      </c>
      <c r="D683" s="1">
        <v>5.7779999999999996</v>
      </c>
      <c r="E683" s="1">
        <v>0.96499999999999997</v>
      </c>
      <c r="F683" s="1">
        <v>64</v>
      </c>
      <c r="G683" s="1">
        <v>39</v>
      </c>
      <c r="H683" s="1">
        <v>59</v>
      </c>
      <c r="I683" s="1">
        <v>57</v>
      </c>
      <c r="J683" s="1">
        <v>94</v>
      </c>
      <c r="K683" s="1">
        <v>53</v>
      </c>
      <c r="L683" s="1">
        <v>82</v>
      </c>
      <c r="M683" s="1">
        <v>135</v>
      </c>
      <c r="N683" s="1">
        <v>49</v>
      </c>
      <c r="O683" s="1">
        <v>53</v>
      </c>
      <c r="P683" s="1">
        <v>135</v>
      </c>
      <c r="Q683" s="1">
        <v>133</v>
      </c>
    </row>
    <row r="684" spans="1:17" ht="15.75" customHeight="1">
      <c r="A684" s="1">
        <v>2019</v>
      </c>
      <c r="B684" s="1">
        <v>65</v>
      </c>
      <c r="C684" s="1" t="s">
        <v>112</v>
      </c>
      <c r="D684" s="1">
        <v>5.7469999999999999</v>
      </c>
      <c r="E684" s="1" t="s">
        <v>491</v>
      </c>
      <c r="F684" s="1">
        <v>63</v>
      </c>
      <c r="G684" s="1">
        <v>95</v>
      </c>
      <c r="H684" s="1">
        <v>95</v>
      </c>
      <c r="I684" s="1">
        <v>83</v>
      </c>
      <c r="J684" s="1">
        <v>44</v>
      </c>
      <c r="K684" s="1">
        <v>94</v>
      </c>
      <c r="L684" s="1">
        <v>104</v>
      </c>
      <c r="M684" s="1">
        <v>58</v>
      </c>
      <c r="N684" s="1">
        <v>129</v>
      </c>
      <c r="O684" s="1">
        <v>94</v>
      </c>
      <c r="P684" s="1">
        <v>61</v>
      </c>
      <c r="Q684" s="1">
        <v>83</v>
      </c>
    </row>
    <row r="685" spans="1:17" ht="15.75" customHeight="1">
      <c r="A685" s="1">
        <v>2019</v>
      </c>
      <c r="B685" s="1">
        <v>66</v>
      </c>
      <c r="C685" s="1" t="s">
        <v>152</v>
      </c>
      <c r="D685" s="1">
        <v>5.6929999999999996</v>
      </c>
      <c r="E685" s="1">
        <v>0.40100000000000002</v>
      </c>
      <c r="F685" s="1">
        <v>86</v>
      </c>
      <c r="G685" s="1">
        <v>134</v>
      </c>
      <c r="H685" s="1">
        <v>114</v>
      </c>
      <c r="I685" s="1">
        <v>110</v>
      </c>
      <c r="J685" s="1">
        <v>120</v>
      </c>
      <c r="K685" s="1">
        <v>38</v>
      </c>
      <c r="L685" s="1">
        <v>68</v>
      </c>
      <c r="M685" s="1">
        <v>133</v>
      </c>
      <c r="N685" s="1">
        <v>130</v>
      </c>
      <c r="O685" s="1">
        <v>38</v>
      </c>
      <c r="P685" s="1">
        <v>66</v>
      </c>
      <c r="Q685" s="1">
        <v>72</v>
      </c>
    </row>
    <row r="686" spans="1:17" ht="15.75" customHeight="1">
      <c r="A686" s="1">
        <v>2019</v>
      </c>
      <c r="B686" s="1">
        <v>67</v>
      </c>
      <c r="C686" s="1" t="s">
        <v>126</v>
      </c>
      <c r="D686" s="1">
        <v>5.6920000000000002</v>
      </c>
      <c r="E686" s="1" t="s">
        <v>492</v>
      </c>
      <c r="F686" s="1">
        <v>95</v>
      </c>
      <c r="G686" s="1">
        <v>44</v>
      </c>
      <c r="H686" s="1">
        <v>75</v>
      </c>
      <c r="I686" s="1">
        <v>72</v>
      </c>
      <c r="J686" s="1">
        <v>47</v>
      </c>
      <c r="K686" s="1">
        <v>43</v>
      </c>
      <c r="L686" s="1">
        <v>117</v>
      </c>
      <c r="M686" s="1">
        <v>12</v>
      </c>
      <c r="N686" s="1">
        <v>73</v>
      </c>
      <c r="O686" s="1">
        <v>43</v>
      </c>
      <c r="P686" s="1">
        <v>44</v>
      </c>
      <c r="Q686" s="1">
        <v>55</v>
      </c>
    </row>
    <row r="687" spans="1:17" ht="15.75" customHeight="1">
      <c r="A687" s="1">
        <v>2019</v>
      </c>
      <c r="B687" s="1">
        <v>68</v>
      </c>
      <c r="C687" s="1" t="s">
        <v>149</v>
      </c>
      <c r="D687" s="1">
        <v>5.6890000000000001</v>
      </c>
      <c r="E687" s="1">
        <v>0.72599999999999998</v>
      </c>
      <c r="F687" s="1">
        <v>135</v>
      </c>
      <c r="G687" s="1">
        <v>51</v>
      </c>
      <c r="H687" s="1">
        <v>60</v>
      </c>
      <c r="I687" s="1">
        <v>79</v>
      </c>
      <c r="J687" s="1">
        <v>45</v>
      </c>
      <c r="K687" s="1">
        <v>89</v>
      </c>
      <c r="L687" s="1">
        <v>59</v>
      </c>
      <c r="M687" s="1">
        <v>30</v>
      </c>
      <c r="N687" s="1">
        <v>64</v>
      </c>
      <c r="O687" s="1">
        <v>89</v>
      </c>
      <c r="P687" s="1">
        <v>25</v>
      </c>
      <c r="Q687" s="1">
        <v>54</v>
      </c>
    </row>
    <row r="688" spans="1:17" ht="15.75" customHeight="1">
      <c r="A688" s="1">
        <v>2019</v>
      </c>
      <c r="B688" s="1">
        <v>69</v>
      </c>
      <c r="C688" s="1" t="s">
        <v>146</v>
      </c>
      <c r="D688" s="1">
        <v>5.6740000000000004</v>
      </c>
      <c r="E688" s="1">
        <v>0.86099999999999999</v>
      </c>
      <c r="F688" s="1">
        <v>65</v>
      </c>
      <c r="G688" s="1">
        <v>61</v>
      </c>
      <c r="H688" s="1">
        <v>70</v>
      </c>
      <c r="I688" s="1">
        <v>49</v>
      </c>
      <c r="J688" s="1">
        <v>105</v>
      </c>
      <c r="K688" s="1">
        <v>32</v>
      </c>
      <c r="L688" s="1">
        <v>135</v>
      </c>
      <c r="M688" s="1">
        <v>118</v>
      </c>
      <c r="N688" s="1">
        <v>48</v>
      </c>
      <c r="O688" s="1">
        <v>32</v>
      </c>
      <c r="P688" s="1">
        <v>133</v>
      </c>
      <c r="Q688" s="1">
        <v>105</v>
      </c>
    </row>
    <row r="689" spans="1:17" ht="15.75" customHeight="1">
      <c r="A689" s="1">
        <v>2019</v>
      </c>
      <c r="B689" s="1">
        <v>70</v>
      </c>
      <c r="C689" s="1" t="s">
        <v>285</v>
      </c>
      <c r="D689" s="1">
        <v>5.6079999999999997</v>
      </c>
      <c r="E689" s="1" t="s">
        <v>60</v>
      </c>
      <c r="F689" s="1">
        <v>72</v>
      </c>
      <c r="G689" s="1">
        <v>84</v>
      </c>
      <c r="H689" s="1">
        <v>81</v>
      </c>
      <c r="I689" s="1">
        <v>76</v>
      </c>
      <c r="J689" s="1">
        <v>81</v>
      </c>
      <c r="K689" s="1">
        <v>85</v>
      </c>
      <c r="L689" s="1">
        <v>119</v>
      </c>
      <c r="M689" s="1">
        <v>101</v>
      </c>
      <c r="N689" s="1">
        <v>63</v>
      </c>
      <c r="O689" s="1">
        <v>85</v>
      </c>
      <c r="P689" s="1">
        <v>105</v>
      </c>
      <c r="Q689" s="1">
        <v>81</v>
      </c>
    </row>
    <row r="690" spans="1:17" ht="15.75" customHeight="1">
      <c r="A690" s="1">
        <v>2019</v>
      </c>
      <c r="B690" s="1">
        <v>71</v>
      </c>
      <c r="C690" s="1" t="s">
        <v>162</v>
      </c>
      <c r="D690" s="1">
        <v>5.556</v>
      </c>
      <c r="E690" s="1">
        <v>1.1759999999999999</v>
      </c>
      <c r="F690" s="1">
        <v>25</v>
      </c>
      <c r="G690" s="1">
        <v>53</v>
      </c>
      <c r="H690" s="1">
        <v>119</v>
      </c>
      <c r="I690" s="1">
        <v>71</v>
      </c>
      <c r="J690" s="1">
        <v>107</v>
      </c>
      <c r="K690" s="1">
        <v>19</v>
      </c>
      <c r="L690" s="1">
        <v>77</v>
      </c>
      <c r="M690" s="1">
        <v>14</v>
      </c>
      <c r="N690" s="1">
        <v>107</v>
      </c>
      <c r="O690" s="1">
        <v>5</v>
      </c>
      <c r="P690" s="1">
        <v>61</v>
      </c>
      <c r="Q690" s="1"/>
    </row>
    <row r="691" spans="1:17" ht="15.75" customHeight="1">
      <c r="A691" s="1">
        <v>2019</v>
      </c>
      <c r="B691" s="1">
        <v>72</v>
      </c>
      <c r="C691" s="1" t="s">
        <v>147</v>
      </c>
      <c r="D691" s="1">
        <v>5.5460000000000003</v>
      </c>
      <c r="E691" s="1">
        <v>0.247</v>
      </c>
      <c r="F691" s="1">
        <v>59</v>
      </c>
      <c r="G691" s="1">
        <v>79</v>
      </c>
      <c r="H691" s="1">
        <v>55</v>
      </c>
      <c r="I691" s="1">
        <v>45</v>
      </c>
      <c r="J691" s="1">
        <v>117</v>
      </c>
      <c r="K691" s="1">
        <v>74</v>
      </c>
      <c r="L691" s="1">
        <v>86</v>
      </c>
      <c r="M691" s="1">
        <v>117</v>
      </c>
      <c r="N691" s="1">
        <v>112</v>
      </c>
      <c r="O691" s="1">
        <v>74</v>
      </c>
      <c r="P691" s="1">
        <v>120</v>
      </c>
      <c r="Q691" s="1">
        <v>120</v>
      </c>
    </row>
    <row r="692" spans="1:17" ht="15.75" customHeight="1">
      <c r="A692" s="1">
        <v>2019</v>
      </c>
      <c r="B692" s="1">
        <v>73</v>
      </c>
      <c r="C692" s="1" t="s">
        <v>108</v>
      </c>
      <c r="D692" s="1">
        <v>5.5460000000000003</v>
      </c>
      <c r="E692" s="1">
        <v>8.2000000000000003E-2</v>
      </c>
      <c r="F692" s="1">
        <v>68</v>
      </c>
      <c r="G692" s="1">
        <v>37</v>
      </c>
      <c r="H692" s="1">
        <v>38</v>
      </c>
      <c r="I692" s="1">
        <v>82</v>
      </c>
      <c r="J692" s="1">
        <v>109</v>
      </c>
      <c r="K692" s="1">
        <v>70</v>
      </c>
      <c r="L692" s="1">
        <v>100</v>
      </c>
      <c r="M692" s="1">
        <v>92</v>
      </c>
      <c r="N692" s="1">
        <v>26</v>
      </c>
      <c r="O692" s="1">
        <v>70</v>
      </c>
      <c r="P692" s="1">
        <v>113</v>
      </c>
      <c r="Q692" s="1">
        <v>99</v>
      </c>
    </row>
    <row r="693" spans="1:17" ht="15.75" customHeight="1">
      <c r="A693" s="1">
        <v>2019</v>
      </c>
      <c r="B693" s="12">
        <v>74</v>
      </c>
      <c r="C693" s="8" t="s">
        <v>493</v>
      </c>
      <c r="D693" s="5">
        <v>5.5419999999999998</v>
      </c>
      <c r="E693" s="6">
        <v>0.5</v>
      </c>
      <c r="F693" s="6">
        <v>47</v>
      </c>
      <c r="G693" s="6">
        <v>58</v>
      </c>
      <c r="H693" s="6">
        <v>111</v>
      </c>
      <c r="I693" s="7">
        <v>74</v>
      </c>
      <c r="J693" s="6">
        <v>15</v>
      </c>
      <c r="K693" s="6">
        <v>72</v>
      </c>
      <c r="L693" s="6">
        <v>120</v>
      </c>
      <c r="M693" s="6">
        <v>94</v>
      </c>
      <c r="N693" s="6">
        <v>31</v>
      </c>
      <c r="O693" s="6">
        <v>72</v>
      </c>
      <c r="P693" s="6">
        <v>104</v>
      </c>
      <c r="Q693" s="6">
        <v>115</v>
      </c>
    </row>
    <row r="694" spans="1:17" ht="15.75" customHeight="1">
      <c r="A694" s="1">
        <v>2019</v>
      </c>
      <c r="B694" s="1">
        <v>75</v>
      </c>
      <c r="C694" s="1" t="s">
        <v>115</v>
      </c>
      <c r="D694" s="1">
        <v>5.54</v>
      </c>
      <c r="E694" s="1">
        <v>3.5999999999999997E-2</v>
      </c>
      <c r="F694" s="1">
        <v>38</v>
      </c>
      <c r="G694" s="1">
        <v>31</v>
      </c>
      <c r="H694" s="1">
        <v>52</v>
      </c>
      <c r="I694" s="1">
        <v>69</v>
      </c>
      <c r="J694" s="1">
        <v>126</v>
      </c>
      <c r="K694" s="1">
        <v>113</v>
      </c>
      <c r="L694" s="1">
        <v>21</v>
      </c>
      <c r="M694" s="1">
        <v>113</v>
      </c>
      <c r="N694" s="1">
        <v>20</v>
      </c>
      <c r="O694" s="1">
        <v>113</v>
      </c>
      <c r="P694" s="1">
        <v>121</v>
      </c>
      <c r="Q694" s="1">
        <v>139</v>
      </c>
    </row>
    <row r="695" spans="1:17" ht="15.75" customHeight="1">
      <c r="A695" s="1">
        <v>2019</v>
      </c>
      <c r="B695" s="12">
        <v>76</v>
      </c>
      <c r="C695" s="5">
        <v>5.5419999999999998</v>
      </c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spans="1:17" ht="15.75" customHeight="1">
      <c r="A696" s="1">
        <v>2019</v>
      </c>
      <c r="B696" s="1">
        <v>77</v>
      </c>
      <c r="C696" s="1" t="s">
        <v>160</v>
      </c>
      <c r="D696" s="1">
        <v>5.5149999999999997</v>
      </c>
      <c r="E696" s="1">
        <v>0.08</v>
      </c>
      <c r="F696" s="1">
        <v>44</v>
      </c>
      <c r="G696" s="1">
        <v>45</v>
      </c>
      <c r="H696" s="1">
        <v>44</v>
      </c>
      <c r="I696" s="1">
        <v>25</v>
      </c>
      <c r="J696" s="1">
        <v>135</v>
      </c>
      <c r="K696" s="1">
        <v>137</v>
      </c>
      <c r="L696" s="1">
        <v>101</v>
      </c>
      <c r="M696" s="1">
        <v>112</v>
      </c>
      <c r="N696" s="1">
        <v>45</v>
      </c>
      <c r="O696" s="1">
        <v>137</v>
      </c>
      <c r="P696" s="1">
        <v>128</v>
      </c>
      <c r="Q696" s="1">
        <v>110</v>
      </c>
    </row>
    <row r="697" spans="1:17" ht="15.75" customHeight="1">
      <c r="A697" s="1">
        <v>2019</v>
      </c>
      <c r="B697" s="1">
        <v>78</v>
      </c>
      <c r="C697" s="1" t="s">
        <v>132</v>
      </c>
      <c r="D697" s="1">
        <v>5.51</v>
      </c>
      <c r="E697" s="1" t="s">
        <v>494</v>
      </c>
      <c r="F697" s="1">
        <v>31</v>
      </c>
      <c r="G697" s="1">
        <v>67</v>
      </c>
      <c r="H697" s="1">
        <v>10</v>
      </c>
      <c r="I697" s="1"/>
      <c r="J697" s="1">
        <v>102</v>
      </c>
      <c r="K697" s="1">
        <v>20</v>
      </c>
      <c r="L697" s="1">
        <v>13</v>
      </c>
      <c r="M697" s="1">
        <v>126</v>
      </c>
      <c r="N697" s="1">
        <v>109</v>
      </c>
      <c r="O697" s="1">
        <v>20</v>
      </c>
      <c r="P697" s="1">
        <v>98</v>
      </c>
      <c r="Q697" s="1">
        <v>85</v>
      </c>
    </row>
    <row r="698" spans="1:17" ht="15.75" customHeight="1">
      <c r="A698" s="1">
        <v>2019</v>
      </c>
      <c r="B698" s="1">
        <v>79</v>
      </c>
      <c r="C698" s="1" t="s">
        <v>131</v>
      </c>
      <c r="D698" s="1">
        <v>5.5049999999999999</v>
      </c>
      <c r="E698" s="1" t="s">
        <v>255</v>
      </c>
      <c r="F698" s="1">
        <v>23</v>
      </c>
      <c r="G698" s="1">
        <v>21</v>
      </c>
      <c r="H698" s="1">
        <v>43</v>
      </c>
      <c r="I698" s="1">
        <v>35</v>
      </c>
      <c r="J698" s="1">
        <v>97</v>
      </c>
      <c r="K698" s="1">
        <v>80</v>
      </c>
      <c r="L698" s="1">
        <v>132</v>
      </c>
      <c r="M698" s="1">
        <v>130</v>
      </c>
      <c r="N698" s="1">
        <v>67</v>
      </c>
      <c r="O698" s="1">
        <v>80</v>
      </c>
      <c r="P698" s="1">
        <v>109</v>
      </c>
      <c r="Q698" s="1">
        <v>126</v>
      </c>
    </row>
    <row r="699" spans="1:17" ht="15.75" customHeight="1">
      <c r="A699" s="1">
        <v>2019</v>
      </c>
      <c r="B699" s="1">
        <v>80</v>
      </c>
      <c r="C699" s="1" t="s">
        <v>122</v>
      </c>
      <c r="D699" s="1">
        <v>5.4889999999999999</v>
      </c>
      <c r="E699" s="1">
        <v>0.14899999999999999</v>
      </c>
      <c r="F699" s="1">
        <v>89</v>
      </c>
      <c r="G699" s="1">
        <v>80</v>
      </c>
      <c r="H699" s="1">
        <v>83</v>
      </c>
      <c r="I699" s="1">
        <v>89</v>
      </c>
      <c r="J699" s="1">
        <v>90</v>
      </c>
      <c r="K699" s="1">
        <v>67</v>
      </c>
      <c r="L699" s="1">
        <v>37</v>
      </c>
      <c r="M699" s="1">
        <v>93</v>
      </c>
      <c r="N699" s="1">
        <v>124</v>
      </c>
      <c r="O699" s="1">
        <v>67</v>
      </c>
      <c r="P699" s="1">
        <v>69</v>
      </c>
      <c r="Q699" s="1">
        <v>3</v>
      </c>
    </row>
    <row r="700" spans="1:17" ht="15.75" customHeight="1">
      <c r="A700" s="1">
        <v>2019</v>
      </c>
      <c r="B700" s="1">
        <v>81</v>
      </c>
      <c r="C700" s="1" t="s">
        <v>163</v>
      </c>
      <c r="D700" s="1">
        <v>5.4560000000000004</v>
      </c>
      <c r="E700" s="1">
        <v>0.622</v>
      </c>
      <c r="F700" s="1">
        <v>41</v>
      </c>
      <c r="G700" s="1">
        <v>13</v>
      </c>
      <c r="H700" s="1">
        <v>72</v>
      </c>
      <c r="I700" s="1">
        <v>94</v>
      </c>
      <c r="J700" s="1">
        <v>111</v>
      </c>
      <c r="K700" s="1">
        <v>27</v>
      </c>
      <c r="L700" s="1">
        <v>112</v>
      </c>
      <c r="M700" s="1">
        <v>110</v>
      </c>
      <c r="N700" s="1">
        <v>9</v>
      </c>
      <c r="O700" s="1">
        <v>27</v>
      </c>
      <c r="P700" s="1">
        <v>12</v>
      </c>
      <c r="Q700" s="1">
        <v>114</v>
      </c>
    </row>
    <row r="701" spans="1:17" ht="15.75" customHeight="1">
      <c r="A701" s="1">
        <v>2019</v>
      </c>
      <c r="B701" s="1">
        <v>82</v>
      </c>
      <c r="C701" s="1" t="s">
        <v>97</v>
      </c>
      <c r="D701" s="1">
        <v>5.3840000000000003</v>
      </c>
      <c r="E701" s="1" t="s">
        <v>495</v>
      </c>
      <c r="F701" s="1">
        <v>52</v>
      </c>
      <c r="G701" s="1">
        <v>74</v>
      </c>
      <c r="H701" s="1">
        <v>47</v>
      </c>
      <c r="I701" s="1">
        <v>67</v>
      </c>
      <c r="J701" s="1">
        <v>17</v>
      </c>
      <c r="K701" s="1">
        <v>19</v>
      </c>
      <c r="L701" s="1">
        <v>69</v>
      </c>
      <c r="M701" s="1">
        <v>36</v>
      </c>
      <c r="N701" s="1">
        <v>12</v>
      </c>
      <c r="O701" s="1">
        <v>19</v>
      </c>
      <c r="P701" s="1">
        <v>59</v>
      </c>
      <c r="Q701" s="1">
        <v>48</v>
      </c>
    </row>
    <row r="702" spans="1:17" ht="15.75" customHeight="1">
      <c r="A702" s="1">
        <v>2019</v>
      </c>
      <c r="B702" s="1">
        <v>83</v>
      </c>
      <c r="C702" s="1" t="s">
        <v>157</v>
      </c>
      <c r="D702" s="1">
        <v>5.3529999999999998</v>
      </c>
      <c r="E702" s="1" t="s">
        <v>496</v>
      </c>
      <c r="F702" s="1">
        <v>36</v>
      </c>
      <c r="G702" s="1">
        <v>70</v>
      </c>
      <c r="H702" s="1">
        <v>89</v>
      </c>
      <c r="I702" s="1">
        <v>70</v>
      </c>
      <c r="J702" s="1">
        <v>6</v>
      </c>
      <c r="K702" s="1">
        <v>114</v>
      </c>
      <c r="L702" s="1">
        <v>72</v>
      </c>
      <c r="M702" s="1">
        <v>79</v>
      </c>
      <c r="N702" s="1">
        <v>19</v>
      </c>
      <c r="O702" s="1">
        <v>114</v>
      </c>
      <c r="P702" s="1">
        <v>92</v>
      </c>
      <c r="Q702" s="1">
        <v>91</v>
      </c>
    </row>
    <row r="703" spans="1:17" ht="15.75" customHeight="1">
      <c r="A703" s="1">
        <v>2019</v>
      </c>
      <c r="B703" s="1">
        <v>84</v>
      </c>
      <c r="C703" s="1" t="s">
        <v>137</v>
      </c>
      <c r="D703" s="1">
        <v>5.2859999999999996</v>
      </c>
      <c r="E703" s="1" t="s">
        <v>295</v>
      </c>
      <c r="F703" s="1">
        <v>104</v>
      </c>
      <c r="G703" s="1">
        <v>89</v>
      </c>
      <c r="H703" s="1">
        <v>87</v>
      </c>
      <c r="I703" s="1">
        <v>90</v>
      </c>
      <c r="J703" s="1">
        <v>52</v>
      </c>
      <c r="K703" s="1">
        <v>1</v>
      </c>
      <c r="L703" s="1">
        <v>106</v>
      </c>
      <c r="M703" s="1">
        <v>5</v>
      </c>
      <c r="N703" s="1">
        <v>83</v>
      </c>
      <c r="O703" s="1">
        <v>1</v>
      </c>
      <c r="P703" s="1">
        <v>1</v>
      </c>
      <c r="Q703" s="1">
        <v>37</v>
      </c>
    </row>
    <row r="704" spans="1:17" ht="15.75" customHeight="1">
      <c r="A704" s="1">
        <v>2019</v>
      </c>
      <c r="B704" s="1">
        <v>85</v>
      </c>
      <c r="C704" s="1" t="s">
        <v>220</v>
      </c>
      <c r="D704" s="1">
        <v>5.2329999999999997</v>
      </c>
      <c r="E704" s="1">
        <v>137</v>
      </c>
      <c r="F704" s="1">
        <v>124</v>
      </c>
      <c r="G704" s="1">
        <v>112</v>
      </c>
      <c r="H704" s="1">
        <v>101</v>
      </c>
      <c r="I704" s="1"/>
      <c r="J704" s="1">
        <v>82</v>
      </c>
      <c r="K704" s="1">
        <v>79</v>
      </c>
      <c r="L704" s="1">
        <v>75</v>
      </c>
      <c r="M704" s="1">
        <v>131</v>
      </c>
      <c r="N704" s="1">
        <v>82</v>
      </c>
      <c r="O704" s="1">
        <v>79</v>
      </c>
      <c r="P704" s="1">
        <v>11</v>
      </c>
    </row>
    <row r="705" spans="1:17" ht="15.75" customHeight="1">
      <c r="A705" s="1">
        <v>2019</v>
      </c>
      <c r="B705" s="1">
        <v>86</v>
      </c>
      <c r="C705" s="1" t="s">
        <v>244</v>
      </c>
      <c r="D705" s="1">
        <v>5.2160000000000002</v>
      </c>
      <c r="E705" s="1">
        <v>1.6879999999999999</v>
      </c>
      <c r="F705" s="1">
        <v>138</v>
      </c>
      <c r="G705" s="1">
        <v>142</v>
      </c>
      <c r="H705" s="1">
        <v>125</v>
      </c>
      <c r="I705" s="1">
        <v>118</v>
      </c>
      <c r="J705" s="1">
        <v>88</v>
      </c>
      <c r="K705" s="1">
        <v>95</v>
      </c>
      <c r="L705" s="1">
        <v>40</v>
      </c>
      <c r="M705" s="1">
        <v>89</v>
      </c>
      <c r="N705" s="1">
        <v>135</v>
      </c>
      <c r="O705" s="1">
        <v>95</v>
      </c>
      <c r="P705" s="1">
        <v>81</v>
      </c>
      <c r="Q705" s="1">
        <v>80</v>
      </c>
    </row>
    <row r="706" spans="1:17" ht="15.75" customHeight="1">
      <c r="A706" s="1">
        <v>2019</v>
      </c>
      <c r="B706" s="1">
        <v>87</v>
      </c>
      <c r="C706" s="1" t="s">
        <v>468</v>
      </c>
      <c r="D706" s="1">
        <v>5.1980000000000004</v>
      </c>
      <c r="F706" s="1"/>
      <c r="G706" s="1"/>
      <c r="H706" s="1"/>
      <c r="I706" s="1"/>
      <c r="J706" s="1"/>
      <c r="N706" s="1"/>
      <c r="O706" s="1"/>
      <c r="P706" s="1"/>
      <c r="Q706" s="1"/>
    </row>
    <row r="707" spans="1:17" ht="15.75" customHeight="1">
      <c r="A707" s="1">
        <v>2019</v>
      </c>
      <c r="B707" s="1">
        <v>88</v>
      </c>
      <c r="C707" s="1" t="s">
        <v>202</v>
      </c>
      <c r="D707" s="1">
        <v>5.194</v>
      </c>
      <c r="E707" s="1">
        <v>0.89700000000000002</v>
      </c>
      <c r="F707" s="1">
        <v>139</v>
      </c>
      <c r="G707" s="1">
        <v>133</v>
      </c>
      <c r="H707" s="1">
        <v>102</v>
      </c>
      <c r="I707" s="1">
        <v>124</v>
      </c>
      <c r="J707" s="1">
        <v>119</v>
      </c>
      <c r="K707" s="1">
        <v>109</v>
      </c>
      <c r="L707" s="1">
        <v>55</v>
      </c>
      <c r="M707" s="1">
        <v>103</v>
      </c>
      <c r="N707" s="1">
        <v>125</v>
      </c>
      <c r="O707" s="1">
        <v>109</v>
      </c>
      <c r="P707" s="1">
        <v>52</v>
      </c>
      <c r="Q707" s="1">
        <v>29</v>
      </c>
    </row>
    <row r="708" spans="1:17" ht="15.75" customHeight="1">
      <c r="A708" s="1">
        <v>2019</v>
      </c>
      <c r="B708" s="1">
        <v>89</v>
      </c>
      <c r="C708" s="1" t="s">
        <v>140</v>
      </c>
      <c r="D708" s="1">
        <v>5.165</v>
      </c>
      <c r="E708" s="1">
        <v>0.56100000000000005</v>
      </c>
      <c r="F708" s="1">
        <v>3</v>
      </c>
      <c r="G708" s="1">
        <v>47</v>
      </c>
      <c r="H708" s="1">
        <v>62</v>
      </c>
      <c r="I708" s="1">
        <v>54</v>
      </c>
      <c r="J708" s="1">
        <v>53</v>
      </c>
      <c r="K708" s="1">
        <v>133</v>
      </c>
      <c r="L708" s="1">
        <v>16</v>
      </c>
      <c r="M708" s="1">
        <v>107</v>
      </c>
      <c r="N708" s="1">
        <v>8</v>
      </c>
      <c r="O708" s="1">
        <v>133</v>
      </c>
      <c r="P708" s="1">
        <v>122</v>
      </c>
      <c r="Q708" s="1">
        <v>131</v>
      </c>
    </row>
    <row r="709" spans="1:17" ht="15.75" customHeight="1">
      <c r="A709" s="1">
        <v>2019</v>
      </c>
      <c r="B709" s="1">
        <v>90</v>
      </c>
      <c r="C709" s="1" t="s">
        <v>156</v>
      </c>
      <c r="D709" s="1">
        <v>5.16</v>
      </c>
      <c r="E709" s="1">
        <v>0.58599999999999997</v>
      </c>
      <c r="F709" s="1">
        <v>61</v>
      </c>
      <c r="G709" s="1">
        <v>83</v>
      </c>
      <c r="H709" s="1">
        <v>57</v>
      </c>
      <c r="I709" s="1">
        <v>53</v>
      </c>
      <c r="J709" s="1">
        <v>104</v>
      </c>
      <c r="K709" s="1">
        <v>40</v>
      </c>
      <c r="L709" s="1">
        <v>129</v>
      </c>
      <c r="M709" s="1">
        <v>129</v>
      </c>
      <c r="N709" s="1">
        <v>86</v>
      </c>
      <c r="O709" s="1">
        <v>40</v>
      </c>
      <c r="P709" s="1">
        <v>138</v>
      </c>
      <c r="Q709" s="1">
        <v>108</v>
      </c>
    </row>
    <row r="710" spans="1:17" ht="15.75" customHeight="1">
      <c r="A710" s="1">
        <v>2019</v>
      </c>
      <c r="B710" s="1">
        <v>91</v>
      </c>
      <c r="C710" s="1" t="s">
        <v>197</v>
      </c>
      <c r="D710" s="1">
        <v>5.1479999999999997</v>
      </c>
      <c r="E710" s="1">
        <v>5.7000000000000002E-2</v>
      </c>
      <c r="F710" s="1">
        <v>87</v>
      </c>
      <c r="G710" s="1">
        <v>111</v>
      </c>
      <c r="H710" s="1">
        <v>107</v>
      </c>
      <c r="I710" s="1">
        <v>109</v>
      </c>
      <c r="J710" s="1">
        <v>80</v>
      </c>
      <c r="K710" s="1">
        <v>36</v>
      </c>
      <c r="L710" s="1">
        <v>103</v>
      </c>
      <c r="M710" s="1">
        <v>84</v>
      </c>
      <c r="N710" s="1">
        <v>68</v>
      </c>
      <c r="O710" s="1">
        <v>36</v>
      </c>
      <c r="P710" s="1">
        <v>17</v>
      </c>
      <c r="Q710" s="1">
        <v>20</v>
      </c>
    </row>
    <row r="711" spans="1:17" ht="15.75" customHeight="1">
      <c r="A711" s="1">
        <v>2019</v>
      </c>
      <c r="B711" s="1">
        <v>92</v>
      </c>
      <c r="C711" s="1" t="s">
        <v>172</v>
      </c>
      <c r="D711" s="1">
        <v>5.1369999999999996</v>
      </c>
      <c r="E711" s="1">
        <v>0.98099999999999998</v>
      </c>
      <c r="F711" s="1">
        <v>132</v>
      </c>
      <c r="G711" s="1">
        <v>101</v>
      </c>
      <c r="H711" s="1">
        <v>117</v>
      </c>
      <c r="I711" s="1">
        <v>96</v>
      </c>
      <c r="J711" s="1">
        <v>79</v>
      </c>
      <c r="K711" s="1">
        <v>34</v>
      </c>
      <c r="L711" s="1">
        <v>44</v>
      </c>
      <c r="M711" s="1">
        <v>137</v>
      </c>
      <c r="N711" s="1">
        <v>108</v>
      </c>
      <c r="O711" s="1">
        <v>34</v>
      </c>
      <c r="P711" s="1">
        <v>14</v>
      </c>
      <c r="Q711" s="1">
        <v>77</v>
      </c>
    </row>
    <row r="712" spans="1:17" ht="15.75" customHeight="1">
      <c r="A712" s="1">
        <v>2019</v>
      </c>
      <c r="B712" s="1">
        <v>93</v>
      </c>
      <c r="C712" s="1" t="s">
        <v>136</v>
      </c>
      <c r="D712" s="1">
        <v>5.1319999999999997</v>
      </c>
      <c r="E712" s="1" t="s">
        <v>497</v>
      </c>
      <c r="F712" s="1">
        <v>76</v>
      </c>
      <c r="G712" s="1">
        <v>93</v>
      </c>
      <c r="H712" s="1">
        <v>50</v>
      </c>
      <c r="I712" s="1">
        <v>46</v>
      </c>
      <c r="J712" s="1">
        <v>130</v>
      </c>
      <c r="K712" s="1">
        <v>79</v>
      </c>
      <c r="L712" s="1">
        <v>64</v>
      </c>
      <c r="M712" s="1">
        <v>140</v>
      </c>
      <c r="N712" s="1">
        <v>113</v>
      </c>
      <c r="O712" s="1">
        <v>79</v>
      </c>
      <c r="P712" s="1">
        <v>111</v>
      </c>
      <c r="Q712" s="1">
        <v>23</v>
      </c>
    </row>
    <row r="713" spans="1:17" ht="15.75" customHeight="1">
      <c r="A713" s="1">
        <v>2019</v>
      </c>
      <c r="B713" s="12">
        <v>94</v>
      </c>
      <c r="C713" s="8" t="s">
        <v>498</v>
      </c>
      <c r="D713" s="5">
        <v>5.1239999999999997</v>
      </c>
      <c r="E713" s="6">
        <v>0.14599999999999999</v>
      </c>
      <c r="F713" s="6">
        <v>62</v>
      </c>
      <c r="G713" s="6">
        <v>81</v>
      </c>
      <c r="H713" s="6">
        <v>64</v>
      </c>
      <c r="I713" s="10">
        <v>32</v>
      </c>
      <c r="J713" s="6">
        <v>12</v>
      </c>
      <c r="K713" s="6">
        <v>112</v>
      </c>
      <c r="L713" s="10"/>
      <c r="M713" s="6">
        <v>24</v>
      </c>
      <c r="N713" s="6">
        <v>5</v>
      </c>
      <c r="O713" s="6">
        <v>112</v>
      </c>
      <c r="P713" s="6">
        <v>114</v>
      </c>
      <c r="Q713" s="6">
        <v>134</v>
      </c>
    </row>
    <row r="714" spans="1:17" ht="15.75" customHeight="1">
      <c r="A714" s="1">
        <v>2019</v>
      </c>
      <c r="B714" s="12">
        <v>95</v>
      </c>
      <c r="C714" s="8" t="s">
        <v>499</v>
      </c>
      <c r="D714" s="5">
        <v>5.1189999999999998</v>
      </c>
      <c r="E714" s="9" t="s">
        <v>500</v>
      </c>
      <c r="F714" s="6">
        <v>16</v>
      </c>
      <c r="G714" s="6">
        <v>2</v>
      </c>
      <c r="H714" s="6">
        <v>76</v>
      </c>
      <c r="I714" s="7">
        <v>99</v>
      </c>
      <c r="J714" s="6">
        <v>34</v>
      </c>
      <c r="K714" s="6">
        <v>6</v>
      </c>
      <c r="L714" s="7"/>
      <c r="M714" s="6">
        <v>132</v>
      </c>
      <c r="N714" s="6">
        <v>18</v>
      </c>
      <c r="O714" s="6">
        <v>6</v>
      </c>
      <c r="P714" s="6">
        <v>48</v>
      </c>
      <c r="Q714" s="6">
        <v>5</v>
      </c>
    </row>
    <row r="715" spans="1:17" ht="15.75" customHeight="1">
      <c r="A715" s="1">
        <v>2019</v>
      </c>
      <c r="B715" s="1">
        <v>96</v>
      </c>
      <c r="C715" s="1" t="s">
        <v>205</v>
      </c>
      <c r="D715" s="1">
        <v>5.1020000000000003</v>
      </c>
      <c r="E715" s="1">
        <v>1.121</v>
      </c>
      <c r="F715" s="1">
        <v>45</v>
      </c>
      <c r="G715" s="1">
        <v>10</v>
      </c>
      <c r="H715" s="1">
        <v>51</v>
      </c>
      <c r="I715" s="1">
        <v>66</v>
      </c>
      <c r="J715" s="1">
        <v>69</v>
      </c>
      <c r="K715" s="1">
        <v>73</v>
      </c>
      <c r="L715" s="1">
        <v>133</v>
      </c>
      <c r="M715" s="1">
        <v>106</v>
      </c>
      <c r="N715" s="1">
        <v>25</v>
      </c>
      <c r="O715" s="1">
        <v>73</v>
      </c>
      <c r="P715" s="1">
        <v>132</v>
      </c>
      <c r="Q715" s="1">
        <v>104</v>
      </c>
    </row>
    <row r="716" spans="1:17" ht="15.75" customHeight="1">
      <c r="A716" s="1">
        <v>2019</v>
      </c>
      <c r="B716" s="1">
        <v>97</v>
      </c>
      <c r="C716" s="1" t="s">
        <v>150</v>
      </c>
      <c r="D716" s="1">
        <v>5.0949999999999998</v>
      </c>
      <c r="E716" s="1">
        <v>0.21</v>
      </c>
      <c r="F716" s="1">
        <v>101</v>
      </c>
      <c r="G716" s="1">
        <v>140</v>
      </c>
      <c r="H716" s="1">
        <v>98</v>
      </c>
      <c r="I716" s="1">
        <v>85</v>
      </c>
      <c r="J716" s="1">
        <v>92</v>
      </c>
      <c r="K716" s="1">
        <v>142</v>
      </c>
      <c r="L716" s="1">
        <v>63</v>
      </c>
      <c r="M716" s="1">
        <v>123</v>
      </c>
      <c r="N716" s="1">
        <v>126</v>
      </c>
      <c r="O716" s="1">
        <v>142</v>
      </c>
      <c r="P716" s="1">
        <v>129</v>
      </c>
      <c r="Q716" s="1">
        <v>16</v>
      </c>
    </row>
    <row r="717" spans="1:17" ht="15.75" customHeight="1">
      <c r="A717" s="1">
        <v>2019</v>
      </c>
      <c r="B717" s="1">
        <v>98</v>
      </c>
      <c r="C717" s="1" t="s">
        <v>182</v>
      </c>
      <c r="D717" s="1">
        <v>5.085</v>
      </c>
      <c r="E717" s="1">
        <v>0.66500000000000004</v>
      </c>
      <c r="F717" s="1">
        <v>107</v>
      </c>
      <c r="G717" s="1">
        <v>116</v>
      </c>
      <c r="H717" s="1">
        <v>116</v>
      </c>
      <c r="I717" s="1">
        <v>125</v>
      </c>
      <c r="J717" s="1">
        <v>110</v>
      </c>
      <c r="K717" s="1">
        <v>90</v>
      </c>
      <c r="L717" s="1">
        <v>84</v>
      </c>
      <c r="M717" s="1">
        <v>98</v>
      </c>
      <c r="N717" s="1">
        <v>97</v>
      </c>
      <c r="O717" s="1">
        <v>90</v>
      </c>
      <c r="P717" s="1">
        <v>74</v>
      </c>
      <c r="Q717" s="1">
        <v>26</v>
      </c>
    </row>
    <row r="718" spans="1:17" ht="15.75" customHeight="1">
      <c r="A718" s="1">
        <v>2019</v>
      </c>
      <c r="B718" s="1">
        <v>99</v>
      </c>
      <c r="C718" s="1" t="s">
        <v>93</v>
      </c>
      <c r="D718" s="1">
        <v>5.0529999999999999</v>
      </c>
      <c r="E718" s="1" t="s">
        <v>501</v>
      </c>
      <c r="F718" s="1">
        <v>123</v>
      </c>
      <c r="G718" s="1">
        <v>46</v>
      </c>
      <c r="H718" s="1">
        <v>143</v>
      </c>
      <c r="I718" s="1">
        <v>88</v>
      </c>
      <c r="J718" s="1">
        <v>132</v>
      </c>
      <c r="K718" s="1">
        <v>110</v>
      </c>
      <c r="L718" s="1">
        <v>96</v>
      </c>
      <c r="M718" s="1">
        <v>41</v>
      </c>
      <c r="N718" s="1">
        <v>106</v>
      </c>
      <c r="O718" s="1">
        <v>110</v>
      </c>
      <c r="P718" s="1">
        <v>70</v>
      </c>
      <c r="Q718" s="1">
        <v>42</v>
      </c>
    </row>
    <row r="719" spans="1:17" ht="15.75" customHeight="1">
      <c r="A719" s="1">
        <v>2019</v>
      </c>
      <c r="B719" s="1">
        <v>100</v>
      </c>
      <c r="C719" s="1" t="s">
        <v>85</v>
      </c>
      <c r="D719" s="1">
        <v>5.0049999999999999</v>
      </c>
      <c r="E719" s="1" t="s">
        <v>502</v>
      </c>
      <c r="F719" s="1">
        <v>32</v>
      </c>
      <c r="G719" s="1">
        <v>88</v>
      </c>
      <c r="H719" s="1">
        <v>77</v>
      </c>
      <c r="I719" s="1">
        <v>62</v>
      </c>
      <c r="J719" s="1">
        <v>142</v>
      </c>
      <c r="K719" s="1">
        <v>49</v>
      </c>
      <c r="L719" s="1">
        <v>56</v>
      </c>
      <c r="M719" s="1">
        <v>119</v>
      </c>
      <c r="N719" s="1">
        <v>36</v>
      </c>
      <c r="O719" s="1">
        <v>49</v>
      </c>
      <c r="P719" s="1">
        <v>33</v>
      </c>
      <c r="Q719" s="1">
        <v>65</v>
      </c>
    </row>
    <row r="720" spans="1:17" ht="15.75" customHeight="1">
      <c r="A720" s="1">
        <v>2019</v>
      </c>
      <c r="B720" s="1">
        <v>101</v>
      </c>
      <c r="C720" s="1" t="s">
        <v>204</v>
      </c>
      <c r="D720" s="1">
        <v>4.9809999999999999</v>
      </c>
      <c r="E720" s="1">
        <v>1.022</v>
      </c>
      <c r="F720" s="1">
        <v>119</v>
      </c>
      <c r="G720" s="1">
        <v>120</v>
      </c>
      <c r="H720" s="1">
        <v>118</v>
      </c>
      <c r="I720" s="1">
        <v>104</v>
      </c>
      <c r="J720" s="1">
        <v>91</v>
      </c>
      <c r="K720" s="1">
        <v>96</v>
      </c>
      <c r="L720" s="1">
        <v>76</v>
      </c>
      <c r="M720" s="1">
        <v>19</v>
      </c>
      <c r="N720" s="1">
        <v>99</v>
      </c>
      <c r="O720" s="1">
        <v>96</v>
      </c>
      <c r="P720" s="1">
        <v>80</v>
      </c>
      <c r="Q720" s="1">
        <v>59</v>
      </c>
    </row>
    <row r="721" spans="1:17" ht="15.75" customHeight="1">
      <c r="A721" s="1">
        <v>2019</v>
      </c>
      <c r="B721" s="1">
        <v>102</v>
      </c>
      <c r="C721" s="1" t="s">
        <v>240</v>
      </c>
      <c r="D721" s="1">
        <v>4.9489999999999998</v>
      </c>
      <c r="E721" s="1">
        <v>1.1020000000000001</v>
      </c>
      <c r="F721" s="1">
        <v>134</v>
      </c>
      <c r="G721" s="1">
        <v>129</v>
      </c>
      <c r="H721" s="1">
        <v>121</v>
      </c>
      <c r="I721" s="1">
        <v>129</v>
      </c>
      <c r="J721" s="1">
        <v>118</v>
      </c>
      <c r="K721" s="1">
        <v>55</v>
      </c>
      <c r="L721" s="1">
        <v>62</v>
      </c>
      <c r="M721" s="1">
        <v>72</v>
      </c>
      <c r="N721" s="1">
        <v>140</v>
      </c>
      <c r="O721" s="1">
        <v>55</v>
      </c>
      <c r="P721" s="1">
        <v>36</v>
      </c>
      <c r="Q721" s="1">
        <v>30</v>
      </c>
    </row>
    <row r="722" spans="1:17" ht="15.75" customHeight="1">
      <c r="A722" s="1">
        <v>2019</v>
      </c>
      <c r="B722" s="1">
        <v>103</v>
      </c>
      <c r="C722" s="1" t="s">
        <v>224</v>
      </c>
      <c r="D722" s="1">
        <v>4.91</v>
      </c>
      <c r="E722" s="1">
        <v>0.75800000000000001</v>
      </c>
      <c r="F722" s="1">
        <v>125</v>
      </c>
      <c r="G722" s="1">
        <v>125</v>
      </c>
      <c r="H722" s="1">
        <v>140</v>
      </c>
      <c r="I722" s="1">
        <v>130</v>
      </c>
      <c r="J722" s="1">
        <v>64</v>
      </c>
      <c r="K722" s="1">
        <v>108</v>
      </c>
      <c r="L722" s="1">
        <v>50</v>
      </c>
      <c r="M722" s="1">
        <v>7</v>
      </c>
      <c r="N722" s="1">
        <v>88</v>
      </c>
      <c r="O722" s="1">
        <v>108</v>
      </c>
      <c r="P722" s="1">
        <v>86</v>
      </c>
      <c r="Q722" s="1">
        <v>17</v>
      </c>
    </row>
    <row r="723" spans="1:17" ht="15.75" customHeight="1">
      <c r="A723" s="1">
        <v>2019</v>
      </c>
      <c r="B723" s="1">
        <v>104</v>
      </c>
      <c r="C723" s="1" t="s">
        <v>164</v>
      </c>
      <c r="D723" s="1">
        <v>4.8890000000000002</v>
      </c>
      <c r="E723" s="1">
        <v>0.10199999999999999</v>
      </c>
      <c r="F723" s="1">
        <v>80</v>
      </c>
      <c r="G723" s="1">
        <v>114</v>
      </c>
      <c r="H723" s="1">
        <v>100</v>
      </c>
      <c r="I723" s="1">
        <v>102</v>
      </c>
      <c r="J723" s="1">
        <v>24</v>
      </c>
      <c r="K723" s="1">
        <v>44</v>
      </c>
      <c r="L723" s="1">
        <v>28</v>
      </c>
      <c r="M723" s="1">
        <v>50</v>
      </c>
      <c r="N723" s="1">
        <v>89</v>
      </c>
      <c r="O723" s="1">
        <v>44</v>
      </c>
      <c r="P723" s="1">
        <v>116</v>
      </c>
      <c r="Q723" s="1">
        <v>137</v>
      </c>
    </row>
    <row r="724" spans="1:17" ht="15.75" customHeight="1">
      <c r="A724" s="1">
        <v>2019</v>
      </c>
      <c r="B724" s="1">
        <v>105</v>
      </c>
      <c r="C724" s="1" t="s">
        <v>174</v>
      </c>
      <c r="D724" s="1">
        <v>4.883</v>
      </c>
      <c r="E724" s="1" t="s">
        <v>503</v>
      </c>
      <c r="F724" s="1">
        <v>98</v>
      </c>
      <c r="G724" s="1">
        <v>122</v>
      </c>
      <c r="H724" s="1">
        <v>78</v>
      </c>
      <c r="I724" s="1">
        <v>34</v>
      </c>
      <c r="J724" s="1">
        <v>84</v>
      </c>
      <c r="K724" s="1">
        <v>87</v>
      </c>
      <c r="L724" s="1">
        <v>125</v>
      </c>
      <c r="M724" s="1">
        <v>116</v>
      </c>
      <c r="N724" s="1">
        <v>72</v>
      </c>
      <c r="O724" s="1">
        <v>87</v>
      </c>
      <c r="P724" s="1">
        <v>142</v>
      </c>
      <c r="Q724" s="1">
        <v>98</v>
      </c>
    </row>
    <row r="725" spans="1:17" ht="15.75" customHeight="1">
      <c r="A725" s="1">
        <v>2019</v>
      </c>
      <c r="B725" s="1">
        <v>106</v>
      </c>
      <c r="C725" s="1" t="s">
        <v>221</v>
      </c>
      <c r="D725" s="1">
        <v>4.8479999999999999</v>
      </c>
      <c r="E725" s="1">
        <v>0.78100000000000003</v>
      </c>
      <c r="F725" s="1">
        <v>110</v>
      </c>
      <c r="G725" s="1">
        <v>106</v>
      </c>
      <c r="H725" s="1">
        <v>108</v>
      </c>
      <c r="I725" s="1">
        <v>98</v>
      </c>
      <c r="J725" s="1">
        <v>4</v>
      </c>
      <c r="K725" s="1">
        <v>71</v>
      </c>
      <c r="L725" s="1">
        <v>88</v>
      </c>
      <c r="M725" s="1">
        <v>56</v>
      </c>
      <c r="N725" s="1">
        <v>120</v>
      </c>
      <c r="O725" s="1">
        <v>71</v>
      </c>
      <c r="P725" s="1">
        <v>140</v>
      </c>
      <c r="Q725" s="1">
        <v>142</v>
      </c>
    </row>
    <row r="726" spans="1:17" ht="15.75" customHeight="1">
      <c r="A726" s="1">
        <v>2019</v>
      </c>
      <c r="B726" s="1">
        <v>107</v>
      </c>
      <c r="C726" s="1" t="s">
        <v>176</v>
      </c>
      <c r="D726" s="1">
        <v>4.8330000000000002</v>
      </c>
      <c r="E726" s="1">
        <v>2.9000000000000001E-2</v>
      </c>
      <c r="F726" s="1">
        <v>114</v>
      </c>
      <c r="G726" s="1">
        <v>128</v>
      </c>
      <c r="H726" s="1">
        <v>103</v>
      </c>
      <c r="I726" s="1">
        <v>80</v>
      </c>
      <c r="J726" s="1">
        <v>28</v>
      </c>
      <c r="K726" s="1">
        <v>98</v>
      </c>
      <c r="L726" s="1">
        <v>31</v>
      </c>
      <c r="M726" s="1">
        <v>138</v>
      </c>
      <c r="N726" s="1">
        <v>114</v>
      </c>
      <c r="O726" s="1">
        <v>98</v>
      </c>
      <c r="P726" s="1">
        <v>84</v>
      </c>
      <c r="Q726" s="1">
        <v>39</v>
      </c>
    </row>
    <row r="727" spans="1:17" ht="15.75" customHeight="1">
      <c r="A727" s="1">
        <v>2019</v>
      </c>
      <c r="B727" s="1">
        <v>108</v>
      </c>
      <c r="C727" s="1" t="s">
        <v>306</v>
      </c>
      <c r="D727" s="1">
        <v>4.8289999999999997</v>
      </c>
      <c r="E727" s="1">
        <v>0.71499999999999997</v>
      </c>
      <c r="F727" s="1">
        <v>100</v>
      </c>
      <c r="G727" s="1">
        <v>104</v>
      </c>
      <c r="H727" s="1">
        <v>63</v>
      </c>
      <c r="I727" s="1">
        <v>114</v>
      </c>
      <c r="J727" s="1">
        <v>100</v>
      </c>
      <c r="K727" s="1">
        <v>130</v>
      </c>
      <c r="L727" s="1">
        <v>98</v>
      </c>
      <c r="M727" s="1">
        <v>88</v>
      </c>
      <c r="N727" s="1">
        <v>127</v>
      </c>
      <c r="O727" s="1">
        <v>130</v>
      </c>
      <c r="P727" s="1">
        <v>117</v>
      </c>
      <c r="Q727" s="1">
        <v>38</v>
      </c>
    </row>
    <row r="728" spans="1:17" ht="15.75" customHeight="1">
      <c r="A728" s="1">
        <v>2019</v>
      </c>
      <c r="B728" s="1">
        <v>109</v>
      </c>
      <c r="C728" s="1" t="s">
        <v>185</v>
      </c>
      <c r="D728" s="1">
        <v>4.8140000000000001</v>
      </c>
      <c r="E728" s="1" t="s">
        <v>336</v>
      </c>
      <c r="F728" s="1">
        <v>130</v>
      </c>
      <c r="G728" s="1">
        <v>69</v>
      </c>
      <c r="H728" s="1">
        <v>82</v>
      </c>
      <c r="I728" s="1">
        <v>115</v>
      </c>
      <c r="J728" s="1">
        <v>99</v>
      </c>
      <c r="K728" s="1">
        <v>105</v>
      </c>
      <c r="L728" s="1">
        <v>85</v>
      </c>
      <c r="M728" s="1">
        <v>44</v>
      </c>
      <c r="N728" s="1">
        <v>66</v>
      </c>
      <c r="O728" s="1">
        <v>105</v>
      </c>
      <c r="P728" s="1">
        <v>50</v>
      </c>
      <c r="Q728" s="1">
        <v>19</v>
      </c>
    </row>
    <row r="729" spans="1:17" ht="15.75" customHeight="1">
      <c r="A729" s="1">
        <v>2019</v>
      </c>
      <c r="B729" s="1">
        <v>110</v>
      </c>
      <c r="C729" s="1" t="s">
        <v>179</v>
      </c>
      <c r="D729" s="1">
        <v>4.7850000000000001</v>
      </c>
      <c r="E729" s="1" t="s">
        <v>504</v>
      </c>
      <c r="F729" s="1"/>
      <c r="G729" s="1"/>
      <c r="H729" s="1"/>
      <c r="I729" s="1"/>
      <c r="J729" s="1"/>
      <c r="K729" s="1"/>
      <c r="L729" s="1"/>
      <c r="M729" s="1"/>
      <c r="N729" s="1"/>
      <c r="O729" s="1"/>
      <c r="Q729" s="1"/>
    </row>
    <row r="730" spans="1:17" ht="15.75" customHeight="1">
      <c r="A730" s="1">
        <v>2019</v>
      </c>
      <c r="B730" s="1">
        <v>111</v>
      </c>
      <c r="C730" s="1" t="s">
        <v>154</v>
      </c>
      <c r="D730" s="1">
        <v>4.7720000000000002</v>
      </c>
      <c r="E730" s="1" t="s">
        <v>505</v>
      </c>
      <c r="F730" s="1">
        <v>43</v>
      </c>
      <c r="G730" s="1">
        <v>65</v>
      </c>
      <c r="H730" s="1">
        <v>73</v>
      </c>
      <c r="I730" s="1">
        <v>44</v>
      </c>
      <c r="J730" s="1">
        <v>140</v>
      </c>
      <c r="K730" s="1">
        <v>76</v>
      </c>
      <c r="L730" s="1">
        <v>124</v>
      </c>
      <c r="M730" s="1">
        <v>142</v>
      </c>
      <c r="N730" s="1">
        <v>141</v>
      </c>
      <c r="O730" s="1">
        <v>76</v>
      </c>
      <c r="P730" s="1">
        <v>118</v>
      </c>
      <c r="Q730" s="1">
        <v>128</v>
      </c>
    </row>
    <row r="731" spans="1:17" ht="15.75" customHeight="1">
      <c r="A731" s="1">
        <v>2019</v>
      </c>
      <c r="B731" s="1">
        <v>112</v>
      </c>
      <c r="C731" s="1" t="s">
        <v>229</v>
      </c>
      <c r="D731" s="1">
        <v>4.7690000000000001</v>
      </c>
      <c r="E731" s="1">
        <v>0.51</v>
      </c>
      <c r="F731" s="1">
        <v>111</v>
      </c>
      <c r="G731" s="1">
        <v>123</v>
      </c>
      <c r="H731" s="1">
        <v>135</v>
      </c>
      <c r="I731" s="1">
        <v>122</v>
      </c>
      <c r="J731" s="1">
        <v>121</v>
      </c>
      <c r="K731" s="1">
        <v>102</v>
      </c>
      <c r="L731" s="1">
        <v>51</v>
      </c>
      <c r="M731" s="1">
        <v>80</v>
      </c>
      <c r="N731" s="1">
        <v>111</v>
      </c>
      <c r="O731" s="1">
        <v>102</v>
      </c>
      <c r="P731" s="1">
        <v>47</v>
      </c>
      <c r="Q731" s="1">
        <v>58</v>
      </c>
    </row>
    <row r="732" spans="1:17" ht="15.75" customHeight="1">
      <c r="A732" s="1">
        <v>2019</v>
      </c>
      <c r="B732" s="12">
        <v>113</v>
      </c>
      <c r="C732" s="8" t="s">
        <v>506</v>
      </c>
      <c r="D732" s="5">
        <v>4.7510000000000003</v>
      </c>
      <c r="E732" s="7"/>
      <c r="F732" s="6">
        <v>140</v>
      </c>
      <c r="G732" s="6">
        <v>119</v>
      </c>
      <c r="H732" s="6">
        <v>129</v>
      </c>
      <c r="I732" s="7">
        <v>113</v>
      </c>
      <c r="J732" s="6">
        <v>122</v>
      </c>
      <c r="K732" s="6">
        <v>7</v>
      </c>
      <c r="L732" s="6">
        <v>77</v>
      </c>
      <c r="M732" s="6">
        <v>49</v>
      </c>
      <c r="N732" s="6">
        <v>123</v>
      </c>
      <c r="O732" s="6">
        <v>7</v>
      </c>
      <c r="P732" s="6">
        <v>21</v>
      </c>
      <c r="Q732" s="6">
        <v>7</v>
      </c>
    </row>
    <row r="733" spans="1:17" ht="15.75" customHeight="1">
      <c r="A733" s="1">
        <v>2019</v>
      </c>
      <c r="B733" s="12">
        <v>114</v>
      </c>
      <c r="C733" s="8" t="s">
        <v>507</v>
      </c>
      <c r="D733" s="5">
        <v>4.7290000000000001</v>
      </c>
      <c r="E733" s="6">
        <v>0.48199999999999998</v>
      </c>
      <c r="F733" s="6">
        <v>131</v>
      </c>
      <c r="G733" s="6">
        <v>109</v>
      </c>
      <c r="H733" s="6">
        <v>133</v>
      </c>
      <c r="I733" s="10">
        <v>128</v>
      </c>
      <c r="J733" s="6">
        <v>123</v>
      </c>
      <c r="K733" s="6">
        <v>116</v>
      </c>
      <c r="L733" s="6">
        <v>99</v>
      </c>
      <c r="M733" s="6">
        <v>82</v>
      </c>
      <c r="N733" s="6">
        <v>110</v>
      </c>
      <c r="O733" s="6">
        <v>116</v>
      </c>
      <c r="P733" s="6">
        <v>87</v>
      </c>
      <c r="Q733" s="6">
        <v>64</v>
      </c>
    </row>
    <row r="734" spans="1:17" ht="15.75" customHeight="1">
      <c r="A734" s="1">
        <v>2019</v>
      </c>
      <c r="B734" s="1">
        <v>115</v>
      </c>
      <c r="C734" s="1" t="s">
        <v>165</v>
      </c>
      <c r="D734" s="1">
        <v>4.7240000000000002</v>
      </c>
      <c r="E734" s="1" t="s">
        <v>508</v>
      </c>
      <c r="F734" s="1">
        <v>105</v>
      </c>
      <c r="G734" s="1">
        <v>113</v>
      </c>
      <c r="H734" s="1">
        <v>113</v>
      </c>
      <c r="I734" s="1">
        <v>123</v>
      </c>
      <c r="J734" s="1">
        <v>95</v>
      </c>
      <c r="K734" s="1">
        <v>62</v>
      </c>
      <c r="L734" s="1">
        <v>111</v>
      </c>
      <c r="M734" s="1">
        <v>61</v>
      </c>
      <c r="N734" s="1">
        <v>42</v>
      </c>
      <c r="O734" s="1">
        <v>62</v>
      </c>
      <c r="P734" s="1">
        <v>49</v>
      </c>
      <c r="Q734" s="1">
        <v>33</v>
      </c>
    </row>
    <row r="735" spans="1:17" ht="15.75" customHeight="1">
      <c r="A735" s="1">
        <v>2019</v>
      </c>
      <c r="B735" s="1">
        <v>116</v>
      </c>
      <c r="C735" s="1" t="s">
        <v>192</v>
      </c>
      <c r="D735" s="1">
        <v>4.6769999999999996</v>
      </c>
      <c r="E735" s="1">
        <v>0.36099999999999999</v>
      </c>
      <c r="F735" s="1">
        <v>74</v>
      </c>
      <c r="G735" s="1">
        <v>97</v>
      </c>
      <c r="H735" s="1">
        <v>71</v>
      </c>
      <c r="I735" s="1">
        <v>58</v>
      </c>
      <c r="J735" s="1">
        <v>59</v>
      </c>
      <c r="K735" s="1">
        <v>122</v>
      </c>
      <c r="L735" s="1">
        <v>24</v>
      </c>
      <c r="M735" s="1">
        <v>121</v>
      </c>
      <c r="N735" s="1">
        <v>132</v>
      </c>
      <c r="O735" s="1">
        <v>122</v>
      </c>
      <c r="P735" s="1">
        <v>130</v>
      </c>
      <c r="Q735" s="1">
        <v>62</v>
      </c>
    </row>
    <row r="736" spans="1:17" ht="15.75" customHeight="1">
      <c r="A736" s="1">
        <v>2019</v>
      </c>
      <c r="B736" s="1">
        <v>117</v>
      </c>
      <c r="C736" s="1" t="s">
        <v>201</v>
      </c>
      <c r="D736" s="1">
        <v>4.673</v>
      </c>
      <c r="E736" s="1">
        <v>0.48599999999999999</v>
      </c>
      <c r="F736" s="1">
        <v>57</v>
      </c>
      <c r="G736" s="1">
        <v>127</v>
      </c>
      <c r="H736" s="1">
        <v>65</v>
      </c>
      <c r="I736" s="1">
        <v>73</v>
      </c>
      <c r="J736" s="1">
        <v>76</v>
      </c>
      <c r="K736" s="1">
        <v>141</v>
      </c>
      <c r="L736" s="1">
        <v>30</v>
      </c>
      <c r="M736" s="1">
        <v>131</v>
      </c>
      <c r="N736" s="1">
        <v>54</v>
      </c>
      <c r="O736" s="1">
        <v>141</v>
      </c>
      <c r="P736" s="1">
        <v>72</v>
      </c>
      <c r="Q736" s="1">
        <v>51</v>
      </c>
    </row>
    <row r="737" spans="1:17" ht="15.75" customHeight="1">
      <c r="A737" s="1">
        <v>2019</v>
      </c>
      <c r="B737" s="1">
        <v>118</v>
      </c>
      <c r="C737" s="1" t="s">
        <v>169</v>
      </c>
      <c r="D737" s="1">
        <v>4.6719999999999997</v>
      </c>
      <c r="E737" s="1">
        <v>2.9000000000000001E-2</v>
      </c>
      <c r="F737" s="1">
        <v>88</v>
      </c>
      <c r="G737" s="1">
        <v>118</v>
      </c>
      <c r="H737" s="1">
        <v>84</v>
      </c>
      <c r="I737" s="1">
        <v>56</v>
      </c>
      <c r="J737" s="1">
        <v>133</v>
      </c>
      <c r="K737" s="1">
        <v>28</v>
      </c>
      <c r="L737" s="1">
        <v>49</v>
      </c>
      <c r="M737" s="1">
        <v>124</v>
      </c>
      <c r="N737" s="1">
        <v>137</v>
      </c>
      <c r="O737" s="1">
        <v>28</v>
      </c>
      <c r="P737" s="1">
        <v>106</v>
      </c>
      <c r="Q737" s="1">
        <v>40</v>
      </c>
    </row>
    <row r="738" spans="1:17" ht="15.75" customHeight="1">
      <c r="A738" s="1">
        <v>2019</v>
      </c>
      <c r="B738" s="1">
        <v>119</v>
      </c>
      <c r="C738" s="1" t="s">
        <v>138</v>
      </c>
      <c r="D738" s="1">
        <v>4.633</v>
      </c>
      <c r="E738" s="1" t="s">
        <v>509</v>
      </c>
      <c r="F738" s="1">
        <v>118</v>
      </c>
      <c r="G738" s="1">
        <v>92</v>
      </c>
      <c r="H738" s="1">
        <v>97</v>
      </c>
      <c r="I738" s="1">
        <v>37</v>
      </c>
      <c r="J738" s="1">
        <v>103</v>
      </c>
      <c r="K738" s="1">
        <v>129</v>
      </c>
      <c r="L738" s="1">
        <v>129</v>
      </c>
      <c r="M738" s="1">
        <v>137</v>
      </c>
      <c r="N738" s="1">
        <v>45</v>
      </c>
    </row>
    <row r="739" spans="1:17" ht="15.75" customHeight="1">
      <c r="A739" s="1">
        <v>2019</v>
      </c>
      <c r="B739" s="1">
        <v>120</v>
      </c>
      <c r="C739" s="1" t="s">
        <v>252</v>
      </c>
      <c r="D739" s="1">
        <v>4.6239999999999997</v>
      </c>
      <c r="E739" s="1" t="s">
        <v>510</v>
      </c>
      <c r="F739" s="1">
        <v>142</v>
      </c>
      <c r="G739" s="1">
        <v>112</v>
      </c>
      <c r="H739" s="1">
        <v>142</v>
      </c>
      <c r="I739" s="1">
        <v>135</v>
      </c>
      <c r="J739" s="1">
        <v>49</v>
      </c>
      <c r="K739" s="1">
        <v>86</v>
      </c>
      <c r="L739" s="1">
        <v>36</v>
      </c>
      <c r="M739" s="1">
        <v>105</v>
      </c>
      <c r="N739" s="1">
        <v>117</v>
      </c>
      <c r="O739" s="1">
        <v>86</v>
      </c>
      <c r="P739" s="1">
        <v>6</v>
      </c>
      <c r="Q739" s="1">
        <v>50</v>
      </c>
    </row>
    <row r="740" spans="1:17" ht="15.75" customHeight="1">
      <c r="A740" s="1">
        <v>2019</v>
      </c>
      <c r="B740" s="1">
        <v>121</v>
      </c>
      <c r="C740" s="1" t="s">
        <v>193</v>
      </c>
      <c r="D740" s="1">
        <v>4.5830000000000002</v>
      </c>
      <c r="E740" s="1">
        <v>0.18</v>
      </c>
      <c r="F740" s="1">
        <v>127</v>
      </c>
      <c r="G740" s="1">
        <v>126</v>
      </c>
      <c r="H740" s="1">
        <v>115</v>
      </c>
      <c r="I740" s="1">
        <v>108</v>
      </c>
      <c r="J740" s="1">
        <v>71</v>
      </c>
      <c r="K740" s="1">
        <v>13</v>
      </c>
      <c r="L740" s="1">
        <v>75</v>
      </c>
      <c r="M740" s="1">
        <v>42</v>
      </c>
      <c r="N740" s="1">
        <v>57</v>
      </c>
      <c r="O740" s="1">
        <v>13</v>
      </c>
      <c r="P740" s="1">
        <v>2</v>
      </c>
      <c r="Q740" s="1">
        <v>4</v>
      </c>
    </row>
    <row r="741" spans="1:17" ht="15.75" customHeight="1">
      <c r="A741" s="1">
        <v>2019</v>
      </c>
      <c r="B741" s="1">
        <v>122</v>
      </c>
      <c r="C741" s="1" t="s">
        <v>181</v>
      </c>
      <c r="D741" s="1">
        <v>4.5709999999999997</v>
      </c>
      <c r="E741" s="1">
        <v>115</v>
      </c>
      <c r="F741" s="1">
        <v>72</v>
      </c>
      <c r="G741" s="1">
        <v>91</v>
      </c>
      <c r="H741" s="1">
        <v>98</v>
      </c>
      <c r="I741" s="1">
        <v>121</v>
      </c>
      <c r="J741" s="1">
        <v>131</v>
      </c>
      <c r="K741" s="1">
        <v>116</v>
      </c>
      <c r="L741" s="1">
        <v>85</v>
      </c>
      <c r="M741" s="1">
        <v>61</v>
      </c>
      <c r="N741" s="1">
        <v>131</v>
      </c>
      <c r="O741" s="1">
        <v>77</v>
      </c>
      <c r="P741" s="1">
        <v>71</v>
      </c>
    </row>
    <row r="742" spans="1:17" ht="15.75" customHeight="1">
      <c r="A742" s="1">
        <v>2019</v>
      </c>
      <c r="B742" s="1">
        <v>123</v>
      </c>
      <c r="C742" s="1" t="s">
        <v>195</v>
      </c>
      <c r="D742" s="1">
        <v>4.5609999999999999</v>
      </c>
      <c r="E742" s="1" t="s">
        <v>269</v>
      </c>
      <c r="F742" s="1">
        <v>58</v>
      </c>
      <c r="G742" s="1">
        <v>52</v>
      </c>
      <c r="H742" s="1">
        <v>68</v>
      </c>
      <c r="I742" s="1">
        <v>87</v>
      </c>
      <c r="J742" s="1">
        <v>108</v>
      </c>
      <c r="K742" s="1">
        <v>81</v>
      </c>
      <c r="L742" s="1">
        <v>121</v>
      </c>
      <c r="M742" s="1">
        <v>115</v>
      </c>
      <c r="N742" s="1">
        <v>27</v>
      </c>
      <c r="O742" s="1">
        <v>81</v>
      </c>
      <c r="P742" s="1">
        <v>125</v>
      </c>
      <c r="Q742" s="1">
        <v>135</v>
      </c>
    </row>
    <row r="743" spans="1:17" ht="15.75" customHeight="1">
      <c r="A743" s="1">
        <v>2019</v>
      </c>
      <c r="B743" s="1">
        <v>124</v>
      </c>
      <c r="C743" s="1" t="s">
        <v>238</v>
      </c>
      <c r="D743" s="1">
        <v>4.5579999999999998</v>
      </c>
      <c r="E743" s="1">
        <v>0.36199999999999999</v>
      </c>
      <c r="F743" s="1">
        <v>143</v>
      </c>
      <c r="G743" s="1">
        <v>115</v>
      </c>
      <c r="H743" s="1">
        <v>141</v>
      </c>
      <c r="I743" s="1">
        <v>126</v>
      </c>
      <c r="J743" s="1">
        <v>114</v>
      </c>
      <c r="K743" s="1">
        <v>91</v>
      </c>
      <c r="L743" s="1">
        <v>89</v>
      </c>
      <c r="M743" s="1">
        <v>83</v>
      </c>
      <c r="N743" s="1">
        <v>119</v>
      </c>
      <c r="O743" s="1">
        <v>91</v>
      </c>
      <c r="P743" s="1">
        <v>3</v>
      </c>
      <c r="Q743" s="1">
        <v>1</v>
      </c>
    </row>
    <row r="744" spans="1:17" ht="15.75" customHeight="1">
      <c r="A744" s="1">
        <v>2019</v>
      </c>
      <c r="B744" s="1">
        <v>125</v>
      </c>
      <c r="C744" s="1" t="s">
        <v>173</v>
      </c>
      <c r="D744" s="1">
        <v>4.5529999999999999</v>
      </c>
      <c r="E744" s="1" t="s">
        <v>511</v>
      </c>
      <c r="F744" s="1">
        <v>90</v>
      </c>
      <c r="G744" s="1">
        <v>78</v>
      </c>
      <c r="H744" s="1">
        <v>105</v>
      </c>
      <c r="I744" s="1"/>
      <c r="J744" s="1">
        <v>127</v>
      </c>
      <c r="K744" s="1">
        <v>128</v>
      </c>
      <c r="L744" s="1">
        <v>90</v>
      </c>
      <c r="M744" s="1">
        <v>120</v>
      </c>
      <c r="N744" s="1">
        <v>128</v>
      </c>
      <c r="O744" s="1">
        <v>126</v>
      </c>
      <c r="P744" s="1">
        <v>90</v>
      </c>
    </row>
    <row r="745" spans="1:17" ht="15.75" customHeight="1">
      <c r="A745" s="1">
        <v>2019</v>
      </c>
      <c r="B745" s="1">
        <v>126</v>
      </c>
      <c r="C745" s="1" t="s">
        <v>231</v>
      </c>
      <c r="D745" s="1">
        <v>4.4320000000000004</v>
      </c>
      <c r="E745" s="1" t="s">
        <v>512</v>
      </c>
      <c r="F745" s="1">
        <v>133</v>
      </c>
      <c r="G745" s="1">
        <v>87</v>
      </c>
      <c r="H745" s="1">
        <v>130</v>
      </c>
      <c r="I745" s="1">
        <v>111</v>
      </c>
      <c r="J745" s="1">
        <v>115</v>
      </c>
      <c r="K745" s="1">
        <v>45</v>
      </c>
      <c r="L745" s="1">
        <v>87</v>
      </c>
      <c r="M745" s="1">
        <v>64</v>
      </c>
      <c r="N745" s="1">
        <v>118</v>
      </c>
      <c r="O745" s="1">
        <v>45</v>
      </c>
      <c r="P745" s="1">
        <v>29</v>
      </c>
      <c r="Q745" s="1">
        <v>12</v>
      </c>
    </row>
    <row r="746" spans="1:17" ht="15.75" customHeight="1">
      <c r="A746" s="1">
        <v>2019</v>
      </c>
      <c r="B746" s="1">
        <v>127</v>
      </c>
      <c r="C746" s="1" t="s">
        <v>227</v>
      </c>
      <c r="D746" s="1">
        <v>4.423</v>
      </c>
      <c r="E746" s="1">
        <v>0.36699999999999999</v>
      </c>
      <c r="F746" s="1">
        <v>128</v>
      </c>
      <c r="G746" s="1">
        <v>130</v>
      </c>
      <c r="H746" s="1">
        <v>137</v>
      </c>
      <c r="I746" s="1">
        <v>134</v>
      </c>
      <c r="J746" s="1">
        <v>139</v>
      </c>
      <c r="K746" s="1">
        <v>88</v>
      </c>
      <c r="L746" s="1">
        <v>94</v>
      </c>
      <c r="M746" s="1">
        <v>114</v>
      </c>
      <c r="N746" s="1">
        <v>138</v>
      </c>
      <c r="O746" s="1">
        <v>88</v>
      </c>
      <c r="P746" s="1">
        <v>51</v>
      </c>
      <c r="Q746" s="1">
        <v>14</v>
      </c>
    </row>
    <row r="747" spans="1:17" ht="15.75" customHeight="1">
      <c r="A747" s="1">
        <v>2019</v>
      </c>
      <c r="B747" s="1">
        <v>128</v>
      </c>
      <c r="C747" s="1" t="s">
        <v>159</v>
      </c>
      <c r="D747" s="1">
        <v>4.3920000000000003</v>
      </c>
      <c r="E747" s="1" t="s">
        <v>375</v>
      </c>
      <c r="F747" s="1">
        <v>103</v>
      </c>
      <c r="G747" s="1">
        <v>136</v>
      </c>
      <c r="H747" s="1">
        <v>86</v>
      </c>
      <c r="I747" s="1">
        <v>52</v>
      </c>
      <c r="J747" s="1">
        <v>124</v>
      </c>
      <c r="K747" s="1">
        <v>136</v>
      </c>
      <c r="L747" s="1">
        <v>123</v>
      </c>
      <c r="M747" s="1">
        <v>136</v>
      </c>
      <c r="N747" s="1">
        <v>133</v>
      </c>
      <c r="O747" s="1">
        <v>136</v>
      </c>
      <c r="P747" s="1">
        <v>123</v>
      </c>
      <c r="Q747" s="1">
        <v>52</v>
      </c>
    </row>
    <row r="748" spans="1:17" ht="15.75" customHeight="1">
      <c r="A748" s="1">
        <v>2019</v>
      </c>
      <c r="B748" s="1">
        <v>129</v>
      </c>
      <c r="C748" s="1" t="s">
        <v>206</v>
      </c>
      <c r="D748" s="1">
        <v>4.375</v>
      </c>
      <c r="E748" s="1" t="s">
        <v>513</v>
      </c>
      <c r="F748" s="1">
        <v>92</v>
      </c>
      <c r="G748" s="1">
        <v>90</v>
      </c>
      <c r="H748" s="1">
        <v>110</v>
      </c>
      <c r="I748" s="1">
        <v>95</v>
      </c>
      <c r="J748" s="1">
        <v>131</v>
      </c>
      <c r="K748" s="1">
        <v>121</v>
      </c>
      <c r="L748" s="1">
        <v>58</v>
      </c>
      <c r="M748" s="1">
        <v>65</v>
      </c>
      <c r="N748" s="1">
        <v>62</v>
      </c>
      <c r="O748" s="1">
        <v>121</v>
      </c>
      <c r="P748" s="1">
        <v>94</v>
      </c>
      <c r="Q748" s="1">
        <v>41</v>
      </c>
    </row>
    <row r="749" spans="1:17" ht="15.75" customHeight="1">
      <c r="A749" s="1">
        <v>2019</v>
      </c>
      <c r="B749" s="1">
        <v>130</v>
      </c>
      <c r="C749" s="1" t="s">
        <v>187</v>
      </c>
      <c r="D749" s="1">
        <v>4.327</v>
      </c>
      <c r="E749" s="1">
        <v>0.17599999999999999</v>
      </c>
      <c r="F749" s="1">
        <v>85</v>
      </c>
      <c r="G749" s="1">
        <v>82</v>
      </c>
      <c r="H749" s="1">
        <v>80</v>
      </c>
      <c r="I749" s="1">
        <v>48</v>
      </c>
      <c r="J749" s="1">
        <v>68</v>
      </c>
      <c r="K749" s="1">
        <v>37</v>
      </c>
      <c r="L749" s="1">
        <v>107</v>
      </c>
      <c r="M749" s="1">
        <v>27</v>
      </c>
      <c r="N749" s="1">
        <v>92</v>
      </c>
      <c r="O749" s="1">
        <v>37</v>
      </c>
      <c r="P749" s="1">
        <v>7</v>
      </c>
      <c r="Q749" s="1">
        <v>68</v>
      </c>
    </row>
    <row r="750" spans="1:17" ht="15.75" customHeight="1">
      <c r="A750" s="1">
        <v>2019</v>
      </c>
      <c r="B750" s="1">
        <v>131</v>
      </c>
      <c r="C750" s="1" t="s">
        <v>199</v>
      </c>
      <c r="D750" s="1">
        <v>4.3109999999999999</v>
      </c>
      <c r="E750" s="1" t="s">
        <v>514</v>
      </c>
      <c r="F750" s="1"/>
      <c r="G750" s="1"/>
      <c r="H750" s="1"/>
      <c r="I750" s="1"/>
      <c r="J750" s="1"/>
      <c r="N750" s="1"/>
      <c r="O750" s="1"/>
      <c r="P750" s="1"/>
      <c r="Q750" s="1"/>
    </row>
    <row r="751" spans="1:17" ht="15.75" customHeight="1">
      <c r="A751" s="1">
        <v>2019</v>
      </c>
      <c r="B751" s="12">
        <v>132</v>
      </c>
      <c r="C751" s="8" t="s">
        <v>515</v>
      </c>
      <c r="D751" s="5">
        <v>4.3079999999999998</v>
      </c>
      <c r="E751" s="9" t="s">
        <v>516</v>
      </c>
      <c r="F751" s="6">
        <v>109</v>
      </c>
      <c r="G751" s="6">
        <v>108</v>
      </c>
      <c r="H751" s="6">
        <v>94</v>
      </c>
      <c r="I751" s="10">
        <v>136</v>
      </c>
      <c r="J751" s="6">
        <v>136</v>
      </c>
      <c r="K751" s="6">
        <v>135</v>
      </c>
      <c r="L751" s="6">
        <v>48</v>
      </c>
      <c r="M751" s="6">
        <v>47</v>
      </c>
      <c r="N751" s="6">
        <v>76</v>
      </c>
      <c r="O751" s="6">
        <v>135</v>
      </c>
      <c r="P751" s="6">
        <v>75</v>
      </c>
      <c r="Q751" s="6">
        <v>36</v>
      </c>
    </row>
    <row r="752" spans="1:17" ht="15.75" customHeight="1">
      <c r="A752" s="1">
        <v>2019</v>
      </c>
      <c r="B752" s="12">
        <v>133</v>
      </c>
      <c r="C752" s="8" t="s">
        <v>517</v>
      </c>
      <c r="D752" s="5">
        <v>4.3079999999999998</v>
      </c>
      <c r="E752" s="9" t="s">
        <v>385</v>
      </c>
      <c r="F752" s="6">
        <v>71</v>
      </c>
      <c r="G752" s="6">
        <v>105</v>
      </c>
      <c r="H752" s="6">
        <v>106</v>
      </c>
      <c r="I752" s="7">
        <v>101</v>
      </c>
      <c r="J752" s="6">
        <v>30</v>
      </c>
      <c r="K752" s="6">
        <v>2</v>
      </c>
      <c r="L752" s="6">
        <v>35</v>
      </c>
      <c r="M752" s="6">
        <v>90</v>
      </c>
      <c r="N752" s="6">
        <v>80</v>
      </c>
      <c r="O752" s="6">
        <v>2</v>
      </c>
      <c r="P752" s="6">
        <v>43</v>
      </c>
      <c r="Q752" s="6">
        <v>119</v>
      </c>
    </row>
    <row r="753" spans="1:17" ht="15.75" customHeight="1">
      <c r="A753" s="1">
        <v>2019</v>
      </c>
      <c r="B753" s="12">
        <v>134</v>
      </c>
      <c r="C753" s="8" t="s">
        <v>518</v>
      </c>
      <c r="D753" s="5">
        <v>4.2889999999999997</v>
      </c>
      <c r="E753" s="6">
        <v>0.438</v>
      </c>
      <c r="F753" s="6">
        <v>136</v>
      </c>
      <c r="G753" s="6">
        <v>132</v>
      </c>
      <c r="H753" s="6">
        <v>122</v>
      </c>
      <c r="I753" s="10">
        <v>105</v>
      </c>
      <c r="J753" s="6">
        <v>138</v>
      </c>
      <c r="K753" s="6">
        <v>58</v>
      </c>
      <c r="L753" s="6">
        <v>66</v>
      </c>
      <c r="M753" s="6">
        <v>73</v>
      </c>
      <c r="N753" s="6">
        <v>100</v>
      </c>
      <c r="O753" s="6">
        <v>58</v>
      </c>
      <c r="P753" s="6">
        <v>4</v>
      </c>
      <c r="Q753" s="6">
        <v>9</v>
      </c>
    </row>
    <row r="754" spans="1:17" ht="15.75" customHeight="1">
      <c r="A754" s="1">
        <v>2019</v>
      </c>
      <c r="B754" s="12">
        <v>135</v>
      </c>
      <c r="C754" s="8" t="s">
        <v>519</v>
      </c>
      <c r="D754" s="5">
        <v>4.1870000000000003</v>
      </c>
      <c r="E754" s="6">
        <v>1.2509999999999999</v>
      </c>
      <c r="F754" s="6">
        <v>122</v>
      </c>
      <c r="G754" s="6">
        <v>139</v>
      </c>
      <c r="H754" s="6">
        <v>132</v>
      </c>
      <c r="I754" s="7">
        <v>119</v>
      </c>
      <c r="J754" s="6">
        <v>134</v>
      </c>
      <c r="K754" s="6">
        <v>83</v>
      </c>
      <c r="L754" s="6">
        <v>54</v>
      </c>
      <c r="M754" s="6">
        <v>99</v>
      </c>
      <c r="N754" s="6">
        <v>136</v>
      </c>
      <c r="O754" s="6">
        <v>83</v>
      </c>
      <c r="P754" s="6">
        <v>46</v>
      </c>
      <c r="Q754" s="6">
        <v>53</v>
      </c>
    </row>
    <row r="755" spans="1:17" ht="15.75" customHeight="1">
      <c r="A755" s="1">
        <v>2019</v>
      </c>
      <c r="B755" s="12">
        <v>136</v>
      </c>
      <c r="C755" s="8" t="s">
        <v>520</v>
      </c>
      <c r="D755" s="5">
        <v>4.1859999999999999</v>
      </c>
      <c r="E755" s="9" t="s">
        <v>521</v>
      </c>
      <c r="F755" s="6">
        <v>70</v>
      </c>
      <c r="G755" s="6">
        <v>110</v>
      </c>
      <c r="H755" s="6">
        <v>134</v>
      </c>
      <c r="I755" s="10">
        <v>103</v>
      </c>
      <c r="J755" s="6">
        <v>93</v>
      </c>
      <c r="K755" s="6">
        <v>78</v>
      </c>
      <c r="L755" s="6">
        <v>53</v>
      </c>
      <c r="M755" s="6">
        <v>127</v>
      </c>
      <c r="N755" s="6">
        <v>77</v>
      </c>
      <c r="O755" s="6">
        <v>78</v>
      </c>
      <c r="P755" s="6">
        <v>35</v>
      </c>
      <c r="Q755" s="6">
        <v>102</v>
      </c>
    </row>
    <row r="756" spans="1:17" ht="15.75" customHeight="1">
      <c r="A756" s="1">
        <v>2019</v>
      </c>
      <c r="B756" s="12">
        <v>137</v>
      </c>
      <c r="C756" s="8" t="s">
        <v>522</v>
      </c>
      <c r="D756" s="5">
        <v>4.1660000000000004</v>
      </c>
      <c r="E756" s="6">
        <v>0.2</v>
      </c>
      <c r="F756" s="6">
        <v>73</v>
      </c>
      <c r="G756" s="6">
        <v>117</v>
      </c>
      <c r="H756" s="6">
        <v>138</v>
      </c>
      <c r="I756" s="7">
        <v>116</v>
      </c>
      <c r="J756" s="6">
        <v>137</v>
      </c>
      <c r="K756" s="6">
        <v>115</v>
      </c>
      <c r="L756" s="6">
        <v>47</v>
      </c>
      <c r="M756" s="6">
        <v>59</v>
      </c>
      <c r="N756" s="6">
        <v>87</v>
      </c>
      <c r="O756" s="6">
        <v>115</v>
      </c>
      <c r="P756" s="6">
        <v>20</v>
      </c>
      <c r="Q756" s="6">
        <v>107</v>
      </c>
    </row>
    <row r="757" spans="1:17" ht="15.75" customHeight="1">
      <c r="A757" s="1">
        <v>2019</v>
      </c>
      <c r="B757" s="12">
        <v>138</v>
      </c>
      <c r="C757" s="8" t="s">
        <v>523</v>
      </c>
      <c r="D757" s="5">
        <v>4.1509999999999998</v>
      </c>
      <c r="E757" s="9" t="s">
        <v>408</v>
      </c>
      <c r="F757" s="6">
        <v>40</v>
      </c>
      <c r="G757" s="6">
        <v>102</v>
      </c>
      <c r="H757" s="6">
        <v>79</v>
      </c>
      <c r="I757" s="10">
        <v>92</v>
      </c>
      <c r="J757" s="6">
        <v>86</v>
      </c>
      <c r="K757" s="6">
        <v>132</v>
      </c>
      <c r="L757" s="10"/>
      <c r="M757" s="6">
        <v>139</v>
      </c>
      <c r="N757" s="6">
        <v>91</v>
      </c>
      <c r="O757" s="6">
        <v>132</v>
      </c>
      <c r="P757" s="6">
        <v>141</v>
      </c>
      <c r="Q757" s="6">
        <v>60</v>
      </c>
    </row>
    <row r="758" spans="1:17" ht="15.75" customHeight="1">
      <c r="A758" s="1">
        <v>2019</v>
      </c>
      <c r="B758" s="12">
        <v>139</v>
      </c>
      <c r="C758" s="8" t="s">
        <v>524</v>
      </c>
      <c r="D758" s="5">
        <v>3.9260000000000002</v>
      </c>
      <c r="E758" s="9" t="s">
        <v>360</v>
      </c>
      <c r="F758" s="6">
        <v>96</v>
      </c>
      <c r="G758" s="6">
        <v>135</v>
      </c>
      <c r="H758" s="6">
        <v>127</v>
      </c>
      <c r="I758" s="7">
        <v>131</v>
      </c>
      <c r="J758" s="6">
        <v>106</v>
      </c>
      <c r="K758" s="6">
        <v>75</v>
      </c>
      <c r="L758" s="6">
        <v>114</v>
      </c>
      <c r="M758" s="6">
        <v>125</v>
      </c>
      <c r="N758" s="6">
        <v>134</v>
      </c>
      <c r="O758" s="6">
        <v>75</v>
      </c>
      <c r="P758" s="6">
        <v>18</v>
      </c>
      <c r="Q758" s="6">
        <v>2</v>
      </c>
    </row>
    <row r="759" spans="1:17" ht="15.75" customHeight="1">
      <c r="A759" s="1">
        <v>2019</v>
      </c>
      <c r="B759" s="1">
        <v>140</v>
      </c>
      <c r="C759" s="1" t="s">
        <v>250</v>
      </c>
      <c r="D759" s="1">
        <v>3.7749999999999999</v>
      </c>
      <c r="E759" s="1">
        <v>6.9000000000000006E-2</v>
      </c>
      <c r="F759" s="1"/>
      <c r="G759" s="1"/>
      <c r="H759" s="1"/>
      <c r="I759" s="1"/>
      <c r="J759" s="1"/>
      <c r="K759" s="1"/>
      <c r="L759" s="1"/>
      <c r="M759" s="1"/>
      <c r="N759" s="1"/>
      <c r="O759" s="1"/>
      <c r="Q759" s="1"/>
    </row>
    <row r="760" spans="1:17" ht="15.75" customHeight="1">
      <c r="A760" s="1">
        <v>2019</v>
      </c>
      <c r="B760" s="1">
        <v>141</v>
      </c>
      <c r="C760" s="1" t="s">
        <v>170</v>
      </c>
      <c r="D760" s="1">
        <v>3.7589999999999999</v>
      </c>
      <c r="E760" s="1" t="s">
        <v>525</v>
      </c>
      <c r="F760" s="1">
        <v>113</v>
      </c>
      <c r="G760" s="1">
        <v>131</v>
      </c>
      <c r="H760" s="1">
        <v>120</v>
      </c>
      <c r="I760" s="1">
        <v>127</v>
      </c>
      <c r="J760" s="1">
        <v>75</v>
      </c>
      <c r="K760" s="1">
        <v>54</v>
      </c>
      <c r="L760" s="1">
        <v>93</v>
      </c>
      <c r="M760" s="1">
        <v>69</v>
      </c>
      <c r="N760" s="1">
        <v>121</v>
      </c>
      <c r="O760" s="1">
        <v>54</v>
      </c>
      <c r="P760" s="1">
        <v>23</v>
      </c>
      <c r="Q760" s="1">
        <v>6</v>
      </c>
    </row>
    <row r="761" spans="1:17" ht="15.75" customHeight="1">
      <c r="A761" s="1">
        <v>2019</v>
      </c>
      <c r="B761" s="1">
        <v>142</v>
      </c>
      <c r="C761" s="1" t="s">
        <v>216</v>
      </c>
      <c r="D761" s="1">
        <v>3.7210000000000001</v>
      </c>
      <c r="E761" s="1" t="s">
        <v>526</v>
      </c>
      <c r="F761" s="1"/>
      <c r="G761" s="1"/>
      <c r="H761" s="1"/>
      <c r="I761" s="1"/>
      <c r="J761" s="1"/>
      <c r="K761" s="1"/>
      <c r="L761" s="1"/>
      <c r="M761" s="1"/>
      <c r="N761" s="1"/>
      <c r="O761" s="1"/>
      <c r="Q761" s="1"/>
    </row>
    <row r="762" spans="1:17" ht="15.75" customHeight="1">
      <c r="A762" s="1">
        <v>2019</v>
      </c>
      <c r="B762" s="1">
        <v>143</v>
      </c>
      <c r="C762" s="1" t="s">
        <v>321</v>
      </c>
      <c r="D762" s="1">
        <v>3.653</v>
      </c>
      <c r="E762" s="1" t="s">
        <v>527</v>
      </c>
      <c r="F762" s="1">
        <v>124</v>
      </c>
      <c r="G762" s="1">
        <v>94</v>
      </c>
      <c r="H762" s="1">
        <v>128</v>
      </c>
      <c r="I762" s="1">
        <v>137</v>
      </c>
      <c r="J762" s="1">
        <v>107</v>
      </c>
      <c r="K762" s="1">
        <v>139</v>
      </c>
      <c r="L762" s="1">
        <v>126</v>
      </c>
      <c r="M762" s="1">
        <v>55</v>
      </c>
      <c r="N762" s="1">
        <v>71</v>
      </c>
      <c r="O762" s="1">
        <v>139</v>
      </c>
      <c r="P762" s="1">
        <v>39</v>
      </c>
      <c r="Q762" s="1">
        <v>8</v>
      </c>
    </row>
    <row r="763" spans="1:17" ht="15.75" customHeight="1">
      <c r="A763" s="1">
        <v>2019</v>
      </c>
      <c r="B763" s="1">
        <v>144</v>
      </c>
      <c r="C763" s="1" t="s">
        <v>188</v>
      </c>
      <c r="D763" s="1">
        <v>3.573</v>
      </c>
      <c r="E763" s="1" t="s">
        <v>528</v>
      </c>
      <c r="F763" s="1">
        <v>120</v>
      </c>
      <c r="G763" s="1">
        <v>137</v>
      </c>
      <c r="H763" s="1">
        <v>101</v>
      </c>
      <c r="I763" s="1">
        <v>100</v>
      </c>
      <c r="J763" s="1">
        <v>48</v>
      </c>
      <c r="K763" s="1">
        <v>35</v>
      </c>
      <c r="L763" s="1">
        <v>61</v>
      </c>
      <c r="M763" s="1">
        <v>111</v>
      </c>
      <c r="N763" s="1">
        <v>139</v>
      </c>
      <c r="O763" s="1">
        <v>35</v>
      </c>
      <c r="P763" s="1">
        <v>13</v>
      </c>
      <c r="Q763" s="1">
        <v>28</v>
      </c>
    </row>
    <row r="764" spans="1:17" ht="15.75" customHeight="1">
      <c r="A764" s="1">
        <v>2019</v>
      </c>
      <c r="B764" s="1">
        <v>145</v>
      </c>
      <c r="C764" s="1" t="s">
        <v>210</v>
      </c>
      <c r="D764" s="1">
        <v>3.5379999999999998</v>
      </c>
      <c r="E764" s="1" t="s">
        <v>529</v>
      </c>
      <c r="F764" s="1">
        <v>141</v>
      </c>
      <c r="G764" s="1">
        <v>138</v>
      </c>
      <c r="H764" s="1">
        <v>139</v>
      </c>
      <c r="I764" s="1">
        <v>120</v>
      </c>
      <c r="J764" s="1">
        <v>89</v>
      </c>
      <c r="K764" s="1">
        <v>126</v>
      </c>
      <c r="L764" s="1">
        <v>33</v>
      </c>
      <c r="M764" s="1">
        <v>128</v>
      </c>
      <c r="N764" s="1">
        <v>105</v>
      </c>
      <c r="O764" s="1">
        <v>126</v>
      </c>
      <c r="P764" s="1">
        <v>58</v>
      </c>
      <c r="Q764" s="1">
        <v>27</v>
      </c>
    </row>
    <row r="765" spans="1:17" ht="15.75" customHeight="1">
      <c r="A765" s="1">
        <v>2019</v>
      </c>
      <c r="B765" s="1">
        <v>146</v>
      </c>
      <c r="C765" s="1" t="s">
        <v>233</v>
      </c>
      <c r="D765" s="1">
        <v>3.5270000000000001</v>
      </c>
      <c r="E765" s="1" t="s">
        <v>530</v>
      </c>
      <c r="F765" s="1">
        <v>91</v>
      </c>
      <c r="G765" s="1">
        <v>63</v>
      </c>
      <c r="H765" s="1">
        <v>136</v>
      </c>
      <c r="I765" s="1">
        <v>112</v>
      </c>
      <c r="J765" s="1">
        <v>128</v>
      </c>
      <c r="K765" s="1">
        <v>140</v>
      </c>
      <c r="L765" s="1">
        <v>78</v>
      </c>
      <c r="M765" s="1">
        <v>134</v>
      </c>
      <c r="N765" s="1">
        <v>35</v>
      </c>
      <c r="O765" s="1">
        <v>140</v>
      </c>
      <c r="P765" s="1">
        <v>136</v>
      </c>
      <c r="Q765" s="1">
        <v>93</v>
      </c>
    </row>
    <row r="766" spans="1:17" ht="15.75" customHeight="1">
      <c r="A766" s="1">
        <v>2019</v>
      </c>
      <c r="B766" s="1">
        <v>147</v>
      </c>
      <c r="C766" s="1" t="s">
        <v>218</v>
      </c>
      <c r="D766" s="1">
        <v>3.4790000000000001</v>
      </c>
      <c r="E766" s="1" t="s">
        <v>531</v>
      </c>
      <c r="F766" s="1">
        <v>99</v>
      </c>
      <c r="G766" s="1">
        <v>100</v>
      </c>
      <c r="H766" s="1">
        <v>66</v>
      </c>
      <c r="I766" s="1">
        <v>117</v>
      </c>
      <c r="J766" s="1">
        <v>63</v>
      </c>
      <c r="K766" s="1">
        <v>134</v>
      </c>
      <c r="L766" s="1">
        <v>74</v>
      </c>
      <c r="M766" s="1">
        <v>74</v>
      </c>
      <c r="N766" s="1">
        <v>70</v>
      </c>
      <c r="O766" s="1">
        <v>134</v>
      </c>
      <c r="P766" s="1">
        <v>85</v>
      </c>
      <c r="Q766" s="1">
        <v>22</v>
      </c>
    </row>
    <row r="767" spans="1:17" ht="15.75" customHeight="1">
      <c r="A767" s="1">
        <v>2019</v>
      </c>
      <c r="B767" s="1">
        <v>148</v>
      </c>
      <c r="C767" s="1" t="s">
        <v>236</v>
      </c>
      <c r="D767" s="1">
        <v>3.476</v>
      </c>
      <c r="E767" s="1" t="s">
        <v>532</v>
      </c>
      <c r="F767" s="1">
        <v>121</v>
      </c>
      <c r="G767" s="1">
        <v>121</v>
      </c>
      <c r="H767" s="1">
        <v>123</v>
      </c>
      <c r="I767" s="1">
        <v>107</v>
      </c>
      <c r="J767" s="1">
        <v>56</v>
      </c>
      <c r="K767" s="1">
        <v>52</v>
      </c>
      <c r="L767" s="1">
        <v>25</v>
      </c>
      <c r="M767" s="1">
        <v>66</v>
      </c>
      <c r="N767" s="1">
        <v>50</v>
      </c>
      <c r="O767" s="1">
        <v>52</v>
      </c>
      <c r="P767" s="1">
        <v>108</v>
      </c>
      <c r="Q767" s="1">
        <v>113</v>
      </c>
    </row>
    <row r="768" spans="1:17" ht="15.75" customHeight="1">
      <c r="A768" s="1">
        <v>2019</v>
      </c>
      <c r="B768" s="1">
        <v>149</v>
      </c>
      <c r="C768" s="1" t="s">
        <v>332</v>
      </c>
      <c r="D768" s="1">
        <v>3.476</v>
      </c>
      <c r="E768" s="1" t="s">
        <v>511</v>
      </c>
      <c r="F768" s="1"/>
      <c r="G768" s="1"/>
      <c r="H768" s="1"/>
      <c r="I768" s="1"/>
      <c r="J768" s="1"/>
      <c r="N768" s="1"/>
      <c r="O768" s="1"/>
      <c r="P768" s="1"/>
      <c r="Q768" s="1"/>
    </row>
    <row r="769" spans="1:18" ht="15.75" customHeight="1">
      <c r="A769" s="1">
        <v>2019</v>
      </c>
      <c r="B769" s="1">
        <v>150</v>
      </c>
      <c r="C769" s="1" t="s">
        <v>242</v>
      </c>
      <c r="D769" s="1">
        <v>3.3119999999999998</v>
      </c>
      <c r="E769" s="1" t="s">
        <v>533</v>
      </c>
      <c r="F769" s="1">
        <v>97</v>
      </c>
      <c r="G769" s="1">
        <v>141</v>
      </c>
      <c r="H769" s="1">
        <v>131</v>
      </c>
      <c r="I769" s="1">
        <v>106</v>
      </c>
      <c r="J769" s="1">
        <v>50</v>
      </c>
      <c r="K769" s="1">
        <v>68</v>
      </c>
      <c r="L769" s="1">
        <v>2</v>
      </c>
      <c r="M769" s="1">
        <v>51</v>
      </c>
      <c r="N769" s="1">
        <v>128</v>
      </c>
      <c r="O769" s="1">
        <v>68</v>
      </c>
      <c r="P769" s="1">
        <v>45</v>
      </c>
      <c r="Q769" s="1">
        <v>100</v>
      </c>
    </row>
    <row r="770" spans="1:18" ht="15.75" customHeight="1">
      <c r="A770" s="1">
        <v>2019</v>
      </c>
      <c r="B770" s="1">
        <v>151</v>
      </c>
      <c r="C770" s="1" t="s">
        <v>208</v>
      </c>
      <c r="D770" s="1">
        <v>3.2989999999999999</v>
      </c>
      <c r="E770" s="1" t="s">
        <v>534</v>
      </c>
      <c r="F770" s="1">
        <v>102</v>
      </c>
      <c r="G770" s="1">
        <v>107</v>
      </c>
      <c r="H770" s="1">
        <v>124</v>
      </c>
      <c r="I770" s="1">
        <v>133</v>
      </c>
      <c r="J770" s="1">
        <v>129</v>
      </c>
      <c r="K770" s="1">
        <v>124</v>
      </c>
      <c r="L770" s="1">
        <v>92</v>
      </c>
      <c r="M770" s="1">
        <v>78</v>
      </c>
      <c r="N770" s="1">
        <v>44</v>
      </c>
      <c r="O770" s="1">
        <v>124</v>
      </c>
      <c r="P770" s="1">
        <v>60</v>
      </c>
      <c r="Q770" s="1">
        <v>35</v>
      </c>
    </row>
    <row r="771" spans="1:18" ht="15.75" customHeight="1">
      <c r="A771" s="1">
        <v>2019</v>
      </c>
      <c r="B771" s="1">
        <v>152</v>
      </c>
      <c r="C771" s="1" t="s">
        <v>226</v>
      </c>
      <c r="D771" s="1">
        <v>2.8170000000000002</v>
      </c>
      <c r="F771" s="1"/>
      <c r="G771" s="1"/>
      <c r="H771" s="1"/>
      <c r="I771" s="1"/>
      <c r="J771" s="1"/>
      <c r="K771" s="1"/>
      <c r="L771" s="1"/>
      <c r="M771" s="1"/>
      <c r="N771" s="1"/>
      <c r="O771" s="1"/>
      <c r="Q771" s="1"/>
    </row>
    <row r="772" spans="1:18" ht="15.75" customHeight="1">
      <c r="A772" s="1">
        <v>2019</v>
      </c>
      <c r="B772" s="1">
        <v>153</v>
      </c>
      <c r="C772" s="1" t="s">
        <v>245</v>
      </c>
      <c r="D772" s="1">
        <v>2.5670000000000002</v>
      </c>
      <c r="E772" s="1" t="s">
        <v>535</v>
      </c>
      <c r="F772" s="1">
        <v>4</v>
      </c>
      <c r="G772" s="1">
        <v>143</v>
      </c>
      <c r="H772" s="1">
        <v>126</v>
      </c>
      <c r="I772" s="1">
        <v>132</v>
      </c>
      <c r="J772" s="1">
        <v>141</v>
      </c>
      <c r="K772" s="1">
        <v>138</v>
      </c>
      <c r="L772" s="1">
        <v>130</v>
      </c>
      <c r="M772" s="1">
        <v>141</v>
      </c>
      <c r="N772" s="1">
        <v>142</v>
      </c>
      <c r="O772" s="1">
        <v>138</v>
      </c>
      <c r="P772" s="1">
        <v>124</v>
      </c>
      <c r="Q772" s="1">
        <v>88</v>
      </c>
    </row>
    <row r="773" spans="1:18" ht="15.75" customHeight="1">
      <c r="A773" s="1">
        <v>2020</v>
      </c>
      <c r="B773" s="1">
        <v>1</v>
      </c>
      <c r="C773" s="1" t="s">
        <v>37</v>
      </c>
      <c r="D773" s="1">
        <v>7.8419999999999996</v>
      </c>
      <c r="E773" s="1">
        <v>0.45300000000000001</v>
      </c>
      <c r="F773" s="1">
        <v>2</v>
      </c>
      <c r="G773" s="1">
        <v>4</v>
      </c>
      <c r="H773" s="1">
        <v>15</v>
      </c>
      <c r="I773" s="1">
        <v>17</v>
      </c>
      <c r="J773" s="1">
        <v>3</v>
      </c>
      <c r="K773" s="1">
        <v>63</v>
      </c>
      <c r="L773" s="1">
        <v>1</v>
      </c>
      <c r="M773" s="1">
        <v>21</v>
      </c>
      <c r="N773" s="1">
        <v>8</v>
      </c>
      <c r="O773" s="1">
        <v>63</v>
      </c>
      <c r="P773" s="1">
        <v>34</v>
      </c>
      <c r="Q773" s="1">
        <v>95</v>
      </c>
    </row>
    <row r="774" spans="1:18" ht="15.75" customHeight="1">
      <c r="A774" s="1">
        <v>2020</v>
      </c>
      <c r="B774" s="1">
        <v>2</v>
      </c>
      <c r="C774" s="1" t="s">
        <v>30</v>
      </c>
      <c r="D774" s="1">
        <v>7.62</v>
      </c>
      <c r="E774" s="1" t="s">
        <v>39</v>
      </c>
      <c r="F774" s="1">
        <v>18</v>
      </c>
      <c r="G774" s="1">
        <v>14</v>
      </c>
      <c r="H774" s="1">
        <v>6</v>
      </c>
      <c r="I774" s="1">
        <v>13</v>
      </c>
      <c r="J774" s="1">
        <v>11</v>
      </c>
      <c r="K774" s="1">
        <v>18</v>
      </c>
      <c r="L774" s="1">
        <v>3</v>
      </c>
      <c r="M774" s="1">
        <v>19</v>
      </c>
      <c r="N774" s="1">
        <v>22</v>
      </c>
      <c r="O774" s="1">
        <v>18</v>
      </c>
      <c r="P774" s="1">
        <v>51</v>
      </c>
      <c r="Q774" s="1">
        <v>84</v>
      </c>
    </row>
    <row r="775" spans="1:18" ht="15.75" customHeight="1">
      <c r="A775" s="1">
        <v>2020</v>
      </c>
      <c r="B775" s="1">
        <v>3</v>
      </c>
      <c r="C775" s="1" t="s">
        <v>32</v>
      </c>
      <c r="D775" s="1">
        <v>7.5709999999999997</v>
      </c>
      <c r="E775" s="1" t="s">
        <v>432</v>
      </c>
      <c r="F775" s="1">
        <v>6</v>
      </c>
      <c r="G775" s="1">
        <v>16</v>
      </c>
      <c r="H775" s="1">
        <v>3</v>
      </c>
      <c r="I775" s="1">
        <v>8</v>
      </c>
      <c r="J775" s="1">
        <v>19</v>
      </c>
      <c r="K775" s="1">
        <v>39</v>
      </c>
      <c r="L775" s="1">
        <v>5</v>
      </c>
      <c r="M775" s="1">
        <v>30</v>
      </c>
      <c r="N775" s="1">
        <v>9</v>
      </c>
      <c r="O775" s="1">
        <v>39</v>
      </c>
      <c r="P775" s="1">
        <v>48</v>
      </c>
      <c r="Q775" s="1">
        <v>113</v>
      </c>
    </row>
    <row r="776" spans="1:18" ht="15.75" customHeight="1">
      <c r="A776" s="1">
        <v>2020</v>
      </c>
      <c r="B776" s="1">
        <v>4</v>
      </c>
      <c r="C776" s="1" t="s">
        <v>34</v>
      </c>
      <c r="D776" s="1">
        <v>7.5540000000000003</v>
      </c>
      <c r="E776" s="1">
        <v>0.19900000000000001</v>
      </c>
      <c r="F776" s="1">
        <v>4</v>
      </c>
      <c r="G776" s="1">
        <v>1</v>
      </c>
      <c r="H776" s="1">
        <v>11</v>
      </c>
      <c r="I776" s="1">
        <v>3</v>
      </c>
      <c r="J776" s="1">
        <v>7</v>
      </c>
      <c r="K776" s="1">
        <v>7</v>
      </c>
      <c r="L776" s="1">
        <v>28</v>
      </c>
      <c r="M776" s="1">
        <v>3</v>
      </c>
      <c r="N776" s="1">
        <v>4</v>
      </c>
      <c r="O776" s="1">
        <v>7</v>
      </c>
      <c r="P776" s="1">
        <v>63</v>
      </c>
      <c r="Q776" s="1">
        <v>108</v>
      </c>
    </row>
    <row r="777" spans="1:18" ht="15.75" customHeight="1">
      <c r="A777" s="1">
        <v>2020</v>
      </c>
      <c r="B777" s="1">
        <v>5</v>
      </c>
      <c r="C777" s="1" t="s">
        <v>40</v>
      </c>
      <c r="D777" s="1">
        <v>7.4640000000000004</v>
      </c>
      <c r="E777" s="1" t="s">
        <v>536</v>
      </c>
      <c r="F777" s="1">
        <v>1</v>
      </c>
      <c r="G777" s="1">
        <v>17</v>
      </c>
      <c r="H777" s="1">
        <v>7</v>
      </c>
      <c r="I777" s="1"/>
      <c r="J777" s="1">
        <v>13</v>
      </c>
      <c r="K777" s="1">
        <v>8</v>
      </c>
      <c r="L777" s="1">
        <v>6</v>
      </c>
      <c r="M777" s="1">
        <v>52</v>
      </c>
      <c r="N777" s="1">
        <v>28</v>
      </c>
      <c r="O777" s="1">
        <v>8</v>
      </c>
      <c r="P777" s="1">
        <v>40</v>
      </c>
      <c r="Q777" s="1">
        <v>109</v>
      </c>
    </row>
    <row r="778" spans="1:18" ht="15.75" customHeight="1">
      <c r="A778" s="1">
        <v>2020</v>
      </c>
      <c r="B778" s="1">
        <v>6</v>
      </c>
      <c r="C778" s="1" t="s">
        <v>35</v>
      </c>
      <c r="D778" s="1">
        <v>7.3920000000000003</v>
      </c>
      <c r="E778" s="1" t="s">
        <v>537</v>
      </c>
      <c r="F778" s="1">
        <v>12</v>
      </c>
      <c r="G778" s="1">
        <v>8</v>
      </c>
      <c r="H778" s="1">
        <v>2</v>
      </c>
      <c r="I778" s="1">
        <v>5</v>
      </c>
      <c r="J778" s="1">
        <v>1</v>
      </c>
      <c r="K778" s="1">
        <v>12</v>
      </c>
      <c r="L778" s="1">
        <v>4</v>
      </c>
      <c r="M778" s="1">
        <v>6</v>
      </c>
      <c r="N778" s="1">
        <v>18</v>
      </c>
      <c r="O778" s="1">
        <v>12</v>
      </c>
      <c r="P778" s="1">
        <v>50</v>
      </c>
      <c r="Q778" s="1">
        <v>104</v>
      </c>
    </row>
    <row r="779" spans="1:18" ht="15.75" customHeight="1">
      <c r="A779" s="1">
        <v>2020</v>
      </c>
      <c r="B779" s="1">
        <v>7</v>
      </c>
      <c r="C779" s="1" t="s">
        <v>45</v>
      </c>
      <c r="D779" s="1">
        <v>7.3630000000000004</v>
      </c>
      <c r="E779" s="1" t="s">
        <v>538</v>
      </c>
      <c r="F779" s="1">
        <v>17</v>
      </c>
      <c r="G779" s="1">
        <v>22</v>
      </c>
      <c r="H779" s="1">
        <v>12</v>
      </c>
      <c r="I779" s="1">
        <v>9</v>
      </c>
      <c r="J779" s="1">
        <v>6</v>
      </c>
      <c r="K779" s="1">
        <v>11</v>
      </c>
      <c r="L779" s="1">
        <v>2</v>
      </c>
      <c r="M779" s="1">
        <v>38</v>
      </c>
      <c r="N779" s="1">
        <v>20</v>
      </c>
      <c r="O779" s="1">
        <v>11</v>
      </c>
      <c r="P779" s="1">
        <v>97</v>
      </c>
      <c r="Q779" s="1">
        <v>101</v>
      </c>
    </row>
    <row r="780" spans="1:18" ht="15.75" customHeight="1">
      <c r="A780" s="1">
        <v>2020</v>
      </c>
      <c r="B780" s="1">
        <v>8</v>
      </c>
      <c r="C780" s="1" t="s">
        <v>59</v>
      </c>
      <c r="D780" s="1">
        <v>7.3239999999999998</v>
      </c>
      <c r="E780" s="1">
        <v>0.27</v>
      </c>
      <c r="F780" s="1"/>
      <c r="G780" s="1"/>
      <c r="H780" s="1"/>
      <c r="I780" s="1"/>
      <c r="J780" s="1"/>
      <c r="K780" s="1"/>
      <c r="L780" s="1"/>
      <c r="M780" s="1"/>
      <c r="O780" s="1"/>
      <c r="P780" s="1"/>
      <c r="Q780" s="1"/>
      <c r="R780" s="1"/>
    </row>
    <row r="781" spans="1:18" ht="15.75" customHeight="1">
      <c r="A781" s="1">
        <v>2020</v>
      </c>
      <c r="B781" s="1">
        <v>9</v>
      </c>
      <c r="C781" s="1" t="s">
        <v>42</v>
      </c>
      <c r="D781" s="1">
        <v>7.2770000000000001</v>
      </c>
      <c r="E781" s="1">
        <v>5.6000000000000001E-2</v>
      </c>
      <c r="F781" s="1">
        <v>16</v>
      </c>
      <c r="G781" s="1">
        <v>13</v>
      </c>
      <c r="H781" s="1">
        <v>22</v>
      </c>
      <c r="I781" s="1">
        <v>14</v>
      </c>
      <c r="J781" s="1">
        <v>18</v>
      </c>
      <c r="K781" s="1">
        <v>10</v>
      </c>
      <c r="L781" s="1">
        <v>7</v>
      </c>
      <c r="M781" s="1">
        <v>4</v>
      </c>
      <c r="N781" s="1">
        <v>16</v>
      </c>
      <c r="O781" s="1">
        <v>10</v>
      </c>
      <c r="P781" s="1">
        <v>7</v>
      </c>
      <c r="Q781" s="1">
        <v>68</v>
      </c>
    </row>
    <row r="782" spans="1:18" ht="15.75" customHeight="1">
      <c r="A782" s="1">
        <v>2020</v>
      </c>
      <c r="B782" s="1">
        <v>10</v>
      </c>
      <c r="C782" s="1" t="s">
        <v>49</v>
      </c>
      <c r="D782" s="1">
        <v>7.2679999999999998</v>
      </c>
      <c r="E782" s="1" t="s">
        <v>80</v>
      </c>
      <c r="F782" s="1">
        <v>7</v>
      </c>
      <c r="G782" s="1">
        <v>27</v>
      </c>
      <c r="H782" s="1">
        <v>9</v>
      </c>
      <c r="I782" s="1">
        <v>18</v>
      </c>
      <c r="J782" s="1">
        <v>22</v>
      </c>
      <c r="K782" s="1">
        <v>29</v>
      </c>
      <c r="L782" s="1">
        <v>13</v>
      </c>
      <c r="M782" s="1">
        <v>39</v>
      </c>
      <c r="N782" s="1">
        <v>15</v>
      </c>
      <c r="O782" s="1">
        <v>29</v>
      </c>
      <c r="P782" s="1">
        <v>56</v>
      </c>
      <c r="Q782" s="1">
        <v>96</v>
      </c>
    </row>
    <row r="783" spans="1:18" ht="15.75" customHeight="1">
      <c r="A783" s="1">
        <v>2020</v>
      </c>
      <c r="B783" s="1">
        <v>11</v>
      </c>
      <c r="C783" s="1" t="s">
        <v>43</v>
      </c>
      <c r="D783" s="1">
        <v>7.1829999999999998</v>
      </c>
      <c r="E783" s="1" t="s">
        <v>31</v>
      </c>
      <c r="F783" s="1">
        <v>22</v>
      </c>
      <c r="G783" s="1">
        <v>21</v>
      </c>
      <c r="H783" s="1">
        <v>14</v>
      </c>
      <c r="I783" s="1">
        <v>10</v>
      </c>
      <c r="J783" s="1">
        <v>26</v>
      </c>
      <c r="K783" s="1">
        <v>3</v>
      </c>
      <c r="L783" s="1">
        <v>16</v>
      </c>
      <c r="M783" s="1">
        <v>32</v>
      </c>
      <c r="N783" s="1">
        <v>13</v>
      </c>
      <c r="O783" s="1">
        <v>3</v>
      </c>
      <c r="P783" s="1">
        <v>14</v>
      </c>
      <c r="Q783" s="1">
        <v>58</v>
      </c>
    </row>
    <row r="784" spans="1:18" ht="15.75" customHeight="1">
      <c r="A784" s="1">
        <v>2020</v>
      </c>
      <c r="B784" s="1">
        <v>12</v>
      </c>
      <c r="C784" s="1" t="s">
        <v>47</v>
      </c>
      <c r="D784" s="1">
        <v>7.157</v>
      </c>
      <c r="E784" s="1" t="s">
        <v>281</v>
      </c>
      <c r="F784" s="1">
        <v>14</v>
      </c>
      <c r="G784" s="1">
        <v>6</v>
      </c>
      <c r="H784" s="1">
        <v>29</v>
      </c>
      <c r="I784" s="1">
        <v>4</v>
      </c>
      <c r="J784" s="1">
        <v>51</v>
      </c>
      <c r="K784" s="1">
        <v>46</v>
      </c>
      <c r="L784" s="1">
        <v>43</v>
      </c>
      <c r="M784" s="1">
        <v>99</v>
      </c>
      <c r="N784" s="1">
        <v>25</v>
      </c>
      <c r="O784" s="1">
        <v>46</v>
      </c>
      <c r="P784" s="1">
        <v>88</v>
      </c>
      <c r="Q784" s="1">
        <v>103</v>
      </c>
    </row>
    <row r="785" spans="1:18" ht="15.75" customHeight="1">
      <c r="A785" s="1">
        <v>2020</v>
      </c>
      <c r="B785" s="1">
        <v>13</v>
      </c>
      <c r="C785" s="1" t="s">
        <v>539</v>
      </c>
      <c r="D785" s="1">
        <v>7.1550000000000002</v>
      </c>
      <c r="E785" s="1">
        <v>0.48299999999999998</v>
      </c>
      <c r="F785" s="1">
        <v>10</v>
      </c>
      <c r="G785" s="1">
        <v>33</v>
      </c>
      <c r="H785" s="1">
        <v>10</v>
      </c>
      <c r="I785" s="1">
        <v>25</v>
      </c>
      <c r="J785" s="1">
        <v>40</v>
      </c>
      <c r="K785" s="1">
        <v>41</v>
      </c>
      <c r="L785" s="1">
        <v>11</v>
      </c>
      <c r="M785" s="1">
        <v>50</v>
      </c>
      <c r="N785" s="1">
        <v>14</v>
      </c>
      <c r="O785" s="1">
        <v>41</v>
      </c>
      <c r="P785" s="1">
        <v>72</v>
      </c>
      <c r="Q785" s="1">
        <v>102</v>
      </c>
    </row>
    <row r="786" spans="1:18" ht="15.75" customHeight="1">
      <c r="A786" s="1">
        <v>2020</v>
      </c>
      <c r="B786" s="1">
        <v>14</v>
      </c>
      <c r="C786" s="1" t="s">
        <v>38</v>
      </c>
      <c r="D786" s="1">
        <v>7.1029999999999998</v>
      </c>
      <c r="E786" s="1" t="s">
        <v>540</v>
      </c>
      <c r="F786" s="1">
        <v>25</v>
      </c>
      <c r="G786" s="1">
        <v>24</v>
      </c>
      <c r="H786" s="1">
        <v>16</v>
      </c>
      <c r="I786" s="1">
        <v>19</v>
      </c>
      <c r="J786" s="1">
        <v>29</v>
      </c>
      <c r="K786" s="1">
        <v>25</v>
      </c>
      <c r="L786" s="1">
        <v>12</v>
      </c>
      <c r="M786" s="1">
        <v>26</v>
      </c>
      <c r="N786" s="1">
        <v>64</v>
      </c>
      <c r="O786" s="1">
        <v>25</v>
      </c>
      <c r="P786" s="1">
        <v>53</v>
      </c>
      <c r="Q786" s="1">
        <v>76</v>
      </c>
    </row>
    <row r="787" spans="1:18" ht="15.75" customHeight="1">
      <c r="A787" s="1">
        <v>2020</v>
      </c>
      <c r="B787" s="1">
        <v>15</v>
      </c>
      <c r="C787" s="1" t="s">
        <v>57</v>
      </c>
      <c r="D787" s="1">
        <v>7.085</v>
      </c>
      <c r="E787" s="1">
        <v>8.9999999999999993E-3</v>
      </c>
      <c r="F787" s="1">
        <v>9</v>
      </c>
      <c r="G787" s="1">
        <v>5</v>
      </c>
      <c r="H787" s="1">
        <v>1</v>
      </c>
      <c r="I787" s="1">
        <v>15</v>
      </c>
      <c r="J787" s="1">
        <v>32</v>
      </c>
      <c r="K787" s="1">
        <v>21</v>
      </c>
      <c r="L787" s="1">
        <v>8</v>
      </c>
      <c r="M787" s="1">
        <v>18</v>
      </c>
      <c r="N787" s="1">
        <v>27</v>
      </c>
      <c r="O787" s="1">
        <v>21</v>
      </c>
      <c r="P787" s="1">
        <v>21</v>
      </c>
      <c r="Q787" s="1">
        <v>80</v>
      </c>
    </row>
    <row r="788" spans="1:18" ht="15.75" customHeight="1">
      <c r="A788" s="1">
        <v>2020</v>
      </c>
      <c r="B788" s="1">
        <v>16</v>
      </c>
      <c r="C788" s="1" t="s">
        <v>52</v>
      </c>
      <c r="D788" s="1">
        <v>7.069</v>
      </c>
      <c r="E788" s="1" t="s">
        <v>541</v>
      </c>
      <c r="F788" s="1">
        <v>59</v>
      </c>
      <c r="G788" s="1">
        <v>60</v>
      </c>
      <c r="H788" s="1">
        <v>49</v>
      </c>
      <c r="I788" s="1">
        <v>26</v>
      </c>
      <c r="J788" s="1">
        <v>28</v>
      </c>
      <c r="K788" s="1">
        <v>92</v>
      </c>
      <c r="L788" s="1">
        <v>48</v>
      </c>
      <c r="M788" s="1">
        <v>14</v>
      </c>
      <c r="N788" s="1">
        <v>88</v>
      </c>
      <c r="O788" s="1">
        <v>92</v>
      </c>
      <c r="P788" s="1">
        <v>89</v>
      </c>
      <c r="Q788" s="1">
        <v>54</v>
      </c>
    </row>
    <row r="789" spans="1:18" ht="15.75" customHeight="1">
      <c r="A789" s="1">
        <v>2020</v>
      </c>
      <c r="B789" s="1">
        <v>17</v>
      </c>
      <c r="C789" s="1" t="s">
        <v>64</v>
      </c>
      <c r="D789" s="1">
        <v>7.0640000000000001</v>
      </c>
      <c r="E789" s="1">
        <v>0.18099999999999999</v>
      </c>
      <c r="F789" s="1">
        <v>13</v>
      </c>
      <c r="G789" s="1">
        <v>25</v>
      </c>
      <c r="H789" s="1">
        <v>21</v>
      </c>
      <c r="I789" s="1">
        <v>27</v>
      </c>
      <c r="J789" s="1">
        <v>30</v>
      </c>
      <c r="K789" s="1">
        <v>6</v>
      </c>
      <c r="L789" s="1">
        <v>14</v>
      </c>
      <c r="M789" s="1">
        <v>37</v>
      </c>
      <c r="N789" s="1">
        <v>21</v>
      </c>
      <c r="O789" s="1">
        <v>6</v>
      </c>
      <c r="P789" s="1">
        <v>37</v>
      </c>
      <c r="Q789" s="1">
        <v>91</v>
      </c>
    </row>
    <row r="790" spans="1:18" ht="15.75" customHeight="1">
      <c r="A790" s="1">
        <v>2020</v>
      </c>
      <c r="B790" s="12">
        <v>18</v>
      </c>
      <c r="C790" s="8" t="s">
        <v>542</v>
      </c>
      <c r="D790" s="5">
        <v>6.9649999999999999</v>
      </c>
      <c r="E790" s="6">
        <v>0.67500000000000004</v>
      </c>
      <c r="F790" s="6">
        <v>29</v>
      </c>
      <c r="G790" s="6">
        <v>3</v>
      </c>
      <c r="H790" s="6">
        <v>25</v>
      </c>
      <c r="I790" s="7">
        <v>33</v>
      </c>
      <c r="J790" s="6">
        <v>24</v>
      </c>
      <c r="K790" s="6">
        <v>76</v>
      </c>
      <c r="L790" s="6">
        <v>93</v>
      </c>
      <c r="M790" s="6">
        <v>20</v>
      </c>
      <c r="N790" s="6">
        <v>55</v>
      </c>
      <c r="O790" s="6">
        <v>76</v>
      </c>
      <c r="P790" s="6">
        <v>47</v>
      </c>
      <c r="Q790" s="6">
        <v>88</v>
      </c>
    </row>
    <row r="791" spans="1:18" ht="15.75" customHeight="1">
      <c r="A791" s="1">
        <v>2020</v>
      </c>
      <c r="B791" s="12">
        <v>19</v>
      </c>
      <c r="C791" s="8" t="s">
        <v>543</v>
      </c>
      <c r="D791" s="5">
        <v>6.9509999999999996</v>
      </c>
      <c r="E791" s="9" t="s">
        <v>385</v>
      </c>
      <c r="F791" s="6">
        <v>30</v>
      </c>
      <c r="G791" s="6">
        <v>20</v>
      </c>
      <c r="H791" s="6">
        <v>4</v>
      </c>
      <c r="I791" s="10">
        <v>60</v>
      </c>
      <c r="J791" s="6">
        <v>44</v>
      </c>
      <c r="K791" s="6">
        <v>24</v>
      </c>
      <c r="L791" s="6">
        <v>33</v>
      </c>
      <c r="M791" s="6">
        <v>34</v>
      </c>
      <c r="N791" s="6">
        <v>59</v>
      </c>
      <c r="O791" s="6">
        <v>24</v>
      </c>
      <c r="P791" s="6">
        <v>22</v>
      </c>
      <c r="Q791" s="6">
        <v>56</v>
      </c>
    </row>
    <row r="792" spans="1:18" ht="15.75" customHeight="1">
      <c r="A792" s="1">
        <v>2020</v>
      </c>
      <c r="B792" s="1">
        <v>20</v>
      </c>
      <c r="C792" s="1" t="s">
        <v>415</v>
      </c>
      <c r="D792" s="1">
        <v>6.8339999999999996</v>
      </c>
      <c r="E792" s="1" t="s">
        <v>544</v>
      </c>
      <c r="F792" s="1">
        <v>5</v>
      </c>
      <c r="G792" s="1">
        <v>34</v>
      </c>
      <c r="H792" s="1">
        <v>13</v>
      </c>
      <c r="I792" s="1">
        <v>23</v>
      </c>
      <c r="J792" s="1">
        <v>84</v>
      </c>
      <c r="K792" s="1">
        <v>81</v>
      </c>
      <c r="L792" s="1">
        <v>25</v>
      </c>
      <c r="M792" s="1">
        <v>84</v>
      </c>
      <c r="N792" s="1">
        <v>38</v>
      </c>
      <c r="O792" s="1">
        <v>81</v>
      </c>
      <c r="P792" s="1">
        <v>71</v>
      </c>
      <c r="Q792" s="1">
        <v>115</v>
      </c>
    </row>
    <row r="793" spans="1:18" ht="15.75" customHeight="1">
      <c r="A793" s="1">
        <v>2020</v>
      </c>
      <c r="B793" s="1">
        <v>21</v>
      </c>
      <c r="C793" s="1" t="s">
        <v>76</v>
      </c>
      <c r="D793" s="1">
        <v>6.69</v>
      </c>
      <c r="E793" s="1" t="s">
        <v>479</v>
      </c>
      <c r="F793" s="1">
        <v>3</v>
      </c>
      <c r="G793" s="1">
        <v>15</v>
      </c>
      <c r="H793" s="1">
        <v>20</v>
      </c>
      <c r="I793" s="1">
        <v>16</v>
      </c>
      <c r="J793" s="1">
        <v>58</v>
      </c>
      <c r="K793" s="1">
        <v>85</v>
      </c>
      <c r="L793" s="1">
        <v>20</v>
      </c>
      <c r="M793" s="1">
        <v>53</v>
      </c>
      <c r="N793" s="1">
        <v>23</v>
      </c>
      <c r="O793" s="1">
        <v>85</v>
      </c>
      <c r="P793" s="1">
        <v>31</v>
      </c>
      <c r="Q793" s="1">
        <v>112</v>
      </c>
    </row>
    <row r="794" spans="1:18" ht="15.75" customHeight="1">
      <c r="A794" s="1">
        <v>2020</v>
      </c>
      <c r="B794" s="1">
        <v>22</v>
      </c>
      <c r="C794" s="1" t="s">
        <v>90</v>
      </c>
      <c r="D794" s="1">
        <v>6.6470000000000002</v>
      </c>
      <c r="E794" s="1">
        <v>1.335</v>
      </c>
      <c r="F794" s="1">
        <v>79</v>
      </c>
      <c r="G794" s="1">
        <v>58</v>
      </c>
      <c r="H794" s="1">
        <v>17</v>
      </c>
      <c r="I794" s="1">
        <v>58</v>
      </c>
      <c r="J794" s="1">
        <v>8</v>
      </c>
      <c r="K794" s="1">
        <v>9</v>
      </c>
      <c r="L794" s="1">
        <v>29</v>
      </c>
      <c r="M794" s="1">
        <v>60</v>
      </c>
      <c r="N794" s="1">
        <v>9</v>
      </c>
      <c r="O794" s="1">
        <v>49</v>
      </c>
      <c r="P794" s="1">
        <v>31</v>
      </c>
      <c r="R794" s="1"/>
    </row>
    <row r="795" spans="1:18" ht="15.75" customHeight="1">
      <c r="A795" s="1">
        <v>2020</v>
      </c>
      <c r="B795" s="1">
        <v>23</v>
      </c>
      <c r="C795" s="1" t="s">
        <v>74</v>
      </c>
      <c r="D795" s="1">
        <v>6.6020000000000003</v>
      </c>
      <c r="E795" s="1">
        <v>0.63800000000000001</v>
      </c>
      <c r="F795" s="1">
        <v>43</v>
      </c>
      <c r="G795" s="1">
        <v>19</v>
      </c>
      <c r="H795" s="1">
        <v>19</v>
      </c>
      <c r="I795" s="1">
        <v>6</v>
      </c>
      <c r="J795" s="1">
        <v>15</v>
      </c>
      <c r="K795" s="1">
        <v>32</v>
      </c>
      <c r="L795" s="1">
        <v>32</v>
      </c>
      <c r="M795" s="1">
        <v>93</v>
      </c>
      <c r="N795" s="1">
        <v>102</v>
      </c>
      <c r="O795" s="1">
        <v>32</v>
      </c>
      <c r="P795" s="1">
        <v>54</v>
      </c>
      <c r="Q795" s="1">
        <v>105</v>
      </c>
    </row>
    <row r="796" spans="1:18" ht="15.75" customHeight="1">
      <c r="A796" s="1">
        <v>2020</v>
      </c>
      <c r="B796" s="1">
        <v>24</v>
      </c>
      <c r="C796" s="1" t="s">
        <v>81</v>
      </c>
      <c r="D796" s="1">
        <v>6.5839999999999996</v>
      </c>
      <c r="E796" s="1">
        <v>0.36299999999999999</v>
      </c>
      <c r="F796" s="1">
        <v>11</v>
      </c>
      <c r="G796" s="1">
        <v>36</v>
      </c>
      <c r="H796" s="1">
        <v>67</v>
      </c>
      <c r="I796" s="1"/>
      <c r="J796" s="1">
        <v>40</v>
      </c>
      <c r="K796" s="1">
        <v>35</v>
      </c>
      <c r="L796" s="1">
        <v>23</v>
      </c>
      <c r="M796" s="1">
        <v>1</v>
      </c>
      <c r="N796" s="1">
        <v>40</v>
      </c>
      <c r="O796" s="1">
        <v>90</v>
      </c>
      <c r="P796" s="1">
        <v>97</v>
      </c>
      <c r="Q796" s="1"/>
    </row>
    <row r="797" spans="1:18" ht="15.75" customHeight="1">
      <c r="A797" s="1">
        <v>2020</v>
      </c>
      <c r="B797" s="1">
        <v>25</v>
      </c>
      <c r="C797" s="1" t="s">
        <v>71</v>
      </c>
      <c r="D797" s="1">
        <v>6.5609999999999999</v>
      </c>
      <c r="E797" s="1" t="s">
        <v>545</v>
      </c>
      <c r="F797" s="1">
        <v>75</v>
      </c>
      <c r="G797" s="1">
        <v>62</v>
      </c>
      <c r="H797" s="1">
        <v>5</v>
      </c>
      <c r="I797" s="1">
        <v>28</v>
      </c>
      <c r="J797" s="1">
        <v>10</v>
      </c>
      <c r="K797" s="1">
        <v>15</v>
      </c>
      <c r="L797" s="1">
        <v>44</v>
      </c>
      <c r="M797" s="1">
        <v>62</v>
      </c>
      <c r="N797" s="1">
        <v>15</v>
      </c>
      <c r="O797" s="1">
        <v>43</v>
      </c>
      <c r="P797" s="1">
        <v>22</v>
      </c>
      <c r="Q797" s="1"/>
    </row>
    <row r="798" spans="1:18" ht="15.75" customHeight="1">
      <c r="A798" s="1">
        <v>2020</v>
      </c>
      <c r="B798" s="1">
        <v>26</v>
      </c>
      <c r="C798" s="1" t="s">
        <v>79</v>
      </c>
      <c r="D798" s="1">
        <v>6.4939999999999998</v>
      </c>
      <c r="E798" s="1">
        <v>1.4E-2</v>
      </c>
      <c r="F798" s="1">
        <v>53</v>
      </c>
      <c r="G798" s="1">
        <v>41</v>
      </c>
      <c r="H798" s="1">
        <v>18</v>
      </c>
      <c r="I798" s="1">
        <v>52</v>
      </c>
      <c r="J798" s="1">
        <v>31</v>
      </c>
      <c r="K798" s="1">
        <v>61</v>
      </c>
      <c r="L798" s="1">
        <v>45</v>
      </c>
      <c r="M798" s="1">
        <v>31</v>
      </c>
      <c r="N798" s="1">
        <v>61</v>
      </c>
      <c r="O798" s="1">
        <v>76</v>
      </c>
      <c r="P798" s="1">
        <v>34</v>
      </c>
      <c r="R798" s="1"/>
    </row>
    <row r="799" spans="1:18" ht="15.75" customHeight="1">
      <c r="A799" s="1">
        <v>2020</v>
      </c>
      <c r="B799" s="1">
        <v>27</v>
      </c>
      <c r="C799" s="1" t="s">
        <v>274</v>
      </c>
      <c r="D799" s="1">
        <v>6.4909999999999997</v>
      </c>
      <c r="E799" s="1">
        <v>0.16900000000000001</v>
      </c>
      <c r="F799" s="1">
        <v>15</v>
      </c>
      <c r="G799" s="1">
        <v>23</v>
      </c>
      <c r="H799" s="1">
        <v>31</v>
      </c>
      <c r="I799" s="1">
        <v>11</v>
      </c>
      <c r="J799" s="1">
        <v>72</v>
      </c>
      <c r="K799" s="1">
        <v>71</v>
      </c>
      <c r="L799" s="1">
        <v>39</v>
      </c>
      <c r="M799" s="1">
        <v>66</v>
      </c>
      <c r="N799" s="1">
        <v>71</v>
      </c>
      <c r="O799" s="1">
        <v>71</v>
      </c>
      <c r="P799" s="1">
        <v>86</v>
      </c>
      <c r="Q799" s="1">
        <v>99</v>
      </c>
    </row>
    <row r="800" spans="1:18" ht="15.75" customHeight="1">
      <c r="A800" s="1">
        <v>2020</v>
      </c>
      <c r="B800" s="1">
        <v>28</v>
      </c>
      <c r="C800" s="1" t="s">
        <v>100</v>
      </c>
      <c r="D800" s="1">
        <v>6.4829999999999997</v>
      </c>
      <c r="E800" s="1">
        <v>0.46200000000000002</v>
      </c>
      <c r="F800" s="1">
        <v>8</v>
      </c>
      <c r="G800" s="1">
        <v>42</v>
      </c>
      <c r="H800" s="1">
        <v>24</v>
      </c>
      <c r="I800" s="1">
        <v>12</v>
      </c>
      <c r="J800" s="1">
        <v>95</v>
      </c>
      <c r="K800" s="1">
        <v>82</v>
      </c>
      <c r="L800" s="1">
        <v>81</v>
      </c>
      <c r="M800" s="1">
        <v>87</v>
      </c>
      <c r="N800" s="1">
        <v>66</v>
      </c>
      <c r="O800" s="1">
        <v>82</v>
      </c>
      <c r="P800" s="1">
        <v>105</v>
      </c>
      <c r="Q800" s="1">
        <v>110</v>
      </c>
    </row>
    <row r="801" spans="1:18" ht="15.75" customHeight="1">
      <c r="A801" s="1">
        <v>2020</v>
      </c>
      <c r="B801" s="1">
        <v>29</v>
      </c>
      <c r="C801" s="1" t="s">
        <v>116</v>
      </c>
      <c r="D801" s="1">
        <v>6.4610000000000003</v>
      </c>
      <c r="E801" s="1">
        <v>0.40100000000000002</v>
      </c>
      <c r="F801" s="1">
        <v>21</v>
      </c>
      <c r="G801" s="1">
        <v>10</v>
      </c>
      <c r="H801" s="1">
        <v>30</v>
      </c>
      <c r="I801" s="1">
        <v>20</v>
      </c>
      <c r="J801" s="1">
        <v>4</v>
      </c>
      <c r="K801" s="1">
        <v>54</v>
      </c>
      <c r="L801" s="1">
        <v>59</v>
      </c>
      <c r="M801" s="1">
        <v>95</v>
      </c>
      <c r="N801" s="1">
        <v>67</v>
      </c>
      <c r="O801" s="1">
        <v>54</v>
      </c>
      <c r="P801" s="1">
        <v>33</v>
      </c>
      <c r="Q801" s="1">
        <v>111</v>
      </c>
    </row>
    <row r="802" spans="1:18" ht="15.75" customHeight="1">
      <c r="A802" s="1">
        <v>2020</v>
      </c>
      <c r="B802" s="1">
        <v>30</v>
      </c>
      <c r="C802" s="1" t="s">
        <v>86</v>
      </c>
      <c r="D802" s="1">
        <v>6.4349999999999996</v>
      </c>
      <c r="E802" s="1">
        <v>0.47</v>
      </c>
      <c r="F802" s="1"/>
      <c r="G802" s="1"/>
      <c r="H802" s="1"/>
      <c r="I802" s="1"/>
      <c r="J802" s="1"/>
      <c r="K802" s="1"/>
      <c r="L802" s="1"/>
      <c r="M802" s="1"/>
      <c r="O802" s="1"/>
      <c r="P802" s="1"/>
      <c r="Q802" s="1"/>
      <c r="R802" s="1"/>
    </row>
    <row r="803" spans="1:18" ht="15.75" customHeight="1">
      <c r="A803" s="1">
        <v>2020</v>
      </c>
      <c r="B803" s="1">
        <v>31</v>
      </c>
      <c r="C803" s="1" t="s">
        <v>73</v>
      </c>
      <c r="D803" s="1">
        <v>6.431</v>
      </c>
      <c r="E803" s="1">
        <v>7.5999999999999998E-2</v>
      </c>
      <c r="F803" s="1">
        <v>35</v>
      </c>
      <c r="G803" s="1">
        <v>29</v>
      </c>
      <c r="H803" s="1">
        <v>45</v>
      </c>
      <c r="I803" s="1">
        <v>34</v>
      </c>
      <c r="J803" s="1">
        <v>23</v>
      </c>
      <c r="K803" s="1">
        <v>75</v>
      </c>
      <c r="L803" s="1">
        <v>15</v>
      </c>
      <c r="M803" s="1">
        <v>35</v>
      </c>
      <c r="N803" s="1">
        <v>39</v>
      </c>
      <c r="O803" s="1">
        <v>75</v>
      </c>
      <c r="P803" s="1">
        <v>73</v>
      </c>
      <c r="Q803" s="1">
        <v>63</v>
      </c>
    </row>
    <row r="804" spans="1:18" ht="15.75" customHeight="1">
      <c r="A804" s="1">
        <v>2020</v>
      </c>
      <c r="B804" s="1">
        <v>32</v>
      </c>
      <c r="C804" s="1" t="s">
        <v>63</v>
      </c>
      <c r="D804" s="1">
        <v>6.3769999999999998</v>
      </c>
      <c r="E804" s="1" t="s">
        <v>58</v>
      </c>
      <c r="F804" s="1"/>
      <c r="G804" s="1"/>
      <c r="H804" s="1"/>
      <c r="I804" s="1"/>
      <c r="J804" s="1"/>
      <c r="K804" s="1"/>
      <c r="L804" s="1"/>
      <c r="M804" s="1"/>
      <c r="O804" s="1"/>
      <c r="P804" s="1"/>
      <c r="Q804" s="1"/>
      <c r="R804" s="1"/>
    </row>
    <row r="805" spans="1:18" ht="15.75" customHeight="1">
      <c r="A805" s="1">
        <v>2020</v>
      </c>
      <c r="B805" s="1">
        <v>33</v>
      </c>
      <c r="C805" s="1" t="s">
        <v>135</v>
      </c>
      <c r="D805" s="1">
        <v>6.3719999999999999</v>
      </c>
      <c r="E805" s="1">
        <v>1.1499999999999999</v>
      </c>
      <c r="F805" s="1">
        <v>107</v>
      </c>
      <c r="G805" s="1">
        <v>76</v>
      </c>
      <c r="H805" s="1">
        <v>80</v>
      </c>
      <c r="I805" s="1"/>
      <c r="J805" s="1">
        <v>33</v>
      </c>
      <c r="K805" s="1">
        <v>5</v>
      </c>
      <c r="L805" s="1">
        <v>99</v>
      </c>
      <c r="M805" s="1">
        <v>90</v>
      </c>
      <c r="N805" s="1">
        <v>5</v>
      </c>
      <c r="O805" s="1">
        <v>99</v>
      </c>
      <c r="P805" s="1">
        <v>16</v>
      </c>
      <c r="R805" s="1"/>
    </row>
    <row r="806" spans="1:18" ht="15.75" customHeight="1">
      <c r="A806" s="1">
        <v>2020</v>
      </c>
      <c r="B806" s="1">
        <v>34</v>
      </c>
      <c r="C806" s="1" t="s">
        <v>95</v>
      </c>
      <c r="D806" s="1">
        <v>6.3310000000000004</v>
      </c>
      <c r="E806" s="1">
        <v>0.36199999999999999</v>
      </c>
      <c r="F806" s="1">
        <v>36</v>
      </c>
      <c r="G806" s="1">
        <v>9</v>
      </c>
      <c r="H806" s="1">
        <v>36</v>
      </c>
      <c r="I806" s="1">
        <v>37</v>
      </c>
      <c r="J806" s="1">
        <v>87</v>
      </c>
      <c r="K806" s="1">
        <v>57</v>
      </c>
      <c r="L806" s="1">
        <v>97</v>
      </c>
      <c r="M806" s="1">
        <v>51</v>
      </c>
      <c r="N806" s="1">
        <v>46</v>
      </c>
      <c r="O806" s="1">
        <v>57</v>
      </c>
      <c r="P806" s="1">
        <v>79</v>
      </c>
      <c r="Q806" s="1">
        <v>72</v>
      </c>
    </row>
    <row r="807" spans="1:18" ht="15.75" customHeight="1">
      <c r="A807" s="1">
        <v>2020</v>
      </c>
      <c r="B807" s="1">
        <v>35</v>
      </c>
      <c r="C807" s="1" t="s">
        <v>54</v>
      </c>
      <c r="D807" s="1">
        <v>6.33</v>
      </c>
      <c r="E807" s="1" t="s">
        <v>546</v>
      </c>
      <c r="F807" s="1">
        <v>76</v>
      </c>
      <c r="G807" s="1">
        <v>61</v>
      </c>
      <c r="H807" s="1">
        <v>59</v>
      </c>
      <c r="I807" s="1">
        <v>72</v>
      </c>
      <c r="J807" s="1">
        <v>70</v>
      </c>
      <c r="K807" s="1">
        <v>74</v>
      </c>
      <c r="L807" s="1">
        <v>38</v>
      </c>
      <c r="M807" s="1">
        <v>73</v>
      </c>
      <c r="N807" s="1">
        <v>99</v>
      </c>
      <c r="O807" s="1">
        <v>74</v>
      </c>
      <c r="P807" s="1">
        <v>70</v>
      </c>
      <c r="Q807" s="1">
        <v>38</v>
      </c>
    </row>
    <row r="808" spans="1:18" ht="15.75" customHeight="1">
      <c r="A808" s="1">
        <v>2020</v>
      </c>
      <c r="B808" s="1">
        <v>36</v>
      </c>
      <c r="C808" s="1" t="s">
        <v>61</v>
      </c>
      <c r="D808" s="1">
        <v>6.3170000000000002</v>
      </c>
      <c r="E808" s="1" t="s">
        <v>547</v>
      </c>
      <c r="F808" s="1">
        <v>70</v>
      </c>
      <c r="G808" s="1">
        <v>80</v>
      </c>
      <c r="H808" s="1">
        <v>55</v>
      </c>
      <c r="I808" s="1">
        <v>83</v>
      </c>
      <c r="J808" s="1">
        <v>36</v>
      </c>
      <c r="K808" s="1">
        <v>89</v>
      </c>
      <c r="L808" s="1">
        <v>51</v>
      </c>
      <c r="M808" s="1">
        <v>22</v>
      </c>
      <c r="N808" s="1">
        <v>56</v>
      </c>
      <c r="O808" s="1">
        <v>89</v>
      </c>
      <c r="P808" s="1">
        <v>69</v>
      </c>
      <c r="Q808" s="1">
        <v>48</v>
      </c>
    </row>
    <row r="809" spans="1:18" ht="15.75" customHeight="1">
      <c r="A809" s="1">
        <v>2020</v>
      </c>
      <c r="B809" s="12">
        <v>37</v>
      </c>
      <c r="C809" s="8" t="s">
        <v>548</v>
      </c>
      <c r="D809" s="5">
        <v>6.3090000000000002</v>
      </c>
      <c r="E809" s="6">
        <v>0.93500000000000005</v>
      </c>
      <c r="F809" s="6">
        <v>83</v>
      </c>
      <c r="G809" s="6">
        <v>50</v>
      </c>
      <c r="H809" s="6">
        <v>83</v>
      </c>
      <c r="I809" s="10">
        <v>66</v>
      </c>
      <c r="J809" s="6">
        <v>39</v>
      </c>
      <c r="K809" s="6">
        <v>104</v>
      </c>
      <c r="L809" s="6">
        <v>77</v>
      </c>
      <c r="M809" s="6">
        <v>41</v>
      </c>
      <c r="N809" s="6">
        <v>41</v>
      </c>
      <c r="O809" s="6">
        <v>104</v>
      </c>
      <c r="P809" s="6">
        <v>27</v>
      </c>
      <c r="Q809" s="6">
        <v>21</v>
      </c>
    </row>
    <row r="810" spans="1:18" ht="15.75" customHeight="1">
      <c r="A810" s="1">
        <v>2020</v>
      </c>
      <c r="B810" s="12">
        <v>38</v>
      </c>
      <c r="C810" s="8" t="s">
        <v>549</v>
      </c>
      <c r="D810" s="5">
        <v>6.2549999999999999</v>
      </c>
      <c r="E810" s="6">
        <v>0.82899999999999996</v>
      </c>
      <c r="F810" s="6">
        <v>24</v>
      </c>
      <c r="G810" s="6">
        <v>12</v>
      </c>
      <c r="H810" s="6">
        <v>27</v>
      </c>
      <c r="I810" s="7">
        <v>53</v>
      </c>
      <c r="J810" s="6">
        <v>55</v>
      </c>
      <c r="K810" s="6">
        <v>72</v>
      </c>
      <c r="L810" s="6">
        <v>74</v>
      </c>
      <c r="M810" s="6">
        <v>81</v>
      </c>
      <c r="N810" s="6">
        <v>12</v>
      </c>
      <c r="O810" s="6">
        <v>72</v>
      </c>
      <c r="P810" s="6">
        <v>67</v>
      </c>
      <c r="Q810" s="6">
        <v>90</v>
      </c>
    </row>
    <row r="811" spans="1:18" ht="15.75" customHeight="1">
      <c r="A811" s="1">
        <v>2020</v>
      </c>
      <c r="B811" s="1">
        <v>39</v>
      </c>
      <c r="C811" s="1" t="s">
        <v>124</v>
      </c>
      <c r="D811" s="1">
        <v>6.2229999999999999</v>
      </c>
      <c r="E811" s="1" t="s">
        <v>550</v>
      </c>
      <c r="F811" s="1">
        <v>38</v>
      </c>
      <c r="G811" s="1">
        <v>68</v>
      </c>
      <c r="H811" s="1">
        <v>26</v>
      </c>
      <c r="I811" s="1">
        <v>7</v>
      </c>
      <c r="J811" s="1">
        <v>86</v>
      </c>
      <c r="K811" s="1">
        <v>50</v>
      </c>
      <c r="L811" s="1">
        <v>70</v>
      </c>
      <c r="M811" s="1">
        <v>65</v>
      </c>
      <c r="N811" s="1">
        <v>48</v>
      </c>
      <c r="O811" s="1">
        <v>50</v>
      </c>
      <c r="P811" s="1">
        <v>57</v>
      </c>
      <c r="Q811" s="1">
        <v>81</v>
      </c>
    </row>
    <row r="812" spans="1:18" ht="15.75" customHeight="1">
      <c r="A812" s="1">
        <v>2020</v>
      </c>
      <c r="B812" s="1">
        <v>40</v>
      </c>
      <c r="C812" s="1" t="s">
        <v>129</v>
      </c>
      <c r="D812" s="1">
        <v>6.1890000000000001</v>
      </c>
      <c r="E812" s="1">
        <v>0.76300000000000001</v>
      </c>
      <c r="F812" s="1">
        <v>23</v>
      </c>
      <c r="G812" s="1">
        <v>7</v>
      </c>
      <c r="H812" s="1">
        <v>32</v>
      </c>
      <c r="I812" s="1">
        <v>31</v>
      </c>
      <c r="J812" s="1">
        <v>5</v>
      </c>
      <c r="K812" s="1">
        <v>55</v>
      </c>
      <c r="L812" s="1">
        <v>10</v>
      </c>
      <c r="M812" s="1">
        <v>11</v>
      </c>
      <c r="N812" s="1">
        <v>6</v>
      </c>
      <c r="O812" s="1">
        <v>55</v>
      </c>
      <c r="P812" s="1">
        <v>59</v>
      </c>
      <c r="Q812" s="1">
        <v>93</v>
      </c>
    </row>
    <row r="813" spans="1:18" ht="15.75" customHeight="1">
      <c r="A813" s="1">
        <v>2020</v>
      </c>
      <c r="B813" s="1">
        <v>41</v>
      </c>
      <c r="C813" s="1" t="s">
        <v>67</v>
      </c>
      <c r="D813" s="1">
        <v>6.18</v>
      </c>
      <c r="E813" s="1" t="s">
        <v>551</v>
      </c>
      <c r="F813" s="1"/>
      <c r="G813" s="1"/>
      <c r="H813" s="1"/>
      <c r="I813" s="1"/>
      <c r="J813" s="1"/>
      <c r="K813" s="1"/>
      <c r="L813" s="1"/>
      <c r="M813" s="1"/>
      <c r="N813" s="1"/>
      <c r="Q813" s="1"/>
      <c r="R813" s="1"/>
    </row>
    <row r="814" spans="1:18" ht="15.75" customHeight="1">
      <c r="A814" s="1">
        <v>2020</v>
      </c>
      <c r="B814" s="1">
        <v>42</v>
      </c>
      <c r="C814" s="1" t="s">
        <v>99</v>
      </c>
      <c r="D814" s="1">
        <v>6.1790000000000003</v>
      </c>
      <c r="E814" s="1">
        <v>0.55600000000000005</v>
      </c>
      <c r="F814" s="1">
        <v>64</v>
      </c>
      <c r="G814" s="1">
        <v>57</v>
      </c>
      <c r="H814" s="1">
        <v>86</v>
      </c>
      <c r="I814" s="1">
        <v>76</v>
      </c>
      <c r="J814" s="1">
        <v>16</v>
      </c>
      <c r="K814" s="1">
        <v>17</v>
      </c>
      <c r="L814" s="1">
        <v>27</v>
      </c>
      <c r="M814" s="1">
        <v>60</v>
      </c>
      <c r="N814" s="1">
        <v>47</v>
      </c>
      <c r="O814" s="1">
        <v>17</v>
      </c>
      <c r="P814" s="1">
        <v>64</v>
      </c>
      <c r="Q814" s="1">
        <v>60</v>
      </c>
    </row>
    <row r="815" spans="1:18" ht="15.75" customHeight="1">
      <c r="A815" s="1">
        <v>2020</v>
      </c>
      <c r="B815" s="1">
        <v>43</v>
      </c>
      <c r="C815" s="1" t="s">
        <v>66</v>
      </c>
      <c r="D815" s="1">
        <v>6.1719999999999997</v>
      </c>
      <c r="E815" s="1" t="s">
        <v>552</v>
      </c>
      <c r="F815" s="1">
        <v>45</v>
      </c>
      <c r="G815" s="1">
        <v>43</v>
      </c>
      <c r="H815" s="1">
        <v>47</v>
      </c>
      <c r="I815" s="1">
        <v>30</v>
      </c>
      <c r="J815" s="1">
        <v>74</v>
      </c>
      <c r="K815" s="1">
        <v>33</v>
      </c>
      <c r="L815" s="1">
        <v>67</v>
      </c>
      <c r="M815" s="1">
        <v>17</v>
      </c>
      <c r="N815" s="1">
        <v>79</v>
      </c>
      <c r="O815" s="1">
        <v>33</v>
      </c>
      <c r="P815" s="1">
        <v>78</v>
      </c>
      <c r="Q815" s="1">
        <v>20</v>
      </c>
    </row>
    <row r="816" spans="1:18" ht="15.75" customHeight="1">
      <c r="A816" s="1">
        <v>2020</v>
      </c>
      <c r="B816" s="1">
        <v>44</v>
      </c>
      <c r="C816" s="1" t="s">
        <v>109</v>
      </c>
      <c r="D816" s="1">
        <v>6.1660000000000004</v>
      </c>
      <c r="E816" s="1">
        <v>0.34399999999999997</v>
      </c>
      <c r="F816" s="1">
        <v>32</v>
      </c>
      <c r="G816" s="1">
        <v>11</v>
      </c>
      <c r="H816" s="1">
        <v>33</v>
      </c>
      <c r="I816" s="1">
        <v>40</v>
      </c>
      <c r="J816" s="1">
        <v>82</v>
      </c>
      <c r="K816" s="1">
        <v>36</v>
      </c>
      <c r="L816" s="1">
        <v>54</v>
      </c>
      <c r="M816" s="1">
        <v>61</v>
      </c>
      <c r="N816" s="1">
        <v>76</v>
      </c>
      <c r="O816" s="1">
        <v>36</v>
      </c>
      <c r="P816" s="1">
        <v>41</v>
      </c>
      <c r="Q816" s="1">
        <v>67</v>
      </c>
    </row>
    <row r="817" spans="1:18" ht="15.75" customHeight="1">
      <c r="A817" s="1">
        <v>2020</v>
      </c>
      <c r="B817" s="1">
        <v>45</v>
      </c>
      <c r="C817" s="1" t="s">
        <v>106</v>
      </c>
      <c r="D817" s="1">
        <v>6.1520000000000001</v>
      </c>
      <c r="E817" s="1">
        <v>0.48099999999999998</v>
      </c>
      <c r="F817" s="1">
        <v>37</v>
      </c>
      <c r="G817" s="1">
        <v>2</v>
      </c>
      <c r="H817" s="1">
        <v>41</v>
      </c>
      <c r="I817" s="1">
        <v>78</v>
      </c>
      <c r="J817" s="1">
        <v>37</v>
      </c>
      <c r="K817" s="1">
        <v>53</v>
      </c>
      <c r="L817" s="1">
        <v>30</v>
      </c>
      <c r="M817" s="1">
        <v>83</v>
      </c>
      <c r="N817" s="1">
        <v>3</v>
      </c>
      <c r="O817" s="1">
        <v>53</v>
      </c>
      <c r="P817" s="1">
        <v>87</v>
      </c>
      <c r="Q817" s="1">
        <v>92</v>
      </c>
    </row>
    <row r="818" spans="1:18" ht="15.75" customHeight="1">
      <c r="A818" s="1">
        <v>2020</v>
      </c>
      <c r="B818" s="1">
        <v>46</v>
      </c>
      <c r="C818" s="1" t="s">
        <v>128</v>
      </c>
      <c r="D818" s="1">
        <v>6.14</v>
      </c>
      <c r="E818" s="1">
        <v>1.107</v>
      </c>
      <c r="F818" s="1">
        <v>41</v>
      </c>
      <c r="G818" s="1">
        <v>51</v>
      </c>
      <c r="H818" s="1">
        <v>38</v>
      </c>
      <c r="I818" s="1">
        <v>55</v>
      </c>
      <c r="J818" s="1">
        <v>41</v>
      </c>
      <c r="K818" s="1">
        <v>90</v>
      </c>
      <c r="L818" s="1">
        <v>105</v>
      </c>
      <c r="M818" s="1">
        <v>67</v>
      </c>
      <c r="N818" s="1">
        <v>34</v>
      </c>
      <c r="O818" s="1">
        <v>90</v>
      </c>
      <c r="P818" s="1">
        <v>110</v>
      </c>
      <c r="Q818" s="1">
        <v>61</v>
      </c>
    </row>
    <row r="819" spans="1:18" ht="15.75" customHeight="1">
      <c r="A819" s="1">
        <v>2020</v>
      </c>
      <c r="B819" s="1">
        <v>47</v>
      </c>
      <c r="C819" s="1" t="s">
        <v>88</v>
      </c>
      <c r="D819" s="1">
        <v>6.1059999999999999</v>
      </c>
      <c r="E819" s="1" t="s">
        <v>553</v>
      </c>
      <c r="F819" s="1"/>
      <c r="G819" s="1"/>
      <c r="H819" s="1"/>
      <c r="I819" s="1"/>
      <c r="J819" s="1"/>
      <c r="K819" s="1"/>
      <c r="L819" s="1"/>
      <c r="M819" s="1"/>
      <c r="N819" s="1"/>
      <c r="Q819" s="1"/>
      <c r="R819" s="1"/>
    </row>
    <row r="820" spans="1:18" ht="15.75" customHeight="1">
      <c r="A820" s="1">
        <v>2020</v>
      </c>
      <c r="B820" s="1">
        <v>48</v>
      </c>
      <c r="C820" s="1" t="s">
        <v>145</v>
      </c>
      <c r="D820" s="1">
        <v>6.0780000000000003</v>
      </c>
      <c r="E820" s="1">
        <v>1.2649999999999999</v>
      </c>
      <c r="F820" s="1">
        <v>82</v>
      </c>
      <c r="G820" s="1">
        <v>56</v>
      </c>
      <c r="H820" s="1">
        <v>51</v>
      </c>
      <c r="I820" s="1">
        <v>51</v>
      </c>
      <c r="J820" s="1">
        <v>45</v>
      </c>
      <c r="K820" s="1">
        <v>16</v>
      </c>
      <c r="L820" s="1">
        <v>72</v>
      </c>
      <c r="M820" s="1">
        <v>92</v>
      </c>
      <c r="N820" s="1">
        <v>90</v>
      </c>
      <c r="O820" s="1">
        <v>16</v>
      </c>
      <c r="P820" s="1">
        <v>115</v>
      </c>
      <c r="Q820" s="1">
        <v>71</v>
      </c>
    </row>
    <row r="821" spans="1:18" ht="15.75" customHeight="1">
      <c r="A821" s="1">
        <v>2020</v>
      </c>
      <c r="B821" s="1">
        <v>49</v>
      </c>
      <c r="C821" s="1" t="s">
        <v>96</v>
      </c>
      <c r="D821" s="1">
        <v>6.0609999999999999</v>
      </c>
      <c r="E821" s="1">
        <v>0.252</v>
      </c>
      <c r="F821" s="1">
        <v>87</v>
      </c>
      <c r="G821" s="1">
        <v>102</v>
      </c>
      <c r="H821" s="1">
        <v>81</v>
      </c>
      <c r="I821" s="1">
        <v>77</v>
      </c>
      <c r="J821" s="1">
        <v>17</v>
      </c>
      <c r="K821" s="1">
        <v>103</v>
      </c>
      <c r="L821" s="1">
        <v>22</v>
      </c>
      <c r="M821" s="1">
        <v>2</v>
      </c>
      <c r="N821" s="1">
        <v>77</v>
      </c>
      <c r="O821" s="1">
        <v>103</v>
      </c>
      <c r="P821" s="1">
        <v>35</v>
      </c>
      <c r="Q821" s="1">
        <v>65</v>
      </c>
    </row>
    <row r="822" spans="1:18" ht="15.75" customHeight="1">
      <c r="A822" s="1">
        <v>2020</v>
      </c>
      <c r="B822" s="1">
        <v>50</v>
      </c>
      <c r="C822" s="1" t="s">
        <v>121</v>
      </c>
      <c r="D822" s="1">
        <v>6.0490000000000004</v>
      </c>
      <c r="E822" s="1">
        <v>0.57199999999999995</v>
      </c>
      <c r="F822" s="1">
        <v>50</v>
      </c>
      <c r="G822" s="1">
        <v>39</v>
      </c>
      <c r="H822" s="1">
        <v>50</v>
      </c>
      <c r="I822" s="1">
        <v>65</v>
      </c>
      <c r="J822" s="1">
        <v>46</v>
      </c>
      <c r="K822" s="1">
        <v>51</v>
      </c>
      <c r="L822" s="1">
        <v>47</v>
      </c>
      <c r="M822" s="1">
        <v>47</v>
      </c>
      <c r="N822" s="1">
        <v>2</v>
      </c>
      <c r="O822" s="1">
        <v>51</v>
      </c>
      <c r="P822" s="1">
        <v>23</v>
      </c>
      <c r="Q822" s="1">
        <v>85</v>
      </c>
    </row>
    <row r="823" spans="1:18" ht="15.75" customHeight="1">
      <c r="A823" s="1">
        <v>2020</v>
      </c>
      <c r="B823" s="1">
        <v>51</v>
      </c>
      <c r="C823" s="1" t="s">
        <v>123</v>
      </c>
      <c r="D823" s="1">
        <v>6.032</v>
      </c>
      <c r="E823" s="1">
        <v>0.98599999999999999</v>
      </c>
      <c r="F823" s="1">
        <v>19</v>
      </c>
      <c r="G823" s="1">
        <v>26</v>
      </c>
      <c r="H823" s="1">
        <v>39</v>
      </c>
      <c r="I823" s="1">
        <v>50</v>
      </c>
      <c r="J823" s="1">
        <v>59</v>
      </c>
      <c r="K823" s="1">
        <v>58</v>
      </c>
      <c r="L823" s="1">
        <v>63</v>
      </c>
      <c r="M823" s="1">
        <v>63</v>
      </c>
      <c r="N823" s="1">
        <v>11</v>
      </c>
      <c r="O823" s="1">
        <v>58</v>
      </c>
      <c r="P823" s="1">
        <v>111</v>
      </c>
      <c r="Q823" s="1">
        <v>100</v>
      </c>
    </row>
    <row r="824" spans="1:18" ht="15.75" customHeight="1">
      <c r="A824" s="1">
        <v>2020</v>
      </c>
      <c r="B824" s="1">
        <v>52</v>
      </c>
      <c r="C824" s="1" t="s">
        <v>75</v>
      </c>
      <c r="D824" s="1">
        <v>6.0119999999999996</v>
      </c>
      <c r="E824" s="1" t="s">
        <v>554</v>
      </c>
      <c r="F824" s="1">
        <v>96</v>
      </c>
      <c r="G824" s="1">
        <v>73</v>
      </c>
      <c r="H824" s="1">
        <v>63</v>
      </c>
      <c r="I824" s="1">
        <v>41</v>
      </c>
      <c r="J824" s="1">
        <v>48</v>
      </c>
      <c r="K824" s="1">
        <v>84</v>
      </c>
      <c r="L824" s="1">
        <v>61</v>
      </c>
      <c r="M824" s="1">
        <v>13</v>
      </c>
      <c r="N824" s="1">
        <v>82</v>
      </c>
      <c r="O824" s="1">
        <v>84</v>
      </c>
      <c r="P824" s="1">
        <v>68</v>
      </c>
      <c r="Q824" s="1">
        <v>19</v>
      </c>
    </row>
    <row r="825" spans="1:18" ht="15.75" customHeight="1">
      <c r="A825" s="1">
        <v>2020</v>
      </c>
      <c r="B825" s="1">
        <v>53</v>
      </c>
      <c r="C825" s="1" t="s">
        <v>151</v>
      </c>
      <c r="D825" s="1">
        <v>5.992</v>
      </c>
      <c r="E825" s="1">
        <v>1.2170000000000001</v>
      </c>
      <c r="F825" s="1">
        <v>49</v>
      </c>
      <c r="G825" s="1">
        <v>18</v>
      </c>
      <c r="H825" s="1">
        <v>37</v>
      </c>
      <c r="I825" s="1">
        <v>45</v>
      </c>
      <c r="J825" s="1">
        <v>78</v>
      </c>
      <c r="K825" s="1">
        <v>78</v>
      </c>
      <c r="L825" s="1">
        <v>76</v>
      </c>
      <c r="M825" s="1">
        <v>70</v>
      </c>
      <c r="N825" s="1">
        <v>24</v>
      </c>
      <c r="O825" s="1">
        <v>78</v>
      </c>
      <c r="P825" s="1">
        <v>106</v>
      </c>
      <c r="Q825" s="1">
        <v>52</v>
      </c>
    </row>
    <row r="826" spans="1:18" ht="15.75" customHeight="1">
      <c r="A826" s="1">
        <v>2020</v>
      </c>
      <c r="B826" s="1">
        <v>54</v>
      </c>
      <c r="C826" s="1" t="s">
        <v>78</v>
      </c>
      <c r="D826" s="1">
        <v>5.9850000000000003</v>
      </c>
      <c r="E826" s="1" t="s">
        <v>555</v>
      </c>
      <c r="F826" s="1">
        <v>55</v>
      </c>
      <c r="G826" s="1">
        <v>53</v>
      </c>
      <c r="H826" s="1">
        <v>54</v>
      </c>
      <c r="I826" s="1">
        <v>38</v>
      </c>
      <c r="J826" s="1">
        <v>47</v>
      </c>
      <c r="K826" s="1">
        <v>4</v>
      </c>
      <c r="L826" s="1">
        <v>106</v>
      </c>
      <c r="M826" s="1">
        <v>9</v>
      </c>
      <c r="N826" s="1">
        <v>74</v>
      </c>
      <c r="O826" s="1">
        <v>4</v>
      </c>
      <c r="P826" s="1">
        <v>60</v>
      </c>
      <c r="Q826" s="1">
        <v>45</v>
      </c>
    </row>
    <row r="827" spans="1:18" ht="15.75" customHeight="1">
      <c r="A827" s="1">
        <v>2020</v>
      </c>
      <c r="B827" s="1">
        <v>55</v>
      </c>
      <c r="C827" s="1" t="s">
        <v>98</v>
      </c>
      <c r="D827" s="1">
        <v>5.9720000000000004</v>
      </c>
      <c r="E827" s="1">
        <v>0.46500000000000002</v>
      </c>
      <c r="F827" s="1">
        <v>85</v>
      </c>
      <c r="G827" s="1">
        <v>55</v>
      </c>
      <c r="H827" s="1">
        <v>92</v>
      </c>
      <c r="I827" s="1">
        <v>57</v>
      </c>
      <c r="J827" s="1">
        <v>62</v>
      </c>
      <c r="K827" s="1">
        <v>62</v>
      </c>
      <c r="L827" s="1">
        <v>24</v>
      </c>
      <c r="M827" s="1">
        <v>7</v>
      </c>
      <c r="N827" s="1">
        <v>70</v>
      </c>
      <c r="O827" s="1">
        <v>62</v>
      </c>
      <c r="P827" s="1">
        <v>44</v>
      </c>
      <c r="Q827" s="1">
        <v>39</v>
      </c>
    </row>
    <row r="828" spans="1:18" ht="15.75" customHeight="1">
      <c r="A828" s="1">
        <v>2020</v>
      </c>
      <c r="B828" s="12">
        <v>56</v>
      </c>
      <c r="C828" s="8" t="s">
        <v>556</v>
      </c>
      <c r="D828" s="5">
        <v>5.94</v>
      </c>
      <c r="E828" s="9" t="s">
        <v>318</v>
      </c>
      <c r="F828" s="6">
        <v>27</v>
      </c>
      <c r="G828" s="6">
        <v>44</v>
      </c>
      <c r="H828" s="6">
        <v>28</v>
      </c>
      <c r="I828" s="7">
        <v>1</v>
      </c>
      <c r="J828" s="6">
        <v>63</v>
      </c>
      <c r="K828" s="6">
        <v>109</v>
      </c>
      <c r="L828" s="6">
        <v>23</v>
      </c>
      <c r="M828" s="6">
        <v>57</v>
      </c>
      <c r="N828" s="6">
        <v>5</v>
      </c>
      <c r="O828" s="6">
        <v>109</v>
      </c>
      <c r="P828" s="6">
        <v>93</v>
      </c>
      <c r="Q828" s="6">
        <v>116</v>
      </c>
    </row>
    <row r="829" spans="1:18" ht="15.75" customHeight="1">
      <c r="A829" s="1">
        <v>2020</v>
      </c>
      <c r="B829" s="12">
        <v>57</v>
      </c>
      <c r="C829" s="8" t="s">
        <v>557</v>
      </c>
      <c r="D829" s="5">
        <v>5.9290000000000003</v>
      </c>
      <c r="E829" s="9" t="s">
        <v>558</v>
      </c>
      <c r="F829" s="6">
        <v>57</v>
      </c>
      <c r="G829" s="6">
        <v>38</v>
      </c>
      <c r="H829" s="6">
        <v>48</v>
      </c>
      <c r="I829" s="10">
        <v>44</v>
      </c>
      <c r="J829" s="6">
        <v>57</v>
      </c>
      <c r="K829" s="6">
        <v>88</v>
      </c>
      <c r="L829" s="6">
        <v>69</v>
      </c>
      <c r="M829" s="6">
        <v>59</v>
      </c>
      <c r="N829" s="6">
        <v>83</v>
      </c>
      <c r="O829" s="6">
        <v>88</v>
      </c>
      <c r="P829" s="6">
        <v>65</v>
      </c>
      <c r="Q829" s="6">
        <v>53</v>
      </c>
    </row>
    <row r="830" spans="1:18" ht="15.75" customHeight="1">
      <c r="A830" s="1">
        <v>2020</v>
      </c>
      <c r="B830" s="1">
        <v>58</v>
      </c>
      <c r="C830" s="1" t="s">
        <v>155</v>
      </c>
      <c r="D830" s="1">
        <v>5.9290000000000003</v>
      </c>
      <c r="E830" s="1">
        <v>0.82799999999999996</v>
      </c>
      <c r="F830" s="1">
        <v>51</v>
      </c>
      <c r="G830" s="1">
        <v>48</v>
      </c>
      <c r="H830" s="1">
        <v>34</v>
      </c>
      <c r="I830" s="1">
        <v>22</v>
      </c>
      <c r="J830" s="1">
        <v>21</v>
      </c>
      <c r="K830" s="1">
        <v>108</v>
      </c>
      <c r="L830" s="1">
        <v>88</v>
      </c>
      <c r="M830" s="1">
        <v>86</v>
      </c>
      <c r="N830" s="1">
        <v>95</v>
      </c>
      <c r="O830" s="1">
        <v>108</v>
      </c>
      <c r="P830" s="1">
        <v>104</v>
      </c>
      <c r="Q830" s="1">
        <v>106</v>
      </c>
    </row>
    <row r="831" spans="1:18" ht="15.75" customHeight="1">
      <c r="A831" s="1">
        <v>2020</v>
      </c>
      <c r="B831" s="1">
        <v>59</v>
      </c>
      <c r="C831" s="1" t="s">
        <v>167</v>
      </c>
      <c r="D831" s="1">
        <v>5.9189999999999996</v>
      </c>
      <c r="E831" s="1">
        <v>0.77700000000000002</v>
      </c>
      <c r="F831" s="1"/>
      <c r="G831" s="1"/>
      <c r="H831" s="1"/>
      <c r="I831" s="1"/>
      <c r="J831" s="1"/>
      <c r="K831" s="1"/>
      <c r="L831" s="1"/>
      <c r="M831" s="1"/>
      <c r="N831" s="1"/>
      <c r="Q831" s="1"/>
      <c r="R831" s="1"/>
    </row>
    <row r="832" spans="1:18" ht="15.75" customHeight="1">
      <c r="A832" s="1">
        <v>2020</v>
      </c>
      <c r="B832" s="1">
        <v>60</v>
      </c>
      <c r="C832" s="1" t="s">
        <v>131</v>
      </c>
      <c r="D832" s="1">
        <v>5.8819999999999997</v>
      </c>
      <c r="E832" s="1">
        <v>0.221</v>
      </c>
      <c r="F832" s="1">
        <v>58</v>
      </c>
      <c r="G832" s="1">
        <v>28</v>
      </c>
      <c r="H832" s="1">
        <v>40</v>
      </c>
      <c r="I832" s="1">
        <v>32</v>
      </c>
      <c r="J832" s="1">
        <v>49</v>
      </c>
      <c r="K832" s="1">
        <v>56</v>
      </c>
      <c r="L832" s="1">
        <v>110</v>
      </c>
      <c r="M832" s="1">
        <v>56</v>
      </c>
      <c r="N832" s="1">
        <v>51</v>
      </c>
      <c r="O832" s="1">
        <v>56</v>
      </c>
      <c r="P832" s="1">
        <v>109</v>
      </c>
      <c r="Q832" s="1">
        <v>74</v>
      </c>
    </row>
    <row r="833" spans="1:18" ht="15.75" customHeight="1">
      <c r="A833" s="1">
        <v>2020</v>
      </c>
      <c r="B833" s="1">
        <v>61</v>
      </c>
      <c r="C833" s="1" t="s">
        <v>141</v>
      </c>
      <c r="D833" s="1">
        <v>5.88</v>
      </c>
      <c r="E833" s="1">
        <v>0.89500000000000002</v>
      </c>
      <c r="F833" s="1">
        <v>56</v>
      </c>
      <c r="G833" s="1">
        <v>79</v>
      </c>
      <c r="H833" s="1">
        <v>87</v>
      </c>
      <c r="I833" s="1">
        <v>85</v>
      </c>
      <c r="J833" s="1">
        <v>14</v>
      </c>
      <c r="K833" s="1">
        <v>102</v>
      </c>
      <c r="L833" s="1">
        <v>41</v>
      </c>
      <c r="M833" s="1">
        <v>5</v>
      </c>
      <c r="N833" s="1">
        <v>75</v>
      </c>
      <c r="O833" s="1">
        <v>102</v>
      </c>
      <c r="P833" s="1">
        <v>29</v>
      </c>
      <c r="Q833" s="1">
        <v>42</v>
      </c>
    </row>
    <row r="834" spans="1:18" ht="15.75" customHeight="1">
      <c r="A834" s="1">
        <v>2020</v>
      </c>
      <c r="B834" s="1">
        <v>62</v>
      </c>
      <c r="C834" s="1" t="s">
        <v>110</v>
      </c>
      <c r="D834" s="1">
        <v>5.8449999999999998</v>
      </c>
      <c r="E834" s="1" t="s">
        <v>559</v>
      </c>
      <c r="F834" s="1">
        <v>34</v>
      </c>
      <c r="G834" s="1">
        <v>66</v>
      </c>
      <c r="H834" s="1">
        <v>23</v>
      </c>
      <c r="I834" s="1">
        <v>2</v>
      </c>
      <c r="J834" s="1">
        <v>98</v>
      </c>
      <c r="K834" s="1">
        <v>60</v>
      </c>
      <c r="L834" s="1">
        <v>31</v>
      </c>
      <c r="M834" s="1">
        <v>103</v>
      </c>
      <c r="N834" s="1">
        <v>29</v>
      </c>
      <c r="O834" s="1">
        <v>60</v>
      </c>
      <c r="P834" s="1">
        <v>102</v>
      </c>
      <c r="Q834" s="1">
        <v>114</v>
      </c>
    </row>
    <row r="835" spans="1:18" ht="15.75" customHeight="1">
      <c r="A835" s="1">
        <v>2020</v>
      </c>
      <c r="B835" s="1">
        <v>63</v>
      </c>
      <c r="C835" s="1" t="s">
        <v>118</v>
      </c>
      <c r="D835" s="1">
        <v>5.84</v>
      </c>
      <c r="E835" s="1">
        <v>6.4000000000000001E-2</v>
      </c>
      <c r="F835" s="1">
        <v>73</v>
      </c>
      <c r="G835" s="1">
        <v>87</v>
      </c>
      <c r="H835" s="1">
        <v>71</v>
      </c>
      <c r="I835" s="1">
        <v>64</v>
      </c>
      <c r="J835" s="1">
        <v>64</v>
      </c>
      <c r="K835" s="1">
        <v>91</v>
      </c>
      <c r="L835" s="1">
        <v>100</v>
      </c>
      <c r="M835" s="1">
        <v>28</v>
      </c>
      <c r="N835" s="1">
        <v>113</v>
      </c>
      <c r="O835" s="1">
        <v>91</v>
      </c>
      <c r="P835" s="1">
        <v>58</v>
      </c>
      <c r="Q835" s="1">
        <v>29</v>
      </c>
    </row>
    <row r="836" spans="1:18" ht="15.75" customHeight="1">
      <c r="A836" s="1">
        <v>2020</v>
      </c>
      <c r="B836" s="1">
        <v>64</v>
      </c>
      <c r="C836" s="1" t="s">
        <v>146</v>
      </c>
      <c r="D836" s="1">
        <v>5.8129999999999997</v>
      </c>
      <c r="E836" s="1">
        <v>1</v>
      </c>
      <c r="F836" s="1">
        <v>84</v>
      </c>
      <c r="G836" s="1">
        <v>37</v>
      </c>
      <c r="H836" s="1">
        <v>62</v>
      </c>
      <c r="I836" s="1">
        <v>49</v>
      </c>
      <c r="J836" s="1">
        <v>93</v>
      </c>
      <c r="K836" s="1">
        <v>22</v>
      </c>
      <c r="L836" s="1">
        <v>104</v>
      </c>
      <c r="M836" s="1">
        <v>89</v>
      </c>
      <c r="N836" s="1">
        <v>73</v>
      </c>
      <c r="O836" s="1">
        <v>22</v>
      </c>
      <c r="P836" s="1">
        <v>112</v>
      </c>
      <c r="Q836" s="1">
        <v>79</v>
      </c>
    </row>
    <row r="837" spans="1:18" ht="15.75" customHeight="1">
      <c r="A837" s="1">
        <v>2020</v>
      </c>
      <c r="B837" s="1">
        <v>65</v>
      </c>
      <c r="C837" s="1" t="s">
        <v>285</v>
      </c>
      <c r="D837" s="1">
        <v>5.766</v>
      </c>
      <c r="E837" s="1" t="s">
        <v>560</v>
      </c>
      <c r="F837" s="1">
        <v>44</v>
      </c>
      <c r="G837" s="1">
        <v>49</v>
      </c>
      <c r="H837" s="1">
        <v>72</v>
      </c>
      <c r="I837" s="1">
        <v>70</v>
      </c>
      <c r="J837" s="1">
        <v>42</v>
      </c>
      <c r="K837" s="1">
        <v>79</v>
      </c>
      <c r="L837" s="1">
        <v>108</v>
      </c>
      <c r="M837" s="1">
        <v>49</v>
      </c>
      <c r="N837" s="1">
        <v>42</v>
      </c>
      <c r="O837" s="1">
        <v>79</v>
      </c>
      <c r="P837" s="1">
        <v>66</v>
      </c>
      <c r="Q837" s="1">
        <v>12</v>
      </c>
    </row>
    <row r="838" spans="1:18" ht="15.75" customHeight="1">
      <c r="A838" s="1">
        <v>2020</v>
      </c>
      <c r="B838" s="1">
        <v>66</v>
      </c>
      <c r="C838" s="1" t="s">
        <v>102</v>
      </c>
      <c r="D838" s="1">
        <v>5.7640000000000002</v>
      </c>
      <c r="E838" s="1" t="s">
        <v>80</v>
      </c>
      <c r="F838" s="1">
        <v>86</v>
      </c>
      <c r="G838" s="1">
        <v>71</v>
      </c>
      <c r="H838" s="1">
        <v>76</v>
      </c>
      <c r="I838" s="1">
        <v>68</v>
      </c>
      <c r="J838" s="1">
        <v>53</v>
      </c>
      <c r="K838" s="1">
        <v>107</v>
      </c>
      <c r="L838" s="1">
        <v>85</v>
      </c>
      <c r="M838" s="1">
        <v>16</v>
      </c>
      <c r="N838" s="1">
        <v>104</v>
      </c>
      <c r="O838" s="1">
        <v>107</v>
      </c>
      <c r="P838" s="1">
        <v>62</v>
      </c>
      <c r="Q838" s="1">
        <v>62</v>
      </c>
    </row>
    <row r="839" spans="1:18" ht="15.75" customHeight="1">
      <c r="A839" s="1">
        <v>2020</v>
      </c>
      <c r="B839" s="1">
        <v>67</v>
      </c>
      <c r="C839" s="1" t="s">
        <v>144</v>
      </c>
      <c r="D839" s="1">
        <v>5.7439999999999998</v>
      </c>
      <c r="E839" s="1">
        <v>0.70199999999999996</v>
      </c>
      <c r="F839" s="1">
        <v>48</v>
      </c>
      <c r="G839" s="1">
        <v>35</v>
      </c>
      <c r="H839" s="1">
        <v>98</v>
      </c>
      <c r="I839" s="1">
        <v>74</v>
      </c>
      <c r="J839" s="1">
        <v>12</v>
      </c>
      <c r="K839" s="1">
        <v>43</v>
      </c>
      <c r="L839" s="1">
        <v>107</v>
      </c>
      <c r="M839" s="1">
        <v>64</v>
      </c>
      <c r="N839" s="1">
        <v>36</v>
      </c>
      <c r="O839" s="1">
        <v>43</v>
      </c>
      <c r="P839" s="1">
        <v>36</v>
      </c>
      <c r="Q839" s="1">
        <v>51</v>
      </c>
    </row>
    <row r="840" spans="1:18" ht="15.75" customHeight="1">
      <c r="A840" s="1">
        <v>2020</v>
      </c>
      <c r="B840" s="1">
        <v>68</v>
      </c>
      <c r="C840" s="1" t="s">
        <v>160</v>
      </c>
      <c r="D840" s="1">
        <v>5.7229999999999999</v>
      </c>
      <c r="E840" s="1">
        <v>0.28799999999999998</v>
      </c>
      <c r="F840" s="1">
        <v>31</v>
      </c>
      <c r="G840" s="1">
        <v>81</v>
      </c>
      <c r="H840" s="1">
        <v>42</v>
      </c>
      <c r="I840" s="1">
        <v>21</v>
      </c>
      <c r="J840" s="1">
        <v>112</v>
      </c>
      <c r="K840" s="1">
        <v>112</v>
      </c>
      <c r="L840" s="1">
        <v>45</v>
      </c>
      <c r="M840" s="1">
        <v>79</v>
      </c>
      <c r="N840" s="1">
        <v>72</v>
      </c>
      <c r="O840" s="1">
        <v>112</v>
      </c>
      <c r="P840" s="1">
        <v>74</v>
      </c>
      <c r="Q840" s="1">
        <v>73</v>
      </c>
    </row>
    <row r="841" spans="1:18" ht="15.75" customHeight="1">
      <c r="A841" s="1">
        <v>2020</v>
      </c>
      <c r="B841" s="1">
        <v>69</v>
      </c>
      <c r="C841" s="1" t="s">
        <v>112</v>
      </c>
      <c r="D841" s="1">
        <v>5.7160000000000002</v>
      </c>
      <c r="E841" s="1" t="s">
        <v>33</v>
      </c>
      <c r="F841" s="1">
        <v>42</v>
      </c>
      <c r="G841" s="1">
        <v>70</v>
      </c>
      <c r="H841" s="1">
        <v>85</v>
      </c>
      <c r="I841" s="1">
        <v>94</v>
      </c>
      <c r="J841" s="1">
        <v>35</v>
      </c>
      <c r="K841" s="1">
        <v>87</v>
      </c>
      <c r="L841" s="1">
        <v>89</v>
      </c>
      <c r="M841" s="1">
        <v>31</v>
      </c>
      <c r="N841" s="1">
        <v>94</v>
      </c>
      <c r="O841" s="1">
        <v>87</v>
      </c>
      <c r="P841" s="1">
        <v>52</v>
      </c>
      <c r="Q841" s="1">
        <v>35</v>
      </c>
    </row>
    <row r="842" spans="1:18" ht="15.75" customHeight="1">
      <c r="A842" s="1">
        <v>2020</v>
      </c>
      <c r="B842" s="1">
        <v>70</v>
      </c>
      <c r="C842" s="1" t="s">
        <v>163</v>
      </c>
      <c r="D842" s="1">
        <v>5.6769999999999996</v>
      </c>
      <c r="E842" s="1">
        <v>0.84299999999999997</v>
      </c>
      <c r="F842" s="1">
        <v>26</v>
      </c>
      <c r="G842" s="1">
        <v>30</v>
      </c>
      <c r="H842" s="1">
        <v>66</v>
      </c>
      <c r="I842" s="1">
        <v>69</v>
      </c>
      <c r="J842" s="1">
        <v>94</v>
      </c>
      <c r="K842" s="1">
        <v>27</v>
      </c>
      <c r="L842" s="1">
        <v>80</v>
      </c>
      <c r="M842" s="1">
        <v>94</v>
      </c>
      <c r="N842" s="1">
        <v>37</v>
      </c>
      <c r="O842" s="1">
        <v>27</v>
      </c>
      <c r="P842" s="1">
        <v>5</v>
      </c>
      <c r="Q842" s="1">
        <v>87</v>
      </c>
    </row>
    <row r="843" spans="1:18" ht="15.75" customHeight="1">
      <c r="A843" s="1">
        <v>2020</v>
      </c>
      <c r="B843" s="1">
        <v>71</v>
      </c>
      <c r="C843" s="1" t="s">
        <v>126</v>
      </c>
      <c r="D843" s="1">
        <v>5.6529999999999996</v>
      </c>
      <c r="E843" s="1" t="s">
        <v>561</v>
      </c>
      <c r="F843" s="1">
        <v>47</v>
      </c>
      <c r="G843" s="1">
        <v>32</v>
      </c>
      <c r="H843" s="1">
        <v>65</v>
      </c>
      <c r="I843" s="1">
        <v>56</v>
      </c>
      <c r="J843" s="1">
        <v>38</v>
      </c>
      <c r="K843" s="1">
        <v>35</v>
      </c>
      <c r="L843" s="1">
        <v>73</v>
      </c>
      <c r="M843" s="1">
        <v>10</v>
      </c>
      <c r="N843" s="1">
        <v>44</v>
      </c>
      <c r="O843" s="1">
        <v>35</v>
      </c>
      <c r="P843" s="1">
        <v>39</v>
      </c>
      <c r="Q843" s="1">
        <v>33</v>
      </c>
    </row>
    <row r="844" spans="1:18" ht="15.75" customHeight="1">
      <c r="A844" s="1">
        <v>2020</v>
      </c>
      <c r="B844" s="1">
        <v>72</v>
      </c>
      <c r="C844" s="1" t="s">
        <v>147</v>
      </c>
      <c r="D844" s="1">
        <v>5.5810000000000004</v>
      </c>
      <c r="E844" s="1">
        <v>0.28199999999999997</v>
      </c>
      <c r="F844" s="1">
        <v>81</v>
      </c>
      <c r="G844" s="1">
        <v>45</v>
      </c>
      <c r="H844" s="1">
        <v>52</v>
      </c>
      <c r="I844" s="1">
        <v>46</v>
      </c>
      <c r="J844" s="1">
        <v>66</v>
      </c>
      <c r="K844" s="1">
        <v>31</v>
      </c>
      <c r="L844" s="1">
        <v>82</v>
      </c>
      <c r="M844" s="1">
        <v>101</v>
      </c>
      <c r="N844" s="1">
        <v>103</v>
      </c>
      <c r="O844" s="1">
        <v>31</v>
      </c>
      <c r="P844" s="1">
        <v>98</v>
      </c>
      <c r="Q844" s="1">
        <v>75</v>
      </c>
    </row>
    <row r="845" spans="1:18" ht="15.75" customHeight="1">
      <c r="A845" s="1">
        <v>2020</v>
      </c>
      <c r="B845" s="1">
        <v>73</v>
      </c>
      <c r="C845" s="1" t="s">
        <v>149</v>
      </c>
      <c r="D845" s="1">
        <v>5.5449999999999999</v>
      </c>
      <c r="E845" s="1">
        <v>0.58199999999999996</v>
      </c>
      <c r="F845" s="1">
        <v>105</v>
      </c>
      <c r="G845" s="1">
        <v>67</v>
      </c>
      <c r="H845" s="1">
        <v>56</v>
      </c>
      <c r="I845" s="1">
        <v>67</v>
      </c>
      <c r="J845" s="1">
        <v>50</v>
      </c>
      <c r="K845" s="1">
        <v>93</v>
      </c>
      <c r="L845" s="1">
        <v>26</v>
      </c>
      <c r="M845" s="1">
        <v>33</v>
      </c>
      <c r="N845" s="1">
        <v>68</v>
      </c>
      <c r="O845" s="1">
        <v>93</v>
      </c>
      <c r="P845" s="1">
        <v>17</v>
      </c>
      <c r="Q845" s="1">
        <v>11</v>
      </c>
    </row>
    <row r="846" spans="1:18" ht="15.75" customHeight="1">
      <c r="A846" s="1">
        <v>2020</v>
      </c>
      <c r="B846" s="1">
        <v>75</v>
      </c>
      <c r="C846" s="1" t="s">
        <v>115</v>
      </c>
      <c r="D846" s="1">
        <v>5.5339999999999998</v>
      </c>
      <c r="E846" s="1">
        <v>0.03</v>
      </c>
      <c r="F846" s="1"/>
      <c r="G846" s="1"/>
      <c r="H846" s="1"/>
      <c r="I846" s="1"/>
      <c r="J846" s="1"/>
      <c r="K846" s="1"/>
      <c r="L846" s="1"/>
      <c r="M846" s="1"/>
      <c r="O846" s="1"/>
      <c r="P846" s="1"/>
      <c r="Q846" s="1"/>
      <c r="R846" s="1"/>
    </row>
    <row r="847" spans="1:18" ht="15.75" customHeight="1">
      <c r="A847" s="1">
        <v>2020</v>
      </c>
      <c r="B847" s="1">
        <v>76</v>
      </c>
      <c r="C847" s="1" t="s">
        <v>108</v>
      </c>
      <c r="D847" s="1">
        <v>5.4770000000000003</v>
      </c>
      <c r="E847" s="1">
        <v>1.2999999999999999E-2</v>
      </c>
      <c r="F847" s="1">
        <v>54</v>
      </c>
      <c r="G847" s="1">
        <v>46</v>
      </c>
      <c r="H847" s="1">
        <v>35</v>
      </c>
      <c r="I847" s="1">
        <v>81</v>
      </c>
      <c r="J847" s="1">
        <v>96</v>
      </c>
      <c r="K847" s="1">
        <v>59</v>
      </c>
      <c r="L847" s="1">
        <v>71</v>
      </c>
      <c r="M847" s="1">
        <v>82</v>
      </c>
      <c r="N847" s="1">
        <v>7</v>
      </c>
      <c r="O847" s="1">
        <v>59</v>
      </c>
      <c r="P847" s="1">
        <v>80</v>
      </c>
      <c r="Q847" s="1">
        <v>59</v>
      </c>
    </row>
    <row r="848" spans="1:18" ht="15.75" customHeight="1">
      <c r="A848" s="1">
        <v>2020</v>
      </c>
      <c r="B848" s="12">
        <v>77</v>
      </c>
      <c r="C848" s="8" t="s">
        <v>562</v>
      </c>
      <c r="D848" s="5">
        <v>5.4770000000000003</v>
      </c>
      <c r="E848" s="9" t="s">
        <v>563</v>
      </c>
      <c r="F848" s="6">
        <v>28</v>
      </c>
      <c r="G848" s="6">
        <v>64</v>
      </c>
      <c r="H848" s="6">
        <v>8</v>
      </c>
      <c r="I848" s="7"/>
      <c r="J848" s="6">
        <v>99</v>
      </c>
      <c r="K848" s="6">
        <v>42</v>
      </c>
      <c r="L848" s="6">
        <v>9</v>
      </c>
      <c r="M848" s="6">
        <v>108</v>
      </c>
      <c r="N848" s="6">
        <v>17</v>
      </c>
      <c r="O848" s="6">
        <v>42</v>
      </c>
      <c r="P848" s="6">
        <v>113</v>
      </c>
      <c r="Q848" s="6">
        <v>107</v>
      </c>
    </row>
    <row r="849" spans="1:18" ht="15.75" customHeight="1">
      <c r="A849" s="1">
        <v>2020</v>
      </c>
      <c r="B849" s="1">
        <v>78</v>
      </c>
      <c r="C849" s="1" t="s">
        <v>162</v>
      </c>
      <c r="D849" s="1">
        <v>5.4660000000000002</v>
      </c>
      <c r="E849" s="1">
        <v>1.0860000000000001</v>
      </c>
      <c r="F849" s="1">
        <v>52</v>
      </c>
      <c r="G849" s="1">
        <v>77</v>
      </c>
      <c r="H849" s="1">
        <v>105</v>
      </c>
      <c r="I849" s="1">
        <v>80</v>
      </c>
      <c r="J849" s="1">
        <v>100</v>
      </c>
      <c r="K849" s="1">
        <v>19</v>
      </c>
      <c r="L849" s="1">
        <v>74</v>
      </c>
      <c r="M849" s="1">
        <v>84</v>
      </c>
      <c r="N849" s="1">
        <v>100</v>
      </c>
      <c r="O849" s="1">
        <v>2</v>
      </c>
      <c r="P849" s="1">
        <v>10</v>
      </c>
    </row>
    <row r="850" spans="1:18" ht="15.75" customHeight="1">
      <c r="A850" s="1">
        <v>2020</v>
      </c>
      <c r="B850" s="1">
        <v>79</v>
      </c>
      <c r="C850" s="1" t="s">
        <v>157</v>
      </c>
      <c r="D850" s="1">
        <v>5.4109999999999996</v>
      </c>
      <c r="E850" s="1" t="s">
        <v>408</v>
      </c>
      <c r="F850" s="1">
        <v>33</v>
      </c>
      <c r="G850" s="1">
        <v>83</v>
      </c>
      <c r="H850" s="1">
        <v>79</v>
      </c>
      <c r="I850" s="1">
        <v>43</v>
      </c>
      <c r="J850" s="1">
        <v>9</v>
      </c>
      <c r="K850" s="1">
        <v>37</v>
      </c>
      <c r="L850" s="1">
        <v>58</v>
      </c>
      <c r="M850" s="1">
        <v>48</v>
      </c>
      <c r="N850" s="1">
        <v>52</v>
      </c>
      <c r="O850" s="1">
        <v>37</v>
      </c>
      <c r="P850" s="1">
        <v>32</v>
      </c>
      <c r="Q850" s="1">
        <v>37</v>
      </c>
    </row>
    <row r="851" spans="1:18" ht="15.75" customHeight="1">
      <c r="A851" s="1">
        <v>2020</v>
      </c>
      <c r="B851" s="1">
        <v>80</v>
      </c>
      <c r="C851" s="1" t="s">
        <v>122</v>
      </c>
      <c r="D851" s="1">
        <v>5.41</v>
      </c>
      <c r="E851" s="1">
        <v>7.0000000000000007E-2</v>
      </c>
      <c r="F851" s="1"/>
      <c r="G851" s="1"/>
      <c r="H851" s="1"/>
      <c r="I851" s="1"/>
      <c r="J851" s="1"/>
      <c r="K851" s="1"/>
      <c r="L851" s="1"/>
      <c r="M851" s="1"/>
      <c r="N851" s="1"/>
      <c r="Q851" s="1"/>
      <c r="R851" s="1"/>
    </row>
    <row r="852" spans="1:18" ht="15.75" customHeight="1">
      <c r="A852" s="1">
        <v>2020</v>
      </c>
      <c r="B852" s="1">
        <v>81</v>
      </c>
      <c r="C852" s="1" t="s">
        <v>97</v>
      </c>
      <c r="D852" s="1">
        <v>5.3840000000000003</v>
      </c>
      <c r="E852" s="1" t="s">
        <v>495</v>
      </c>
      <c r="F852" s="1">
        <v>65</v>
      </c>
      <c r="G852" s="1">
        <v>74</v>
      </c>
      <c r="H852" s="1">
        <v>43</v>
      </c>
      <c r="I852" s="1">
        <v>36</v>
      </c>
      <c r="J852" s="1">
        <v>34</v>
      </c>
      <c r="K852" s="1">
        <v>19</v>
      </c>
      <c r="L852" s="1">
        <v>42</v>
      </c>
      <c r="M852" s="1">
        <v>36</v>
      </c>
      <c r="N852" s="1">
        <v>53</v>
      </c>
      <c r="O852" s="1">
        <v>19</v>
      </c>
      <c r="P852" s="1">
        <v>45</v>
      </c>
      <c r="Q852" s="1">
        <v>70</v>
      </c>
    </row>
    <row r="853" spans="1:18" ht="15.75" customHeight="1">
      <c r="A853" s="1">
        <v>2020</v>
      </c>
      <c r="B853" s="1">
        <v>82</v>
      </c>
      <c r="C853" s="1" t="s">
        <v>137</v>
      </c>
      <c r="D853" s="1">
        <v>5.3449999999999998</v>
      </c>
      <c r="E853" s="1" t="s">
        <v>564</v>
      </c>
      <c r="F853" s="1">
        <v>68</v>
      </c>
      <c r="G853" s="1">
        <v>85</v>
      </c>
      <c r="H853" s="1">
        <v>77</v>
      </c>
      <c r="I853" s="1">
        <v>82</v>
      </c>
      <c r="J853" s="1">
        <v>43</v>
      </c>
      <c r="K853" s="1">
        <v>1</v>
      </c>
      <c r="L853" s="1">
        <v>103</v>
      </c>
      <c r="M853" s="1">
        <v>24</v>
      </c>
      <c r="N853" s="1">
        <v>89</v>
      </c>
      <c r="O853" s="1">
        <v>1</v>
      </c>
      <c r="P853" s="1">
        <v>1</v>
      </c>
      <c r="Q853" s="1">
        <v>28</v>
      </c>
    </row>
    <row r="854" spans="1:18" ht="15.75" customHeight="1">
      <c r="A854" s="1">
        <v>2020</v>
      </c>
      <c r="B854" s="1">
        <v>83</v>
      </c>
      <c r="C854" s="1" t="s">
        <v>202</v>
      </c>
      <c r="D854" s="1">
        <v>5.3419999999999996</v>
      </c>
      <c r="E854" s="1">
        <v>1.0449999999999999</v>
      </c>
      <c r="F854" s="1">
        <v>116</v>
      </c>
      <c r="G854" s="1">
        <v>111</v>
      </c>
      <c r="H854" s="1">
        <v>94</v>
      </c>
      <c r="I854" s="1">
        <v>104</v>
      </c>
      <c r="J854" s="1">
        <v>88</v>
      </c>
      <c r="K854" s="1">
        <v>94</v>
      </c>
      <c r="L854" s="1">
        <v>37</v>
      </c>
      <c r="M854" s="1">
        <v>97</v>
      </c>
      <c r="N854" s="1">
        <v>107</v>
      </c>
      <c r="O854" s="1">
        <v>94</v>
      </c>
      <c r="P854" s="1">
        <v>28</v>
      </c>
      <c r="Q854" s="1">
        <v>41</v>
      </c>
    </row>
    <row r="855" spans="1:18" ht="15.75" customHeight="1">
      <c r="A855" s="1">
        <v>2020</v>
      </c>
      <c r="B855" s="1">
        <v>84</v>
      </c>
      <c r="C855" s="1" t="s">
        <v>142</v>
      </c>
      <c r="D855" s="1">
        <v>5.3390000000000004</v>
      </c>
      <c r="E855" s="1">
        <v>0.36099999999999999</v>
      </c>
      <c r="F855" s="1">
        <v>72</v>
      </c>
      <c r="G855" s="1">
        <v>65</v>
      </c>
      <c r="H855" s="1">
        <v>57</v>
      </c>
      <c r="I855" s="1">
        <v>29</v>
      </c>
      <c r="J855" s="1">
        <v>27</v>
      </c>
      <c r="K855" s="1">
        <v>86</v>
      </c>
      <c r="L855" s="1">
        <v>69</v>
      </c>
      <c r="M855" s="1">
        <v>26</v>
      </c>
      <c r="N855" s="1">
        <v>86</v>
      </c>
      <c r="O855" s="1">
        <v>75</v>
      </c>
      <c r="P855" s="1">
        <v>83</v>
      </c>
      <c r="Q855" s="1"/>
    </row>
    <row r="856" spans="1:18" ht="15.75" customHeight="1">
      <c r="A856" s="1">
        <v>2020</v>
      </c>
      <c r="B856" s="1">
        <v>85</v>
      </c>
      <c r="C856" s="1" t="s">
        <v>220</v>
      </c>
      <c r="D856" s="1">
        <v>5.306</v>
      </c>
      <c r="E856" s="1">
        <v>95</v>
      </c>
      <c r="F856" s="1">
        <v>110</v>
      </c>
      <c r="G856" s="1">
        <v>97</v>
      </c>
      <c r="H856" s="1">
        <v>79</v>
      </c>
      <c r="I856" s="1"/>
      <c r="J856" s="1">
        <v>73</v>
      </c>
      <c r="K856" s="1">
        <v>50</v>
      </c>
      <c r="L856" s="1">
        <v>72</v>
      </c>
      <c r="M856" s="1">
        <v>81</v>
      </c>
      <c r="N856" s="1">
        <v>73</v>
      </c>
      <c r="O856" s="1">
        <v>81</v>
      </c>
      <c r="P856" s="1">
        <v>30</v>
      </c>
    </row>
    <row r="857" spans="1:18" ht="15.75" customHeight="1">
      <c r="A857" s="1">
        <v>2020</v>
      </c>
      <c r="B857" s="1">
        <v>86</v>
      </c>
      <c r="C857" s="1" t="s">
        <v>192</v>
      </c>
      <c r="D857" s="1">
        <v>5.2830000000000004</v>
      </c>
      <c r="E857" s="1">
        <v>0.96699999999999997</v>
      </c>
      <c r="F857" s="1"/>
      <c r="G857" s="1"/>
      <c r="H857" s="1"/>
      <c r="I857" s="1"/>
      <c r="J857" s="1"/>
      <c r="K857" s="1"/>
      <c r="L857" s="1"/>
      <c r="M857" s="1"/>
      <c r="N857" s="1"/>
      <c r="Q857" s="1"/>
      <c r="R857" s="1"/>
    </row>
    <row r="858" spans="1:18" ht="15.75" customHeight="1">
      <c r="A858" s="1">
        <v>2020</v>
      </c>
      <c r="B858" s="1">
        <v>87</v>
      </c>
      <c r="C858" s="1" t="s">
        <v>172</v>
      </c>
      <c r="D858" s="1">
        <v>5.2690000000000001</v>
      </c>
      <c r="E858" s="1">
        <v>1.113</v>
      </c>
      <c r="F858" s="1">
        <v>98</v>
      </c>
      <c r="G858" s="1">
        <v>78</v>
      </c>
      <c r="H858" s="1">
        <v>103</v>
      </c>
      <c r="I858" s="1">
        <v>87</v>
      </c>
      <c r="J858" s="1">
        <v>77</v>
      </c>
      <c r="K858" s="1">
        <v>38</v>
      </c>
      <c r="L858" s="1">
        <v>68</v>
      </c>
      <c r="M858" s="1">
        <v>112</v>
      </c>
      <c r="N858" s="1">
        <v>80</v>
      </c>
      <c r="O858" s="1">
        <v>38</v>
      </c>
      <c r="P858" s="1">
        <v>8</v>
      </c>
      <c r="Q858" s="1">
        <v>77</v>
      </c>
    </row>
    <row r="859" spans="1:18" ht="15.75" customHeight="1">
      <c r="A859" s="1">
        <v>2020</v>
      </c>
      <c r="B859" s="1">
        <v>88</v>
      </c>
      <c r="C859" s="1" t="s">
        <v>205</v>
      </c>
      <c r="D859" s="1">
        <v>5.266</v>
      </c>
      <c r="E859" s="1">
        <v>1.2849999999999999</v>
      </c>
      <c r="F859" s="1">
        <v>66</v>
      </c>
      <c r="G859" s="1">
        <v>31</v>
      </c>
      <c r="H859" s="1">
        <v>46</v>
      </c>
      <c r="I859" s="1">
        <v>61</v>
      </c>
      <c r="J859" s="1">
        <v>61</v>
      </c>
      <c r="K859" s="1">
        <v>44</v>
      </c>
      <c r="L859" s="1">
        <v>98</v>
      </c>
      <c r="M859" s="1">
        <v>77</v>
      </c>
      <c r="N859" s="1">
        <v>19</v>
      </c>
      <c r="O859" s="1">
        <v>44</v>
      </c>
      <c r="P859" s="1">
        <v>91</v>
      </c>
      <c r="Q859" s="1">
        <v>32</v>
      </c>
    </row>
    <row r="860" spans="1:18" ht="15.75" customHeight="1">
      <c r="A860" s="1">
        <v>2020</v>
      </c>
      <c r="B860" s="1">
        <v>89</v>
      </c>
      <c r="C860" s="1" t="s">
        <v>468</v>
      </c>
      <c r="D860" s="1">
        <v>5.1980000000000004</v>
      </c>
      <c r="F860" s="1"/>
      <c r="G860" s="1"/>
      <c r="H860" s="1"/>
      <c r="I860" s="1"/>
      <c r="J860" s="1"/>
      <c r="K860" s="1"/>
      <c r="L860" s="1"/>
      <c r="M860" s="1"/>
      <c r="O860" s="1"/>
      <c r="P860" s="1"/>
      <c r="Q860" s="1"/>
      <c r="R860" s="1"/>
    </row>
    <row r="861" spans="1:18" ht="15.75" customHeight="1">
      <c r="A861" s="1">
        <v>2020</v>
      </c>
      <c r="B861" s="1">
        <v>90</v>
      </c>
      <c r="C861" s="1" t="s">
        <v>140</v>
      </c>
      <c r="D861" s="1">
        <v>5.1710000000000003</v>
      </c>
      <c r="E861" s="1">
        <v>0.56699999999999995</v>
      </c>
      <c r="F861" s="1"/>
      <c r="G861" s="1"/>
      <c r="H861" s="1"/>
      <c r="I861" s="1"/>
      <c r="J861" s="1"/>
      <c r="K861" s="1"/>
      <c r="L861" s="1"/>
      <c r="M861" s="1"/>
      <c r="N861" s="1"/>
      <c r="Q861" s="1"/>
      <c r="R861" s="1"/>
    </row>
    <row r="862" spans="1:18" ht="15.75" customHeight="1">
      <c r="A862" s="1">
        <v>2020</v>
      </c>
      <c r="B862" s="1">
        <v>91</v>
      </c>
      <c r="C862" s="1" t="s">
        <v>182</v>
      </c>
      <c r="D862" s="1">
        <v>5.1420000000000003</v>
      </c>
      <c r="E862" s="1">
        <v>0.72199999999999998</v>
      </c>
      <c r="F862" s="1">
        <v>109</v>
      </c>
      <c r="G862" s="1">
        <v>94</v>
      </c>
      <c r="H862" s="1">
        <v>102</v>
      </c>
      <c r="I862" s="1">
        <v>107</v>
      </c>
      <c r="J862" s="1">
        <v>103</v>
      </c>
      <c r="K862" s="1">
        <v>69</v>
      </c>
      <c r="L862" s="1">
        <v>79</v>
      </c>
      <c r="M862" s="1">
        <v>80</v>
      </c>
      <c r="N862" s="1">
        <v>97</v>
      </c>
      <c r="O862" s="1">
        <v>69</v>
      </c>
      <c r="P862" s="1">
        <v>26</v>
      </c>
      <c r="Q862" s="1">
        <v>2</v>
      </c>
    </row>
    <row r="863" spans="1:18" ht="15.75" customHeight="1">
      <c r="A863" s="1">
        <v>2020</v>
      </c>
      <c r="B863" s="1">
        <v>92</v>
      </c>
      <c r="C863" s="1" t="s">
        <v>204</v>
      </c>
      <c r="D863" s="1">
        <v>5.1319999999999997</v>
      </c>
      <c r="E863" s="1">
        <v>1.173</v>
      </c>
      <c r="F863" s="1">
        <v>93</v>
      </c>
      <c r="G863" s="1">
        <v>108</v>
      </c>
      <c r="H863" s="1">
        <v>104</v>
      </c>
      <c r="I863" s="1">
        <v>93</v>
      </c>
      <c r="J863" s="1">
        <v>68</v>
      </c>
      <c r="K863" s="1">
        <v>101</v>
      </c>
      <c r="L863" s="1">
        <v>86</v>
      </c>
      <c r="M863" s="1">
        <v>1</v>
      </c>
      <c r="N863" s="1">
        <v>43</v>
      </c>
      <c r="O863" s="1">
        <v>101</v>
      </c>
      <c r="P863" s="1">
        <v>38</v>
      </c>
      <c r="Q863" s="1">
        <v>14</v>
      </c>
    </row>
    <row r="864" spans="1:18" ht="15.75" customHeight="1">
      <c r="A864" s="1">
        <v>2020</v>
      </c>
      <c r="B864" s="1">
        <v>93</v>
      </c>
      <c r="C864" s="1" t="s">
        <v>174</v>
      </c>
      <c r="D864" s="1">
        <v>5.117</v>
      </c>
      <c r="E864" s="1" t="s">
        <v>565</v>
      </c>
      <c r="F864" s="1">
        <v>114</v>
      </c>
      <c r="G864" s="1">
        <v>98</v>
      </c>
      <c r="H864" s="1">
        <v>67</v>
      </c>
      <c r="I864" s="1">
        <v>35</v>
      </c>
      <c r="J864" s="1">
        <v>90</v>
      </c>
      <c r="K864" s="1">
        <v>49</v>
      </c>
      <c r="L864" s="1">
        <v>95</v>
      </c>
      <c r="M864" s="1">
        <v>100</v>
      </c>
      <c r="N864" s="1">
        <v>40</v>
      </c>
      <c r="O864" s="1">
        <v>49</v>
      </c>
      <c r="P864" s="1">
        <v>95</v>
      </c>
      <c r="Q864" s="1">
        <v>55</v>
      </c>
    </row>
    <row r="865" spans="1:18" ht="15.75" customHeight="1">
      <c r="A865" s="1">
        <v>2020</v>
      </c>
      <c r="B865" s="1">
        <v>94</v>
      </c>
      <c r="C865" s="1" t="s">
        <v>156</v>
      </c>
      <c r="D865" s="1">
        <v>5.101</v>
      </c>
      <c r="E865" s="1">
        <v>0.52700000000000002</v>
      </c>
      <c r="F865" s="1">
        <v>94</v>
      </c>
      <c r="G865" s="1">
        <v>86</v>
      </c>
      <c r="H865" s="1">
        <v>53</v>
      </c>
      <c r="I865" s="1">
        <v>54</v>
      </c>
      <c r="J865" s="1">
        <v>69</v>
      </c>
      <c r="K865" s="1">
        <v>20</v>
      </c>
      <c r="L865" s="1">
        <v>91</v>
      </c>
      <c r="M865" s="1">
        <v>106</v>
      </c>
      <c r="N865" s="1">
        <v>92</v>
      </c>
      <c r="O865" s="1">
        <v>20</v>
      </c>
      <c r="P865" s="1">
        <v>96</v>
      </c>
      <c r="Q865" s="1">
        <v>64</v>
      </c>
    </row>
    <row r="866" spans="1:18" ht="15.75" customHeight="1">
      <c r="A866" s="1">
        <v>2020</v>
      </c>
      <c r="B866" s="1">
        <v>95</v>
      </c>
      <c r="C866" s="1" t="s">
        <v>197</v>
      </c>
      <c r="D866" s="1">
        <v>5.0880000000000001</v>
      </c>
      <c r="E866" s="1" t="s">
        <v>564</v>
      </c>
      <c r="F866" s="1">
        <v>101</v>
      </c>
      <c r="G866" s="1">
        <v>107</v>
      </c>
      <c r="H866" s="1">
        <v>93</v>
      </c>
      <c r="I866" s="1">
        <v>97</v>
      </c>
      <c r="J866" s="1">
        <v>56</v>
      </c>
      <c r="K866" s="1">
        <v>26</v>
      </c>
      <c r="L866" s="1">
        <v>83</v>
      </c>
      <c r="M866" s="1">
        <v>62</v>
      </c>
      <c r="N866" s="1">
        <v>33</v>
      </c>
      <c r="O866" s="1">
        <v>26</v>
      </c>
      <c r="P866" s="1">
        <v>9</v>
      </c>
      <c r="Q866" s="1">
        <v>27</v>
      </c>
    </row>
    <row r="867" spans="1:18" ht="15.75" customHeight="1">
      <c r="A867" s="1">
        <v>2020</v>
      </c>
      <c r="B867" s="12">
        <v>96</v>
      </c>
      <c r="C867" s="8" t="s">
        <v>566</v>
      </c>
      <c r="D867" s="5">
        <v>5.0739999999999998</v>
      </c>
      <c r="E867" s="6">
        <v>0.92200000000000004</v>
      </c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</row>
    <row r="868" spans="1:18" ht="15.75" customHeight="1">
      <c r="A868" s="1">
        <v>2020</v>
      </c>
      <c r="B868" s="12">
        <v>97</v>
      </c>
      <c r="C868" s="8" t="s">
        <v>567</v>
      </c>
      <c r="D868" s="5">
        <v>5.0659999999999998</v>
      </c>
      <c r="E868" s="9" t="s">
        <v>568</v>
      </c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</row>
    <row r="869" spans="1:18" ht="15.75" customHeight="1">
      <c r="A869" s="1">
        <v>2020</v>
      </c>
      <c r="B869" s="1">
        <v>98</v>
      </c>
      <c r="C869" s="1" t="s">
        <v>403</v>
      </c>
      <c r="D869" s="1">
        <v>5.0510000000000002</v>
      </c>
      <c r="F869" s="1"/>
      <c r="G869" s="1"/>
      <c r="H869" s="1"/>
      <c r="I869" s="1"/>
      <c r="J869" s="1"/>
      <c r="K869" s="1"/>
      <c r="L869" s="1"/>
      <c r="M869" s="1"/>
      <c r="N869" s="1"/>
      <c r="Q869" s="1"/>
      <c r="R869" s="1"/>
    </row>
    <row r="870" spans="1:18" ht="15.75" customHeight="1">
      <c r="A870" s="1">
        <v>2020</v>
      </c>
      <c r="B870" s="1">
        <v>99</v>
      </c>
      <c r="C870" s="1" t="s">
        <v>244</v>
      </c>
      <c r="D870" s="1">
        <v>5.0449999999999999</v>
      </c>
      <c r="E870" s="1">
        <v>1.5169999999999999</v>
      </c>
      <c r="F870" s="1">
        <v>40</v>
      </c>
      <c r="G870" s="1">
        <v>116</v>
      </c>
      <c r="H870" s="1">
        <v>109</v>
      </c>
      <c r="I870" s="1">
        <v>101</v>
      </c>
      <c r="J870" s="1">
        <v>73</v>
      </c>
      <c r="K870" s="1">
        <v>110</v>
      </c>
      <c r="L870" s="1">
        <v>18</v>
      </c>
      <c r="M870" s="1">
        <v>102</v>
      </c>
      <c r="N870" s="1">
        <v>63</v>
      </c>
      <c r="O870" s="1">
        <v>110</v>
      </c>
      <c r="P870" s="1">
        <v>84</v>
      </c>
      <c r="Q870" s="1">
        <v>43</v>
      </c>
    </row>
    <row r="871" spans="1:18" ht="15.75" customHeight="1">
      <c r="A871" s="1">
        <v>2020</v>
      </c>
      <c r="B871" s="1">
        <v>100</v>
      </c>
      <c r="C871" s="1" t="s">
        <v>164</v>
      </c>
      <c r="D871" s="1">
        <v>5.03</v>
      </c>
      <c r="E871" s="1">
        <v>0.24299999999999999</v>
      </c>
      <c r="F871" s="1">
        <v>61</v>
      </c>
      <c r="G871" s="1">
        <v>106</v>
      </c>
      <c r="H871" s="1">
        <v>89</v>
      </c>
      <c r="I871" s="1">
        <v>88</v>
      </c>
      <c r="J871" s="1">
        <v>20</v>
      </c>
      <c r="K871" s="1">
        <v>30</v>
      </c>
      <c r="L871" s="1">
        <v>44</v>
      </c>
      <c r="M871" s="1">
        <v>40</v>
      </c>
      <c r="N871" s="1">
        <v>91</v>
      </c>
      <c r="O871" s="1">
        <v>30</v>
      </c>
      <c r="P871" s="1">
        <v>77</v>
      </c>
      <c r="Q871" s="1">
        <v>98</v>
      </c>
    </row>
    <row r="872" spans="1:18" ht="15.75" customHeight="1">
      <c r="A872" s="1">
        <v>2020</v>
      </c>
      <c r="B872" s="1">
        <v>101</v>
      </c>
      <c r="C872" s="1" t="s">
        <v>176</v>
      </c>
      <c r="D872" s="1">
        <v>5.0250000000000004</v>
      </c>
      <c r="E872" s="1">
        <v>0.221</v>
      </c>
      <c r="F872" s="1">
        <v>92</v>
      </c>
      <c r="G872" s="1">
        <v>90</v>
      </c>
      <c r="H872" s="1">
        <v>91</v>
      </c>
      <c r="I872" s="1">
        <v>71</v>
      </c>
      <c r="J872" s="1">
        <v>76</v>
      </c>
      <c r="K872" s="1">
        <v>83</v>
      </c>
      <c r="L872" s="1">
        <v>40</v>
      </c>
      <c r="M872" s="1">
        <v>111</v>
      </c>
      <c r="N872" s="1">
        <v>78</v>
      </c>
      <c r="O872" s="1">
        <v>83</v>
      </c>
      <c r="P872" s="1">
        <v>85</v>
      </c>
      <c r="Q872" s="1">
        <v>36</v>
      </c>
    </row>
    <row r="873" spans="1:18" ht="15.75" customHeight="1">
      <c r="A873" s="1">
        <v>2020</v>
      </c>
      <c r="B873" s="1">
        <v>102</v>
      </c>
      <c r="C873" s="1" t="s">
        <v>240</v>
      </c>
      <c r="D873" s="1">
        <v>4.984</v>
      </c>
      <c r="E873" s="1">
        <v>1.137</v>
      </c>
      <c r="F873" s="1">
        <v>63</v>
      </c>
      <c r="G873" s="1">
        <v>92</v>
      </c>
      <c r="H873" s="1">
        <v>106</v>
      </c>
      <c r="I873" s="1">
        <v>110</v>
      </c>
      <c r="J873" s="1">
        <v>110</v>
      </c>
      <c r="K873" s="1">
        <v>66</v>
      </c>
      <c r="L873" s="1">
        <v>57</v>
      </c>
      <c r="M873" s="1">
        <v>42</v>
      </c>
      <c r="N873" s="1">
        <v>87</v>
      </c>
      <c r="O873" s="1">
        <v>66</v>
      </c>
      <c r="P873" s="1">
        <v>42</v>
      </c>
      <c r="Q873" s="1">
        <v>8</v>
      </c>
    </row>
    <row r="874" spans="1:18" ht="15.75" customHeight="1">
      <c r="A874" s="1">
        <v>2020</v>
      </c>
      <c r="B874" s="1">
        <v>103</v>
      </c>
      <c r="C874" s="1" t="s">
        <v>185</v>
      </c>
      <c r="D874" s="1">
        <v>4.9560000000000004</v>
      </c>
      <c r="E874" s="1" t="s">
        <v>569</v>
      </c>
      <c r="F874" s="1">
        <v>39</v>
      </c>
      <c r="G874" s="1">
        <v>40</v>
      </c>
      <c r="H874" s="1">
        <v>73</v>
      </c>
      <c r="I874" s="1">
        <v>105</v>
      </c>
      <c r="J874" s="1">
        <v>89</v>
      </c>
      <c r="K874" s="1">
        <v>64</v>
      </c>
      <c r="L874" s="1">
        <v>101</v>
      </c>
      <c r="M874" s="1">
        <v>12</v>
      </c>
      <c r="N874" s="1">
        <v>57</v>
      </c>
      <c r="O874" s="1">
        <v>64</v>
      </c>
      <c r="P874" s="1">
        <v>11</v>
      </c>
      <c r="Q874" s="1">
        <v>25</v>
      </c>
    </row>
    <row r="875" spans="1:18" ht="15.75" customHeight="1">
      <c r="A875" s="1">
        <v>2020</v>
      </c>
      <c r="B875" s="1">
        <v>104</v>
      </c>
      <c r="C875" s="1" t="s">
        <v>136</v>
      </c>
      <c r="D875" s="1">
        <v>4.9480000000000004</v>
      </c>
      <c r="E875" s="1" t="s">
        <v>570</v>
      </c>
      <c r="F875" s="1">
        <v>88</v>
      </c>
      <c r="G875" s="1">
        <v>54</v>
      </c>
      <c r="H875" s="1">
        <v>44</v>
      </c>
      <c r="I875" s="1">
        <v>47</v>
      </c>
      <c r="J875" s="1">
        <v>115</v>
      </c>
      <c r="K875" s="1">
        <v>77</v>
      </c>
      <c r="L875" s="1">
        <v>49</v>
      </c>
      <c r="M875" s="1">
        <v>115</v>
      </c>
      <c r="N875" s="1">
        <v>110</v>
      </c>
      <c r="O875" s="1">
        <v>77</v>
      </c>
      <c r="P875" s="1">
        <v>100</v>
      </c>
      <c r="Q875" s="1">
        <v>50</v>
      </c>
    </row>
    <row r="876" spans="1:18" ht="15.75" customHeight="1">
      <c r="A876" s="1">
        <v>2020</v>
      </c>
      <c r="B876" s="1">
        <v>105</v>
      </c>
      <c r="C876" s="1" t="s">
        <v>152</v>
      </c>
      <c r="D876" s="1">
        <v>4.9340000000000002</v>
      </c>
      <c r="E876" s="1" t="s">
        <v>439</v>
      </c>
      <c r="F876" s="1">
        <v>108</v>
      </c>
      <c r="G876" s="1">
        <v>112</v>
      </c>
      <c r="H876" s="1">
        <v>100</v>
      </c>
      <c r="I876" s="1">
        <v>99</v>
      </c>
      <c r="J876" s="1">
        <v>83</v>
      </c>
      <c r="K876" s="1">
        <v>80</v>
      </c>
      <c r="L876" s="1">
        <v>75</v>
      </c>
      <c r="M876" s="1">
        <v>113</v>
      </c>
      <c r="N876" s="1">
        <v>93</v>
      </c>
      <c r="O876" s="1">
        <v>80</v>
      </c>
      <c r="P876" s="1">
        <v>108</v>
      </c>
      <c r="Q876" s="1">
        <v>94</v>
      </c>
    </row>
    <row r="877" spans="1:18" ht="15.75" customHeight="1">
      <c r="A877" s="1">
        <v>2020</v>
      </c>
      <c r="B877" s="1">
        <v>106</v>
      </c>
      <c r="C877" s="1" t="s">
        <v>150</v>
      </c>
      <c r="D877" s="1">
        <v>4.9180000000000001</v>
      </c>
      <c r="E877" s="1">
        <v>3.3000000000000002E-2</v>
      </c>
      <c r="F877" s="1">
        <v>99</v>
      </c>
      <c r="G877" s="1">
        <v>114</v>
      </c>
      <c r="H877" s="1">
        <v>88</v>
      </c>
      <c r="I877" s="1">
        <v>79</v>
      </c>
      <c r="J877" s="1">
        <v>60</v>
      </c>
      <c r="K877" s="1">
        <v>116</v>
      </c>
      <c r="L877" s="1">
        <v>60</v>
      </c>
      <c r="M877" s="1">
        <v>104</v>
      </c>
      <c r="N877" s="1">
        <v>35</v>
      </c>
      <c r="O877" s="1">
        <v>116</v>
      </c>
      <c r="P877" s="1">
        <v>114</v>
      </c>
      <c r="Q877" s="1">
        <v>47</v>
      </c>
    </row>
    <row r="878" spans="1:18" ht="15.75" customHeight="1">
      <c r="A878" s="1">
        <v>2020</v>
      </c>
      <c r="B878" s="1">
        <v>107</v>
      </c>
      <c r="C878" s="1" t="s">
        <v>93</v>
      </c>
      <c r="D878" s="1">
        <v>4.8920000000000003</v>
      </c>
      <c r="E878" s="1" t="s">
        <v>571</v>
      </c>
      <c r="F878" s="1">
        <v>104</v>
      </c>
      <c r="G878" s="1">
        <v>69</v>
      </c>
      <c r="H878" s="1">
        <v>108</v>
      </c>
      <c r="I878" s="1">
        <v>73</v>
      </c>
      <c r="J878" s="1">
        <v>105</v>
      </c>
      <c r="K878" s="1">
        <v>66</v>
      </c>
      <c r="L878" s="1">
        <v>54</v>
      </c>
      <c r="M878" s="1">
        <v>101</v>
      </c>
      <c r="N878" s="1">
        <v>105</v>
      </c>
      <c r="O878" s="1">
        <v>30</v>
      </c>
      <c r="P878" s="1">
        <v>15</v>
      </c>
      <c r="Q878" s="1"/>
    </row>
    <row r="879" spans="1:18" ht="15.75" customHeight="1">
      <c r="A879" s="1">
        <v>2020</v>
      </c>
      <c r="B879" s="1">
        <v>108</v>
      </c>
      <c r="C879" s="1" t="s">
        <v>201</v>
      </c>
      <c r="D879" s="1">
        <v>4.891</v>
      </c>
      <c r="E879" s="1">
        <v>0.70399999999999996</v>
      </c>
      <c r="F879" s="1">
        <v>77</v>
      </c>
      <c r="G879" s="1">
        <v>96</v>
      </c>
      <c r="H879" s="1">
        <v>61</v>
      </c>
      <c r="I879" s="1">
        <v>62</v>
      </c>
      <c r="J879" s="1">
        <v>85</v>
      </c>
      <c r="K879" s="1">
        <v>114</v>
      </c>
      <c r="L879" s="1">
        <v>21</v>
      </c>
      <c r="M879" s="1">
        <v>96</v>
      </c>
      <c r="N879" s="1">
        <v>58</v>
      </c>
      <c r="O879" s="1">
        <v>114</v>
      </c>
      <c r="P879" s="1">
        <v>6</v>
      </c>
      <c r="Q879" s="1">
        <v>4</v>
      </c>
    </row>
    <row r="880" spans="1:18" ht="15.75" customHeight="1">
      <c r="A880" s="1">
        <v>2020</v>
      </c>
      <c r="B880" s="1">
        <v>109</v>
      </c>
      <c r="C880" s="1" t="s">
        <v>85</v>
      </c>
      <c r="D880" s="1">
        <v>4.8869999999999996</v>
      </c>
      <c r="E880" s="1" t="s">
        <v>572</v>
      </c>
      <c r="F880" s="1">
        <v>20</v>
      </c>
      <c r="G880" s="1">
        <v>52</v>
      </c>
      <c r="H880" s="1">
        <v>69</v>
      </c>
      <c r="I880" s="1">
        <v>63</v>
      </c>
      <c r="J880" s="1">
        <v>111</v>
      </c>
      <c r="K880" s="1">
        <v>99</v>
      </c>
      <c r="L880" s="1">
        <v>36</v>
      </c>
      <c r="M880" s="1">
        <v>107</v>
      </c>
      <c r="N880" s="1">
        <v>65</v>
      </c>
      <c r="O880" s="1">
        <v>99</v>
      </c>
      <c r="P880" s="1">
        <v>55</v>
      </c>
      <c r="Q880" s="1">
        <v>46</v>
      </c>
    </row>
    <row r="881" spans="1:18" ht="15.75" customHeight="1">
      <c r="A881" s="1">
        <v>2020</v>
      </c>
      <c r="B881" s="1">
        <v>110</v>
      </c>
      <c r="C881" s="1" t="s">
        <v>195</v>
      </c>
      <c r="D881" s="1">
        <v>4.875</v>
      </c>
      <c r="E881" s="1" t="s">
        <v>573</v>
      </c>
      <c r="F881" s="1">
        <v>67</v>
      </c>
      <c r="G881" s="1">
        <v>47</v>
      </c>
      <c r="H881" s="1">
        <v>60</v>
      </c>
      <c r="I881" s="1">
        <v>75</v>
      </c>
      <c r="J881" s="1">
        <v>71</v>
      </c>
      <c r="K881" s="1">
        <v>28</v>
      </c>
      <c r="L881" s="1">
        <v>109</v>
      </c>
      <c r="M881" s="1">
        <v>78</v>
      </c>
      <c r="N881" s="1">
        <v>49</v>
      </c>
      <c r="O881" s="1">
        <v>28</v>
      </c>
      <c r="P881" s="1">
        <v>46</v>
      </c>
      <c r="Q881" s="1">
        <v>23</v>
      </c>
    </row>
    <row r="882" spans="1:18" ht="15.75" customHeight="1">
      <c r="A882" s="1">
        <v>2020</v>
      </c>
      <c r="B882" s="1">
        <v>111</v>
      </c>
      <c r="C882" s="1" t="s">
        <v>179</v>
      </c>
      <c r="D882" s="1">
        <v>4.8540000000000001</v>
      </c>
      <c r="E882" s="1">
        <v>3.6999999999999998E-2</v>
      </c>
      <c r="F882" s="1">
        <v>103</v>
      </c>
      <c r="G882" s="1">
        <v>100</v>
      </c>
      <c r="H882" s="1">
        <v>74</v>
      </c>
      <c r="I882" s="1">
        <v>91</v>
      </c>
      <c r="J882" s="1">
        <v>101</v>
      </c>
      <c r="K882" s="1">
        <v>68</v>
      </c>
      <c r="L882" s="1">
        <v>84</v>
      </c>
      <c r="M882" s="1">
        <v>91</v>
      </c>
      <c r="N882" s="1">
        <v>115</v>
      </c>
      <c r="O882" s="1">
        <v>68</v>
      </c>
      <c r="P882" s="1">
        <v>82</v>
      </c>
      <c r="Q882" s="1">
        <v>3</v>
      </c>
    </row>
    <row r="883" spans="1:18" ht="15.75" customHeight="1">
      <c r="A883" s="1">
        <v>2020</v>
      </c>
      <c r="B883" s="1">
        <v>112</v>
      </c>
      <c r="C883" s="1" t="s">
        <v>306</v>
      </c>
      <c r="D883" s="1">
        <v>4.8520000000000003</v>
      </c>
      <c r="E883" s="1">
        <v>0.73799999999999999</v>
      </c>
      <c r="F883" s="1">
        <v>71</v>
      </c>
      <c r="G883" s="1">
        <v>101</v>
      </c>
      <c r="H883" s="1">
        <v>58</v>
      </c>
      <c r="I883" s="1">
        <v>100</v>
      </c>
      <c r="J883" s="1">
        <v>114</v>
      </c>
      <c r="K883" s="1">
        <v>111</v>
      </c>
      <c r="L883" s="1">
        <v>56</v>
      </c>
      <c r="M883" s="1">
        <v>98</v>
      </c>
      <c r="N883" s="1">
        <v>105</v>
      </c>
      <c r="O883" s="1">
        <v>111</v>
      </c>
      <c r="P883" s="1">
        <v>101</v>
      </c>
      <c r="Q883" s="1">
        <v>66</v>
      </c>
    </row>
    <row r="884" spans="1:18" ht="15.75" customHeight="1">
      <c r="A884" s="1">
        <v>2020</v>
      </c>
      <c r="B884" s="1">
        <v>113</v>
      </c>
      <c r="C884" s="1" t="s">
        <v>229</v>
      </c>
      <c r="D884" s="1">
        <v>4.8339999999999996</v>
      </c>
      <c r="E884" s="1">
        <v>0.57499999999999996</v>
      </c>
      <c r="F884" s="1">
        <v>106</v>
      </c>
      <c r="G884" s="1">
        <v>105</v>
      </c>
      <c r="H884" s="1">
        <v>113</v>
      </c>
      <c r="I884" s="1">
        <v>103</v>
      </c>
      <c r="J884" s="1">
        <v>92</v>
      </c>
      <c r="K884" s="1">
        <v>52</v>
      </c>
      <c r="L884" s="1">
        <v>62</v>
      </c>
      <c r="M884" s="1">
        <v>88</v>
      </c>
      <c r="N884" s="1">
        <v>98</v>
      </c>
      <c r="O884" s="1">
        <v>52</v>
      </c>
      <c r="P884" s="1">
        <v>18</v>
      </c>
      <c r="Q884" s="1">
        <v>18</v>
      </c>
    </row>
    <row r="885" spans="1:18" ht="15.75" customHeight="1">
      <c r="A885" s="1">
        <v>2020</v>
      </c>
      <c r="B885" s="1">
        <v>114</v>
      </c>
      <c r="C885" s="1" t="s">
        <v>221</v>
      </c>
      <c r="D885" s="1">
        <v>4.83</v>
      </c>
      <c r="E885" s="1">
        <v>0.76300000000000001</v>
      </c>
      <c r="F885" s="1">
        <v>46</v>
      </c>
      <c r="G885" s="1">
        <v>93</v>
      </c>
      <c r="H885" s="1">
        <v>95</v>
      </c>
      <c r="I885" s="1">
        <v>84</v>
      </c>
      <c r="J885" s="1">
        <v>2</v>
      </c>
      <c r="K885" s="1">
        <v>65</v>
      </c>
      <c r="L885" s="1">
        <v>87</v>
      </c>
      <c r="M885" s="1">
        <v>8</v>
      </c>
      <c r="N885" s="1">
        <v>100</v>
      </c>
      <c r="O885" s="1">
        <v>65</v>
      </c>
      <c r="P885" s="1">
        <v>83</v>
      </c>
      <c r="Q885" s="1">
        <v>89</v>
      </c>
    </row>
    <row r="886" spans="1:18" ht="15.75" customHeight="1">
      <c r="A886" s="1">
        <v>2020</v>
      </c>
      <c r="B886" s="12">
        <v>115</v>
      </c>
      <c r="C886" s="13" t="s">
        <v>252</v>
      </c>
      <c r="D886" s="5">
        <v>4.7939999999999996</v>
      </c>
      <c r="E886" s="9" t="s">
        <v>574</v>
      </c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</row>
    <row r="887" spans="1:18" ht="15.75" customHeight="1">
      <c r="A887" s="1">
        <v>2020</v>
      </c>
      <c r="B887" s="12">
        <v>116</v>
      </c>
      <c r="C887" s="8" t="s">
        <v>575</v>
      </c>
      <c r="D887" s="5">
        <v>4.7590000000000003</v>
      </c>
      <c r="E887" s="9" t="s">
        <v>576</v>
      </c>
      <c r="F887" s="6">
        <v>78</v>
      </c>
      <c r="G887" s="6">
        <v>91</v>
      </c>
      <c r="H887" s="6">
        <v>99</v>
      </c>
      <c r="I887" s="10">
        <v>106</v>
      </c>
      <c r="J887" s="6">
        <v>97</v>
      </c>
      <c r="K887" s="6">
        <v>45</v>
      </c>
      <c r="L887" s="6">
        <v>102</v>
      </c>
      <c r="M887" s="6">
        <v>27</v>
      </c>
      <c r="N887" s="6">
        <v>69</v>
      </c>
      <c r="O887" s="6">
        <v>45</v>
      </c>
      <c r="P887" s="6">
        <v>4</v>
      </c>
      <c r="Q887" s="6">
        <v>1</v>
      </c>
    </row>
    <row r="888" spans="1:18" ht="15.75" customHeight="1">
      <c r="A888" s="1">
        <v>2020</v>
      </c>
      <c r="B888" s="1">
        <v>117</v>
      </c>
      <c r="C888" s="1" t="s">
        <v>311</v>
      </c>
      <c r="D888" s="1">
        <v>4.7229999999999999</v>
      </c>
      <c r="E888" s="1">
        <v>0.47599999999999998</v>
      </c>
      <c r="F888" s="1">
        <v>112</v>
      </c>
      <c r="G888" s="1">
        <v>113</v>
      </c>
      <c r="H888" s="1">
        <v>114</v>
      </c>
      <c r="I888" s="1">
        <v>109</v>
      </c>
      <c r="J888" s="1">
        <v>106</v>
      </c>
      <c r="K888" s="1">
        <v>113</v>
      </c>
      <c r="L888" s="1">
        <v>96</v>
      </c>
      <c r="M888" s="1">
        <v>76</v>
      </c>
      <c r="N888" s="1">
        <v>109</v>
      </c>
      <c r="O888" s="1">
        <v>113</v>
      </c>
      <c r="P888" s="1">
        <v>24</v>
      </c>
      <c r="Q888" s="1">
        <v>57</v>
      </c>
    </row>
    <row r="889" spans="1:18" ht="15.75" customHeight="1">
      <c r="A889" s="1">
        <v>2020</v>
      </c>
      <c r="B889" s="1">
        <v>118</v>
      </c>
      <c r="C889" s="1" t="s">
        <v>169</v>
      </c>
      <c r="D889" s="1">
        <v>4.7210000000000001</v>
      </c>
      <c r="E889" s="1">
        <v>7.8E-2</v>
      </c>
      <c r="F889" s="1">
        <v>80</v>
      </c>
      <c r="G889" s="1">
        <v>84</v>
      </c>
      <c r="H889" s="1">
        <v>68</v>
      </c>
      <c r="I889" s="1">
        <v>59</v>
      </c>
      <c r="J889" s="1">
        <v>109</v>
      </c>
      <c r="K889" s="1">
        <v>23</v>
      </c>
      <c r="L889" s="1">
        <v>34</v>
      </c>
      <c r="M889" s="1">
        <v>110</v>
      </c>
      <c r="N889" s="1">
        <v>112</v>
      </c>
      <c r="O889" s="1">
        <v>23</v>
      </c>
      <c r="P889" s="1">
        <v>94</v>
      </c>
      <c r="Q889" s="1">
        <v>40</v>
      </c>
    </row>
    <row r="890" spans="1:18" ht="15.75" customHeight="1">
      <c r="A890" s="1">
        <v>2020</v>
      </c>
      <c r="B890" s="1">
        <v>119</v>
      </c>
      <c r="C890" s="1" t="s">
        <v>231</v>
      </c>
      <c r="D890" s="1">
        <v>4.6360000000000001</v>
      </c>
      <c r="E890" s="1">
        <v>0.193</v>
      </c>
      <c r="F890" s="1">
        <v>97</v>
      </c>
      <c r="G890" s="1">
        <v>72</v>
      </c>
      <c r="H890" s="1">
        <v>111</v>
      </c>
      <c r="I890" s="1">
        <v>98</v>
      </c>
      <c r="J890" s="1">
        <v>102</v>
      </c>
      <c r="K890" s="1">
        <v>48</v>
      </c>
      <c r="L890" s="1">
        <v>92</v>
      </c>
      <c r="M890" s="1">
        <v>43</v>
      </c>
      <c r="N890" s="1">
        <v>106</v>
      </c>
      <c r="O890" s="1">
        <v>48</v>
      </c>
      <c r="P890" s="1">
        <v>10</v>
      </c>
      <c r="Q890" s="1">
        <v>7</v>
      </c>
    </row>
    <row r="891" spans="1:18" ht="15.75" customHeight="1">
      <c r="A891" s="1">
        <v>2020</v>
      </c>
      <c r="B891" s="1">
        <v>120</v>
      </c>
      <c r="C891" s="1" t="s">
        <v>238</v>
      </c>
      <c r="D891" s="1">
        <v>4.625</v>
      </c>
      <c r="E891" s="1">
        <v>0.42899999999999999</v>
      </c>
      <c r="F891" s="1"/>
      <c r="G891" s="1"/>
      <c r="H891" s="1"/>
      <c r="I891" s="1"/>
      <c r="J891" s="1"/>
      <c r="K891" s="1"/>
      <c r="L891" s="1"/>
      <c r="M891" s="1"/>
      <c r="N891" s="1"/>
      <c r="Q891" s="1"/>
      <c r="R891" s="1"/>
    </row>
    <row r="892" spans="1:18" ht="15.75" customHeight="1">
      <c r="A892" s="1">
        <v>2020</v>
      </c>
      <c r="B892" s="1">
        <v>121</v>
      </c>
      <c r="C892" s="1" t="s">
        <v>193</v>
      </c>
      <c r="D892" s="1">
        <v>4.6070000000000002</v>
      </c>
      <c r="E892" s="1">
        <v>0.20399999999999999</v>
      </c>
      <c r="F892" s="1">
        <v>91</v>
      </c>
      <c r="G892" s="1">
        <v>103</v>
      </c>
      <c r="H892" s="1">
        <v>101</v>
      </c>
      <c r="I892" s="1">
        <v>96</v>
      </c>
      <c r="J892" s="1">
        <v>100</v>
      </c>
      <c r="K892" s="1">
        <v>14</v>
      </c>
      <c r="L892" s="1">
        <v>78</v>
      </c>
      <c r="M892" s="1">
        <v>25</v>
      </c>
      <c r="N892" s="1">
        <v>61</v>
      </c>
      <c r="O892" s="1">
        <v>14</v>
      </c>
      <c r="P892" s="1">
        <v>3</v>
      </c>
      <c r="Q892" s="1">
        <v>6</v>
      </c>
    </row>
    <row r="893" spans="1:18" ht="15.75" customHeight="1">
      <c r="A893" s="1">
        <v>2020</v>
      </c>
      <c r="B893" s="1">
        <v>122</v>
      </c>
      <c r="C893" s="1" t="s">
        <v>159</v>
      </c>
      <c r="D893" s="1">
        <v>4.5960000000000001</v>
      </c>
      <c r="E893" s="1" t="s">
        <v>338</v>
      </c>
      <c r="F893" s="1">
        <v>90</v>
      </c>
      <c r="G893" s="1">
        <v>95</v>
      </c>
      <c r="H893" s="1">
        <v>78</v>
      </c>
      <c r="I893" s="1">
        <v>42</v>
      </c>
      <c r="J893" s="1">
        <v>104</v>
      </c>
      <c r="K893" s="1">
        <v>115</v>
      </c>
      <c r="L893" s="1">
        <v>90</v>
      </c>
      <c r="M893" s="1">
        <v>109</v>
      </c>
      <c r="N893" s="1">
        <v>108</v>
      </c>
      <c r="O893" s="1">
        <v>115</v>
      </c>
      <c r="P893" s="1">
        <v>92</v>
      </c>
      <c r="Q893" s="1">
        <v>17</v>
      </c>
    </row>
    <row r="894" spans="1:18" ht="15.75" customHeight="1">
      <c r="A894" s="1">
        <v>2020</v>
      </c>
      <c r="B894" s="1">
        <v>123</v>
      </c>
      <c r="C894" s="1" t="s">
        <v>154</v>
      </c>
      <c r="D894" s="1">
        <v>4.5839999999999996</v>
      </c>
      <c r="E894" s="1" t="s">
        <v>510</v>
      </c>
      <c r="F894" s="1">
        <v>60</v>
      </c>
      <c r="G894" s="1">
        <v>115</v>
      </c>
      <c r="H894" s="1">
        <v>75</v>
      </c>
      <c r="I894" s="1">
        <v>48</v>
      </c>
      <c r="J894" s="1">
        <v>113</v>
      </c>
      <c r="K894" s="1">
        <v>97</v>
      </c>
      <c r="L894" s="1">
        <v>94</v>
      </c>
      <c r="M894" s="1">
        <v>114</v>
      </c>
      <c r="N894" s="1">
        <v>114</v>
      </c>
      <c r="O894" s="1">
        <v>97</v>
      </c>
      <c r="P894" s="1">
        <v>107</v>
      </c>
      <c r="Q894" s="1">
        <v>86</v>
      </c>
    </row>
    <row r="895" spans="1:18" ht="15.75" customHeight="1">
      <c r="A895" s="1">
        <v>2020</v>
      </c>
      <c r="B895" s="1">
        <v>124</v>
      </c>
      <c r="C895" s="1" t="s">
        <v>181</v>
      </c>
      <c r="D895" s="1">
        <v>4.5739999999999998</v>
      </c>
      <c r="E895" s="1">
        <v>113</v>
      </c>
      <c r="F895" s="1">
        <v>88</v>
      </c>
      <c r="G895" s="1">
        <v>82</v>
      </c>
      <c r="H895" s="1">
        <v>105</v>
      </c>
      <c r="I895" s="1">
        <v>102</v>
      </c>
      <c r="J895" s="1">
        <v>98</v>
      </c>
      <c r="K895" s="1">
        <v>65</v>
      </c>
      <c r="L895" s="1">
        <v>75</v>
      </c>
      <c r="M895" s="1">
        <v>30</v>
      </c>
      <c r="N895" s="1">
        <v>98</v>
      </c>
      <c r="O895" s="1">
        <v>25</v>
      </c>
      <c r="P895" s="1">
        <v>13</v>
      </c>
    </row>
    <row r="896" spans="1:18" ht="15.75" customHeight="1">
      <c r="A896" s="1">
        <v>2020</v>
      </c>
      <c r="B896" s="1">
        <v>125</v>
      </c>
      <c r="C896" s="1" t="s">
        <v>173</v>
      </c>
      <c r="D896" s="1">
        <v>4.5170000000000003</v>
      </c>
      <c r="E896" s="1" t="s">
        <v>60</v>
      </c>
      <c r="F896" s="1"/>
      <c r="G896" s="1"/>
      <c r="H896" s="1"/>
      <c r="I896" s="1"/>
      <c r="J896" s="1"/>
      <c r="K896" s="1"/>
      <c r="L896" s="1"/>
      <c r="M896" s="1"/>
      <c r="O896" s="1"/>
      <c r="P896" s="1"/>
      <c r="Q896" s="1"/>
      <c r="R896" s="1"/>
    </row>
    <row r="897" spans="1:18" ht="15.75" customHeight="1">
      <c r="A897" s="1">
        <v>2020</v>
      </c>
      <c r="B897" s="1">
        <v>126</v>
      </c>
      <c r="C897" s="1" t="s">
        <v>190</v>
      </c>
      <c r="D897" s="1">
        <v>4.4260000000000002</v>
      </c>
      <c r="E897" s="1" t="s">
        <v>494</v>
      </c>
      <c r="F897" s="1">
        <v>69</v>
      </c>
      <c r="G897" s="1">
        <v>75</v>
      </c>
      <c r="H897" s="1">
        <v>96</v>
      </c>
      <c r="I897" s="1">
        <v>89</v>
      </c>
      <c r="J897" s="1">
        <v>54</v>
      </c>
      <c r="K897" s="1">
        <v>2</v>
      </c>
      <c r="L897" s="1">
        <v>29</v>
      </c>
      <c r="M897" s="1">
        <v>46</v>
      </c>
      <c r="N897" s="1">
        <v>54</v>
      </c>
      <c r="O897" s="1">
        <v>2</v>
      </c>
      <c r="P897" s="1">
        <v>12</v>
      </c>
      <c r="Q897" s="1">
        <v>78</v>
      </c>
    </row>
    <row r="898" spans="1:18" ht="15.75" customHeight="1">
      <c r="A898" s="1">
        <v>2020</v>
      </c>
      <c r="B898" s="1">
        <v>127</v>
      </c>
      <c r="C898" s="1" t="s">
        <v>138</v>
      </c>
      <c r="D898" s="1">
        <v>4.3949999999999996</v>
      </c>
      <c r="E898" s="1" t="s">
        <v>577</v>
      </c>
      <c r="F898" s="1">
        <v>102</v>
      </c>
      <c r="G898" s="1">
        <v>99</v>
      </c>
      <c r="H898" s="1">
        <v>84</v>
      </c>
      <c r="I898" s="1">
        <v>39</v>
      </c>
      <c r="J898" s="1">
        <v>75</v>
      </c>
      <c r="K898" s="1">
        <v>106</v>
      </c>
      <c r="L898" s="1">
        <v>106</v>
      </c>
      <c r="M898" s="1">
        <v>116</v>
      </c>
      <c r="N898" s="1">
        <v>44</v>
      </c>
      <c r="O898" s="1"/>
      <c r="P898" s="1"/>
      <c r="R898" s="1"/>
    </row>
    <row r="899" spans="1:18" ht="15.75" customHeight="1">
      <c r="A899" s="1">
        <v>2020</v>
      </c>
      <c r="B899" s="1">
        <v>128</v>
      </c>
      <c r="C899" s="1" t="s">
        <v>227</v>
      </c>
      <c r="D899" s="1">
        <v>4.3550000000000004</v>
      </c>
      <c r="E899" s="1">
        <v>0.29899999999999999</v>
      </c>
      <c r="F899" s="1"/>
      <c r="G899" s="1"/>
      <c r="H899" s="1"/>
      <c r="I899" s="1"/>
      <c r="J899" s="1"/>
      <c r="K899" s="1"/>
      <c r="L899" s="1"/>
      <c r="M899" s="1"/>
      <c r="N899" s="1"/>
      <c r="Q899" s="1"/>
      <c r="R899" s="1"/>
    </row>
    <row r="900" spans="1:18" ht="15.75" customHeight="1">
      <c r="A900" s="1">
        <v>2020</v>
      </c>
      <c r="B900" s="1">
        <v>129</v>
      </c>
      <c r="C900" s="1" t="s">
        <v>187</v>
      </c>
      <c r="D900" s="1">
        <v>4.3250000000000002</v>
      </c>
      <c r="E900" s="1">
        <v>0.17399999999999999</v>
      </c>
      <c r="F900" s="1">
        <v>62</v>
      </c>
      <c r="G900" s="1">
        <v>59</v>
      </c>
      <c r="H900" s="1">
        <v>70</v>
      </c>
      <c r="I900" s="1">
        <v>24</v>
      </c>
      <c r="J900" s="1">
        <v>65</v>
      </c>
      <c r="K900" s="1">
        <v>70</v>
      </c>
      <c r="L900" s="1">
        <v>46</v>
      </c>
      <c r="M900" s="1">
        <v>15</v>
      </c>
      <c r="N900" s="1">
        <v>50</v>
      </c>
      <c r="O900" s="1">
        <v>70</v>
      </c>
      <c r="P900" s="1">
        <v>20</v>
      </c>
      <c r="Q900" s="1">
        <v>82</v>
      </c>
    </row>
    <row r="901" spans="1:18" ht="15.75" customHeight="1">
      <c r="A901" s="1">
        <v>2020</v>
      </c>
      <c r="B901" s="1">
        <v>130</v>
      </c>
      <c r="C901" s="1" t="s">
        <v>453</v>
      </c>
      <c r="D901" s="1">
        <v>4.3079999999999998</v>
      </c>
      <c r="E901" s="1" t="s">
        <v>516</v>
      </c>
      <c r="F901" s="1"/>
      <c r="G901" s="1"/>
      <c r="H901" s="1"/>
      <c r="I901" s="1"/>
      <c r="J901" s="1"/>
      <c r="K901" s="1"/>
      <c r="L901" s="1"/>
      <c r="M901" s="1"/>
      <c r="N901" s="1"/>
      <c r="Q901" s="1"/>
      <c r="R901" s="1"/>
    </row>
    <row r="902" spans="1:18" ht="15.75" customHeight="1">
      <c r="A902" s="1">
        <v>2020</v>
      </c>
      <c r="B902" s="1">
        <v>131</v>
      </c>
      <c r="C902" s="1" t="s">
        <v>219</v>
      </c>
      <c r="D902" s="1">
        <v>4.2889999999999997</v>
      </c>
      <c r="E902" s="1">
        <v>0.438</v>
      </c>
      <c r="F902" s="1"/>
      <c r="G902" s="1"/>
      <c r="H902" s="1"/>
      <c r="I902" s="1"/>
      <c r="J902" s="1"/>
      <c r="K902" s="1"/>
      <c r="L902" s="1"/>
      <c r="M902" s="1"/>
      <c r="O902" s="1"/>
      <c r="P902" s="1"/>
      <c r="Q902" s="1"/>
      <c r="R902" s="1"/>
    </row>
    <row r="903" spans="1:18" ht="15.75" customHeight="1">
      <c r="A903" s="1">
        <v>2020</v>
      </c>
      <c r="B903" s="1">
        <v>132</v>
      </c>
      <c r="C903" s="1" t="s">
        <v>191</v>
      </c>
      <c r="D903" s="1">
        <v>4.2830000000000004</v>
      </c>
      <c r="E903" s="1">
        <v>0.01</v>
      </c>
      <c r="F903" s="1">
        <v>111</v>
      </c>
      <c r="G903" s="1">
        <v>104</v>
      </c>
      <c r="H903" s="1">
        <v>64</v>
      </c>
      <c r="I903" s="1">
        <v>86</v>
      </c>
      <c r="J903" s="1">
        <v>80</v>
      </c>
      <c r="K903" s="1">
        <v>95</v>
      </c>
      <c r="L903" s="1">
        <v>105</v>
      </c>
      <c r="M903" s="1">
        <v>111</v>
      </c>
      <c r="N903" s="1">
        <v>95</v>
      </c>
      <c r="O903" s="1">
        <v>103</v>
      </c>
      <c r="P903" s="1">
        <v>9</v>
      </c>
      <c r="Q903" s="1"/>
    </row>
    <row r="904" spans="1:18" ht="15.75" customHeight="1">
      <c r="A904" s="1">
        <v>2020</v>
      </c>
      <c r="B904" s="1">
        <v>133</v>
      </c>
      <c r="C904" s="1" t="s">
        <v>183</v>
      </c>
      <c r="D904" s="1">
        <v>4.2750000000000004</v>
      </c>
      <c r="E904" s="1" t="s">
        <v>77</v>
      </c>
      <c r="F904" s="1">
        <v>89</v>
      </c>
      <c r="G904" s="1">
        <v>63</v>
      </c>
      <c r="H904" s="1">
        <v>112</v>
      </c>
      <c r="I904" s="1">
        <v>92</v>
      </c>
      <c r="J904" s="1">
        <v>81</v>
      </c>
      <c r="K904" s="1">
        <v>34</v>
      </c>
      <c r="L904" s="1">
        <v>53</v>
      </c>
      <c r="M904" s="1">
        <v>85</v>
      </c>
      <c r="N904" s="1">
        <v>32</v>
      </c>
      <c r="O904" s="1">
        <v>34</v>
      </c>
      <c r="P904" s="1">
        <v>15</v>
      </c>
      <c r="Q904" s="1">
        <v>24</v>
      </c>
    </row>
    <row r="905" spans="1:18" ht="15.75" customHeight="1">
      <c r="A905" s="1">
        <v>2020</v>
      </c>
      <c r="B905" s="12">
        <v>134</v>
      </c>
      <c r="C905" s="8" t="s">
        <v>578</v>
      </c>
      <c r="D905" s="5">
        <v>4.2270000000000003</v>
      </c>
      <c r="E905" s="9" t="s">
        <v>579</v>
      </c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</row>
    <row r="906" spans="1:18" ht="15.75" customHeight="1">
      <c r="A906" s="1">
        <v>2020</v>
      </c>
      <c r="B906" s="12">
        <v>135</v>
      </c>
      <c r="C906" s="8" t="s">
        <v>580</v>
      </c>
      <c r="D906" s="5">
        <v>4.2080000000000002</v>
      </c>
      <c r="E906" s="6">
        <v>0.24199999999999999</v>
      </c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</row>
    <row r="907" spans="1:18" ht="15.75" customHeight="1">
      <c r="A907" s="1">
        <v>2020</v>
      </c>
      <c r="B907" s="1">
        <v>136</v>
      </c>
      <c r="C907" s="1" t="s">
        <v>247</v>
      </c>
      <c r="D907" s="1">
        <v>4.1070000000000002</v>
      </c>
      <c r="E907" s="1">
        <v>1.171</v>
      </c>
      <c r="F907" s="1"/>
      <c r="G907" s="1"/>
      <c r="H907" s="1"/>
      <c r="I907" s="1"/>
      <c r="J907" s="1"/>
      <c r="K907" s="1"/>
      <c r="L907" s="1"/>
      <c r="M907" s="1"/>
      <c r="N907" s="1"/>
      <c r="Q907" s="1"/>
      <c r="R907" s="1"/>
    </row>
    <row r="908" spans="1:18" ht="15.75" customHeight="1">
      <c r="A908" s="1">
        <v>2020</v>
      </c>
      <c r="B908" s="1">
        <v>137</v>
      </c>
      <c r="C908" s="1" t="s">
        <v>170</v>
      </c>
      <c r="D908" s="1">
        <v>4.0730000000000004</v>
      </c>
      <c r="E908" s="1" t="s">
        <v>581</v>
      </c>
      <c r="F908" s="1">
        <v>115</v>
      </c>
      <c r="G908" s="1">
        <v>82</v>
      </c>
      <c r="H908" s="1">
        <v>108</v>
      </c>
      <c r="I908" s="1">
        <v>108</v>
      </c>
      <c r="J908" s="1">
        <v>91</v>
      </c>
      <c r="K908" s="1">
        <v>67</v>
      </c>
      <c r="L908" s="1">
        <v>64</v>
      </c>
      <c r="M908" s="1">
        <v>58</v>
      </c>
      <c r="N908" s="1">
        <v>85</v>
      </c>
      <c r="O908" s="1">
        <v>67</v>
      </c>
      <c r="P908" s="1">
        <v>16</v>
      </c>
      <c r="Q908" s="1">
        <v>5</v>
      </c>
    </row>
    <row r="909" spans="1:18" ht="15.75" customHeight="1">
      <c r="A909" s="1">
        <v>2020</v>
      </c>
      <c r="B909" s="1">
        <v>138</v>
      </c>
      <c r="C909" s="1" t="s">
        <v>178</v>
      </c>
      <c r="D909" s="1">
        <v>3.8490000000000002</v>
      </c>
      <c r="E909" s="1" t="s">
        <v>582</v>
      </c>
      <c r="F909" s="1"/>
      <c r="G909" s="1"/>
      <c r="H909" s="1"/>
      <c r="I909" s="1"/>
      <c r="J909" s="1"/>
      <c r="K909" s="1"/>
      <c r="L909" s="1"/>
      <c r="M909" s="1"/>
      <c r="N909" s="1"/>
      <c r="Q909" s="1"/>
      <c r="R909" s="1"/>
    </row>
    <row r="910" spans="1:18" ht="15.75" customHeight="1">
      <c r="A910" s="1">
        <v>2020</v>
      </c>
      <c r="B910" s="1">
        <v>139</v>
      </c>
      <c r="C910" s="1" t="s">
        <v>188</v>
      </c>
      <c r="D910" s="1">
        <v>3.819</v>
      </c>
      <c r="E910" s="1" t="s">
        <v>583</v>
      </c>
      <c r="F910" s="1">
        <v>110</v>
      </c>
      <c r="G910" s="1">
        <v>109</v>
      </c>
      <c r="H910" s="1">
        <v>90</v>
      </c>
      <c r="I910" s="1">
        <v>90</v>
      </c>
      <c r="J910" s="1">
        <v>25</v>
      </c>
      <c r="K910" s="1">
        <v>47</v>
      </c>
      <c r="L910" s="1">
        <v>52</v>
      </c>
      <c r="M910" s="1">
        <v>55</v>
      </c>
      <c r="N910" s="1">
        <v>96</v>
      </c>
      <c r="O910" s="1">
        <v>47</v>
      </c>
      <c r="P910" s="1">
        <v>13</v>
      </c>
      <c r="Q910" s="1">
        <v>49</v>
      </c>
    </row>
    <row r="911" spans="1:18" ht="15.75" customHeight="1">
      <c r="A911" s="1">
        <v>2020</v>
      </c>
      <c r="B911" s="1">
        <v>140</v>
      </c>
      <c r="C911" s="1" t="s">
        <v>250</v>
      </c>
      <c r="D911" s="1">
        <v>3.7749999999999999</v>
      </c>
      <c r="E911" s="1">
        <v>6.9000000000000006E-2</v>
      </c>
      <c r="F911" s="1"/>
      <c r="G911" s="1"/>
      <c r="H911" s="1"/>
      <c r="I911" s="1"/>
      <c r="J911" s="1"/>
      <c r="K911" s="1"/>
      <c r="L911" s="1"/>
      <c r="M911" s="1"/>
      <c r="N911" s="1"/>
      <c r="Q911" s="1"/>
      <c r="R911" s="1"/>
    </row>
    <row r="912" spans="1:18" ht="15.75" customHeight="1">
      <c r="A912" s="1">
        <v>2020</v>
      </c>
      <c r="B912" s="1">
        <v>141</v>
      </c>
      <c r="C912" s="1" t="s">
        <v>233</v>
      </c>
      <c r="D912" s="1">
        <v>3.6579999999999999</v>
      </c>
      <c r="E912" s="1" t="s">
        <v>584</v>
      </c>
      <c r="F912" s="1"/>
      <c r="G912" s="1"/>
      <c r="H912" s="1"/>
      <c r="I912" s="1"/>
      <c r="J912" s="1"/>
      <c r="K912" s="1"/>
      <c r="L912" s="1"/>
      <c r="M912" s="1"/>
      <c r="O912" s="1"/>
      <c r="P912" s="1"/>
      <c r="Q912" s="1"/>
      <c r="R912" s="1"/>
    </row>
    <row r="913" spans="1:18" ht="15.75" customHeight="1">
      <c r="A913" s="1">
        <v>2020</v>
      </c>
      <c r="B913" s="1">
        <v>142</v>
      </c>
      <c r="C913" s="1" t="s">
        <v>236</v>
      </c>
      <c r="D913" s="1">
        <v>3.6230000000000002</v>
      </c>
      <c r="E913" s="1" t="s">
        <v>511</v>
      </c>
      <c r="F913" s="1">
        <v>100</v>
      </c>
      <c r="G913" s="1">
        <v>89</v>
      </c>
      <c r="H913" s="1">
        <v>107</v>
      </c>
      <c r="I913" s="1">
        <v>95</v>
      </c>
      <c r="J913" s="1">
        <v>52</v>
      </c>
      <c r="K913" s="1">
        <v>13</v>
      </c>
      <c r="L913" s="1">
        <v>17</v>
      </c>
      <c r="M913" s="1">
        <v>68</v>
      </c>
      <c r="N913" s="1">
        <v>45</v>
      </c>
      <c r="O913" s="1">
        <v>13</v>
      </c>
      <c r="P913" s="1">
        <v>61</v>
      </c>
      <c r="Q913" s="1">
        <v>69</v>
      </c>
    </row>
    <row r="914" spans="1:18" ht="15.75" customHeight="1">
      <c r="A914" s="1">
        <v>2020</v>
      </c>
      <c r="B914" s="1">
        <v>143</v>
      </c>
      <c r="C914" s="1" t="s">
        <v>216</v>
      </c>
      <c r="D914" s="1">
        <v>3.6150000000000002</v>
      </c>
      <c r="E914" s="1" t="s">
        <v>585</v>
      </c>
      <c r="F914" s="1"/>
      <c r="G914" s="1"/>
      <c r="H914" s="1"/>
      <c r="I914" s="1"/>
      <c r="J914" s="1"/>
      <c r="K914" s="1"/>
      <c r="L914" s="1"/>
      <c r="M914" s="1"/>
      <c r="O914" s="1"/>
      <c r="P914" s="1"/>
      <c r="Q914" s="1"/>
      <c r="R914" s="1"/>
    </row>
    <row r="915" spans="1:18" ht="15.75" customHeight="1">
      <c r="A915" s="1">
        <v>2020</v>
      </c>
      <c r="B915" s="1">
        <v>144</v>
      </c>
      <c r="C915" s="1" t="s">
        <v>210</v>
      </c>
      <c r="D915" s="1">
        <v>3.6</v>
      </c>
      <c r="E915" s="1" t="s">
        <v>586</v>
      </c>
      <c r="F915" s="1"/>
      <c r="G915" s="1"/>
      <c r="H915" s="1"/>
      <c r="I915" s="1"/>
      <c r="J915" s="1"/>
      <c r="K915" s="1"/>
      <c r="L915" s="1"/>
      <c r="M915" s="1"/>
      <c r="N915" s="1"/>
      <c r="Q915" s="1"/>
      <c r="R915" s="1"/>
    </row>
    <row r="916" spans="1:18" ht="15.75" customHeight="1">
      <c r="A916" s="1">
        <v>2020</v>
      </c>
      <c r="B916" s="1">
        <v>145</v>
      </c>
      <c r="C916" s="1" t="s">
        <v>321</v>
      </c>
      <c r="D916" s="1">
        <v>3.512</v>
      </c>
      <c r="E916" s="1" t="s">
        <v>587</v>
      </c>
      <c r="F916" s="1"/>
      <c r="G916" s="1"/>
      <c r="H916" s="1"/>
      <c r="I916" s="1"/>
      <c r="J916" s="1"/>
      <c r="K916" s="1"/>
      <c r="L916" s="1"/>
      <c r="M916" s="1"/>
      <c r="O916" s="1"/>
      <c r="P916" s="1"/>
      <c r="Q916" s="1"/>
      <c r="R916" s="1"/>
    </row>
    <row r="917" spans="1:18" ht="15.75" customHeight="1">
      <c r="A917" s="1">
        <v>2020</v>
      </c>
      <c r="B917" s="1">
        <v>146</v>
      </c>
      <c r="C917" s="1" t="s">
        <v>218</v>
      </c>
      <c r="D917" s="1">
        <v>3.4670000000000001</v>
      </c>
      <c r="E917" s="1" t="s">
        <v>588</v>
      </c>
      <c r="F917" s="1"/>
      <c r="G917" s="1"/>
      <c r="H917" s="1"/>
      <c r="I917" s="1"/>
      <c r="J917" s="1"/>
      <c r="K917" s="1"/>
      <c r="L917" s="1"/>
      <c r="M917" s="1"/>
      <c r="N917" s="1"/>
      <c r="Q917" s="1"/>
      <c r="R917" s="1"/>
    </row>
    <row r="918" spans="1:18" ht="15.75" customHeight="1">
      <c r="A918" s="1">
        <v>2020</v>
      </c>
      <c r="B918" s="1">
        <v>147</v>
      </c>
      <c r="C918" s="1" t="s">
        <v>242</v>
      </c>
      <c r="D918" s="1">
        <v>3.415</v>
      </c>
      <c r="E918" s="1" t="s">
        <v>589</v>
      </c>
      <c r="F918" s="1"/>
      <c r="G918" s="1"/>
      <c r="H918" s="1"/>
      <c r="I918" s="1"/>
      <c r="J918" s="1"/>
      <c r="K918" s="1"/>
      <c r="L918" s="1"/>
      <c r="M918" s="1"/>
      <c r="O918" s="1"/>
      <c r="P918" s="1"/>
      <c r="Q918" s="1"/>
      <c r="R918" s="1"/>
    </row>
    <row r="919" spans="1:18" ht="15.75" customHeight="1">
      <c r="A919" s="1">
        <v>2020</v>
      </c>
      <c r="B919" s="1">
        <v>148</v>
      </c>
      <c r="C919" s="1" t="s">
        <v>208</v>
      </c>
      <c r="D919" s="1">
        <v>3.145</v>
      </c>
      <c r="E919" s="1" t="s">
        <v>590</v>
      </c>
      <c r="F919" s="1">
        <v>74</v>
      </c>
      <c r="G919" s="1">
        <v>97</v>
      </c>
      <c r="H919" s="1">
        <v>110</v>
      </c>
      <c r="I919" s="1">
        <v>111</v>
      </c>
      <c r="J919" s="1">
        <v>107</v>
      </c>
      <c r="K919" s="1">
        <v>96</v>
      </c>
      <c r="L919" s="1">
        <v>55</v>
      </c>
      <c r="M919" s="1">
        <v>71</v>
      </c>
      <c r="N919" s="1">
        <v>86</v>
      </c>
      <c r="O919" s="1">
        <v>96</v>
      </c>
      <c r="P919" s="1">
        <v>19</v>
      </c>
      <c r="Q919" s="1">
        <v>26</v>
      </c>
    </row>
    <row r="920" spans="1:18" ht="15.75" customHeight="1">
      <c r="A920" s="1">
        <v>2020</v>
      </c>
      <c r="B920" s="1">
        <v>149</v>
      </c>
      <c r="C920" s="1" t="s">
        <v>245</v>
      </c>
      <c r="D920" s="1">
        <v>2.5230000000000001</v>
      </c>
      <c r="E920" s="1" t="s">
        <v>591</v>
      </c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spans="1:18" ht="15.75" customHeight="1">
      <c r="A921" s="1">
        <v>2021</v>
      </c>
      <c r="B921" s="1">
        <v>1</v>
      </c>
      <c r="C921" s="1" t="s">
        <v>37</v>
      </c>
      <c r="D921" s="1">
        <v>7.8209999999999997</v>
      </c>
      <c r="E921" s="1">
        <v>0.432</v>
      </c>
      <c r="F921" s="1">
        <v>3</v>
      </c>
      <c r="G921" s="1">
        <v>2</v>
      </c>
      <c r="H921" s="1">
        <v>16</v>
      </c>
      <c r="I921" s="1">
        <v>18</v>
      </c>
      <c r="J921" s="1">
        <v>2</v>
      </c>
      <c r="K921" s="1">
        <v>47</v>
      </c>
      <c r="L921" s="1">
        <v>4</v>
      </c>
      <c r="M921" s="1">
        <v>20</v>
      </c>
      <c r="N921" s="1">
        <v>8</v>
      </c>
      <c r="O921" s="1">
        <v>47</v>
      </c>
      <c r="P921" s="1">
        <v>65</v>
      </c>
      <c r="Q921" s="1">
        <v>96</v>
      </c>
    </row>
    <row r="922" spans="1:18" ht="15.75" customHeight="1">
      <c r="A922" s="1">
        <v>2021</v>
      </c>
      <c r="B922" s="1">
        <v>2</v>
      </c>
      <c r="C922" s="1" t="s">
        <v>30</v>
      </c>
      <c r="D922" s="1">
        <v>7.6360000000000001</v>
      </c>
      <c r="E922" s="1" t="s">
        <v>280</v>
      </c>
      <c r="F922" s="1">
        <v>12</v>
      </c>
      <c r="G922" s="1">
        <v>11</v>
      </c>
      <c r="H922" s="1">
        <v>6</v>
      </c>
      <c r="I922" s="1">
        <v>15</v>
      </c>
      <c r="J922" s="1">
        <v>6</v>
      </c>
      <c r="K922" s="1">
        <v>23</v>
      </c>
      <c r="L922" s="1">
        <v>2</v>
      </c>
      <c r="M922" s="1">
        <v>9</v>
      </c>
      <c r="N922" s="1">
        <v>22</v>
      </c>
      <c r="O922" s="1">
        <v>23</v>
      </c>
      <c r="P922" s="1">
        <v>62</v>
      </c>
      <c r="Q922" s="1">
        <v>76</v>
      </c>
    </row>
    <row r="923" spans="1:18" ht="15.75" customHeight="1">
      <c r="A923" s="1">
        <v>2021</v>
      </c>
      <c r="B923" s="1">
        <v>3</v>
      </c>
      <c r="C923" s="1" t="s">
        <v>34</v>
      </c>
      <c r="D923" s="1">
        <v>7.5570000000000004</v>
      </c>
      <c r="E923" s="1">
        <v>0.20200000000000001</v>
      </c>
      <c r="F923" s="1">
        <v>6</v>
      </c>
      <c r="G923" s="1">
        <v>1</v>
      </c>
      <c r="H923" s="1">
        <v>13</v>
      </c>
      <c r="I923" s="1">
        <v>4</v>
      </c>
      <c r="J923" s="1">
        <v>10</v>
      </c>
      <c r="K923" s="1">
        <v>4</v>
      </c>
      <c r="L923" s="1">
        <v>28</v>
      </c>
      <c r="M923" s="1">
        <v>6</v>
      </c>
      <c r="N923" s="1">
        <v>5</v>
      </c>
      <c r="O923" s="1">
        <v>4</v>
      </c>
      <c r="P923" s="1">
        <v>71</v>
      </c>
      <c r="Q923" s="1">
        <v>112</v>
      </c>
    </row>
    <row r="924" spans="1:18" ht="15.75" customHeight="1">
      <c r="A924" s="1">
        <v>2021</v>
      </c>
      <c r="B924" s="1">
        <v>4</v>
      </c>
      <c r="C924" s="1" t="s">
        <v>32</v>
      </c>
      <c r="D924" s="1">
        <v>7.5119999999999996</v>
      </c>
      <c r="E924" s="1" t="s">
        <v>148</v>
      </c>
      <c r="F924" s="1">
        <v>19</v>
      </c>
      <c r="G924" s="1">
        <v>13</v>
      </c>
      <c r="H924" s="1">
        <v>4</v>
      </c>
      <c r="I924" s="1">
        <v>6</v>
      </c>
      <c r="J924" s="1">
        <v>15</v>
      </c>
      <c r="K924" s="1">
        <v>33</v>
      </c>
      <c r="L924" s="1">
        <v>7</v>
      </c>
      <c r="M924" s="1">
        <v>23</v>
      </c>
      <c r="N924" s="1">
        <v>10</v>
      </c>
      <c r="O924" s="1">
        <v>33</v>
      </c>
      <c r="P924" s="1">
        <v>40</v>
      </c>
      <c r="Q924" s="1">
        <v>118</v>
      </c>
    </row>
    <row r="925" spans="1:18" ht="15.75" customHeight="1">
      <c r="A925" s="1">
        <v>2021</v>
      </c>
      <c r="B925" s="1">
        <v>5</v>
      </c>
      <c r="C925" s="1" t="s">
        <v>40</v>
      </c>
      <c r="D925" s="1">
        <v>7.415</v>
      </c>
      <c r="E925" s="1" t="s">
        <v>592</v>
      </c>
      <c r="F925" s="1">
        <v>2</v>
      </c>
      <c r="G925" s="1">
        <v>22</v>
      </c>
      <c r="H925" s="1">
        <v>7</v>
      </c>
      <c r="I925" s="1"/>
      <c r="J925" s="1">
        <v>36</v>
      </c>
      <c r="K925" s="1">
        <v>3</v>
      </c>
      <c r="L925" s="1">
        <v>11</v>
      </c>
      <c r="M925" s="1">
        <v>40</v>
      </c>
      <c r="N925" s="1">
        <v>19</v>
      </c>
      <c r="O925" s="1">
        <v>3</v>
      </c>
      <c r="P925" s="1">
        <v>43</v>
      </c>
      <c r="Q925" s="1">
        <v>117</v>
      </c>
    </row>
    <row r="926" spans="1:18" ht="15.75" customHeight="1">
      <c r="A926" s="1">
        <v>2021</v>
      </c>
      <c r="B926" s="1">
        <v>6</v>
      </c>
      <c r="C926" s="1" t="s">
        <v>59</v>
      </c>
      <c r="D926" s="1">
        <v>7.4039999999999999</v>
      </c>
      <c r="E926" s="1">
        <v>0.35</v>
      </c>
      <c r="F926" s="1"/>
      <c r="G926" s="1"/>
      <c r="H926" s="1"/>
      <c r="I926" s="1"/>
      <c r="J926" s="1"/>
      <c r="K926" s="1"/>
      <c r="L926" s="1"/>
      <c r="M926" s="1"/>
      <c r="Q926" s="1"/>
    </row>
    <row r="927" spans="1:18" ht="15.75" customHeight="1">
      <c r="A927" s="1">
        <v>2021</v>
      </c>
      <c r="B927" s="1">
        <v>7</v>
      </c>
      <c r="C927" s="1" t="s">
        <v>45</v>
      </c>
      <c r="D927" s="1">
        <v>7.3840000000000003</v>
      </c>
      <c r="E927" s="1" t="s">
        <v>593</v>
      </c>
      <c r="F927" s="1">
        <v>4</v>
      </c>
      <c r="G927" s="1">
        <v>14</v>
      </c>
      <c r="H927" s="1">
        <v>11</v>
      </c>
      <c r="I927" s="1">
        <v>7</v>
      </c>
      <c r="J927" s="1">
        <v>3</v>
      </c>
      <c r="K927" s="1">
        <v>16</v>
      </c>
      <c r="L927" s="1">
        <v>3</v>
      </c>
      <c r="M927" s="1">
        <v>16</v>
      </c>
      <c r="N927" s="1">
        <v>15</v>
      </c>
      <c r="O927" s="1">
        <v>16</v>
      </c>
      <c r="P927" s="1">
        <v>84</v>
      </c>
      <c r="Q927" s="1">
        <v>104</v>
      </c>
    </row>
    <row r="928" spans="1:18" ht="15.75" customHeight="1">
      <c r="A928" s="1">
        <v>2021</v>
      </c>
      <c r="B928" s="1">
        <v>8</v>
      </c>
      <c r="C928" s="1" t="s">
        <v>35</v>
      </c>
      <c r="D928" s="1">
        <v>7.3650000000000002</v>
      </c>
      <c r="E928" s="1" t="s">
        <v>594</v>
      </c>
      <c r="F928" s="1">
        <v>9</v>
      </c>
      <c r="G928" s="1">
        <v>9</v>
      </c>
      <c r="H928" s="1">
        <v>3</v>
      </c>
      <c r="I928" s="1">
        <v>5</v>
      </c>
      <c r="J928" s="1">
        <v>5</v>
      </c>
      <c r="K928" s="1">
        <v>14</v>
      </c>
      <c r="L928" s="1">
        <v>6</v>
      </c>
      <c r="M928" s="1">
        <v>14</v>
      </c>
      <c r="N928" s="1">
        <v>23</v>
      </c>
      <c r="O928" s="1">
        <v>14</v>
      </c>
      <c r="P928" s="1">
        <v>42</v>
      </c>
      <c r="Q928" s="1">
        <v>108</v>
      </c>
    </row>
    <row r="929" spans="1:17" ht="15.75" customHeight="1">
      <c r="A929" s="1">
        <v>2021</v>
      </c>
      <c r="B929" s="1">
        <v>9</v>
      </c>
      <c r="C929" s="1" t="s">
        <v>47</v>
      </c>
      <c r="D929" s="1">
        <v>7.3639999999999999</v>
      </c>
      <c r="E929" s="1">
        <v>6.3E-2</v>
      </c>
      <c r="F929" s="1">
        <v>5</v>
      </c>
      <c r="G929" s="1">
        <v>24</v>
      </c>
      <c r="H929" s="1">
        <v>27</v>
      </c>
      <c r="I929" s="1">
        <v>9</v>
      </c>
      <c r="J929" s="1">
        <v>54</v>
      </c>
      <c r="K929" s="1">
        <v>44</v>
      </c>
      <c r="L929" s="1">
        <v>42</v>
      </c>
      <c r="M929" s="1">
        <v>104</v>
      </c>
      <c r="N929" s="1">
        <v>24</v>
      </c>
      <c r="O929" s="1">
        <v>44</v>
      </c>
      <c r="P929" s="1">
        <v>73</v>
      </c>
      <c r="Q929" s="1">
        <v>103</v>
      </c>
    </row>
    <row r="930" spans="1:17" ht="15.75" customHeight="1">
      <c r="A930" s="1">
        <v>2021</v>
      </c>
      <c r="B930" s="1">
        <v>10</v>
      </c>
      <c r="C930" s="1" t="s">
        <v>42</v>
      </c>
      <c r="D930" s="1">
        <v>7.2</v>
      </c>
      <c r="E930" s="1" t="s">
        <v>299</v>
      </c>
      <c r="F930" s="1">
        <v>8</v>
      </c>
      <c r="G930" s="1">
        <v>7</v>
      </c>
      <c r="H930" s="1">
        <v>25</v>
      </c>
      <c r="I930" s="1">
        <v>17</v>
      </c>
      <c r="J930" s="1">
        <v>14</v>
      </c>
      <c r="K930" s="1">
        <v>9</v>
      </c>
      <c r="L930" s="1">
        <v>5</v>
      </c>
      <c r="M930" s="1">
        <v>22</v>
      </c>
      <c r="N930" s="1">
        <v>21</v>
      </c>
      <c r="O930" s="1">
        <v>9</v>
      </c>
      <c r="P930" s="1">
        <v>14</v>
      </c>
      <c r="Q930" s="1">
        <v>47</v>
      </c>
    </row>
    <row r="931" spans="1:17" ht="15.75" customHeight="1">
      <c r="A931" s="1">
        <v>2021</v>
      </c>
      <c r="B931" s="1">
        <v>11</v>
      </c>
      <c r="C931" s="1" t="s">
        <v>49</v>
      </c>
      <c r="D931" s="1">
        <v>7.1630000000000003</v>
      </c>
      <c r="E931" s="1" t="s">
        <v>595</v>
      </c>
      <c r="F931" s="1">
        <v>16</v>
      </c>
      <c r="G931" s="1">
        <v>50</v>
      </c>
      <c r="H931" s="1">
        <v>10</v>
      </c>
      <c r="I931" s="1">
        <v>19</v>
      </c>
      <c r="J931" s="1">
        <v>68</v>
      </c>
      <c r="K931" s="1">
        <v>19</v>
      </c>
      <c r="L931" s="1">
        <v>17</v>
      </c>
      <c r="M931" s="1">
        <v>35</v>
      </c>
      <c r="N931" s="1">
        <v>50</v>
      </c>
      <c r="O931" s="1">
        <v>19</v>
      </c>
      <c r="P931" s="1">
        <v>39</v>
      </c>
      <c r="Q931" s="1">
        <v>105</v>
      </c>
    </row>
    <row r="932" spans="1:17" ht="15.75" customHeight="1">
      <c r="A932" s="1">
        <v>2021</v>
      </c>
      <c r="B932" s="1">
        <v>12</v>
      </c>
      <c r="C932" s="1" t="s">
        <v>43</v>
      </c>
      <c r="D932" s="1">
        <v>7.1619999999999999</v>
      </c>
      <c r="E932" s="1" t="s">
        <v>541</v>
      </c>
      <c r="F932" s="1">
        <v>15</v>
      </c>
      <c r="G932" s="1">
        <v>21</v>
      </c>
      <c r="H932" s="1">
        <v>15</v>
      </c>
      <c r="I932" s="1">
        <v>12</v>
      </c>
      <c r="J932" s="1">
        <v>13</v>
      </c>
      <c r="K932" s="1">
        <v>6</v>
      </c>
      <c r="L932" s="1">
        <v>15</v>
      </c>
      <c r="M932" s="1">
        <v>28</v>
      </c>
      <c r="N932" s="1">
        <v>34</v>
      </c>
      <c r="O932" s="1">
        <v>6</v>
      </c>
      <c r="P932" s="1">
        <v>21</v>
      </c>
      <c r="Q932" s="1">
        <v>34</v>
      </c>
    </row>
    <row r="933" spans="1:17" ht="15.75" customHeight="1">
      <c r="A933" s="1">
        <v>2021</v>
      </c>
      <c r="B933" s="1">
        <v>13</v>
      </c>
      <c r="C933" s="1" t="s">
        <v>57</v>
      </c>
      <c r="D933" s="1">
        <v>7.0410000000000004</v>
      </c>
      <c r="E933" s="1" t="s">
        <v>113</v>
      </c>
      <c r="F933" s="1">
        <v>30</v>
      </c>
      <c r="G933" s="1">
        <v>60</v>
      </c>
      <c r="H933" s="1">
        <v>2</v>
      </c>
      <c r="I933" s="1">
        <v>16</v>
      </c>
      <c r="J933" s="1">
        <v>39</v>
      </c>
      <c r="K933" s="1">
        <v>15</v>
      </c>
      <c r="L933" s="1">
        <v>8</v>
      </c>
      <c r="M933" s="1">
        <v>32</v>
      </c>
      <c r="N933" s="1">
        <v>41</v>
      </c>
      <c r="O933" s="1">
        <v>15</v>
      </c>
      <c r="P933" s="1">
        <v>22</v>
      </c>
      <c r="Q933" s="1">
        <v>89</v>
      </c>
    </row>
    <row r="934" spans="1:17" ht="15.75" customHeight="1">
      <c r="A934" s="1">
        <v>2021</v>
      </c>
      <c r="B934" s="1">
        <v>14</v>
      </c>
      <c r="C934" s="1" t="s">
        <v>539</v>
      </c>
      <c r="D934" s="1">
        <v>7.0339999999999998</v>
      </c>
      <c r="E934" s="1">
        <v>0.36199999999999999</v>
      </c>
      <c r="F934" s="1">
        <v>17</v>
      </c>
      <c r="G934" s="1">
        <v>48</v>
      </c>
      <c r="H934" s="1">
        <v>12</v>
      </c>
      <c r="I934" s="1">
        <v>24</v>
      </c>
      <c r="J934" s="1">
        <v>72</v>
      </c>
      <c r="K934" s="1">
        <v>30</v>
      </c>
      <c r="L934" s="1">
        <v>12</v>
      </c>
      <c r="M934" s="1">
        <v>41</v>
      </c>
      <c r="N934" s="1">
        <v>45</v>
      </c>
      <c r="O934" s="1">
        <v>30</v>
      </c>
      <c r="P934" s="1">
        <v>74</v>
      </c>
      <c r="Q934" s="1">
        <v>93</v>
      </c>
    </row>
    <row r="935" spans="1:17" ht="15.75" customHeight="1">
      <c r="A935" s="1">
        <v>2021</v>
      </c>
      <c r="B935" s="12">
        <v>15</v>
      </c>
      <c r="C935" s="8" t="s">
        <v>596</v>
      </c>
      <c r="D935" s="5">
        <v>7.0250000000000004</v>
      </c>
      <c r="E935" s="9" t="s">
        <v>597</v>
      </c>
      <c r="F935" s="6">
        <v>24</v>
      </c>
      <c r="G935" s="6">
        <v>18</v>
      </c>
      <c r="H935" s="6">
        <v>18</v>
      </c>
      <c r="I935" s="10">
        <v>21</v>
      </c>
      <c r="J935" s="6">
        <v>20</v>
      </c>
      <c r="K935" s="6">
        <v>13</v>
      </c>
      <c r="L935" s="6">
        <v>9</v>
      </c>
      <c r="M935" s="6">
        <v>15</v>
      </c>
      <c r="N935" s="6">
        <v>65</v>
      </c>
      <c r="O935" s="6">
        <v>13</v>
      </c>
      <c r="P935" s="6">
        <v>34</v>
      </c>
      <c r="Q935" s="6">
        <v>52</v>
      </c>
    </row>
    <row r="936" spans="1:17" ht="15.75" customHeight="1">
      <c r="A936" s="1">
        <v>2021</v>
      </c>
      <c r="B936" s="12">
        <v>16</v>
      </c>
      <c r="C936" s="8" t="s">
        <v>598</v>
      </c>
      <c r="D936" s="5">
        <v>6.9770000000000003</v>
      </c>
      <c r="E936" s="9" t="s">
        <v>361</v>
      </c>
      <c r="F936" s="6">
        <v>21</v>
      </c>
      <c r="G936" s="6">
        <v>20</v>
      </c>
      <c r="H936" s="6">
        <v>5</v>
      </c>
      <c r="I936" s="7">
        <v>56</v>
      </c>
      <c r="J936" s="6">
        <v>58</v>
      </c>
      <c r="K936" s="6">
        <v>10</v>
      </c>
      <c r="L936" s="6">
        <v>36</v>
      </c>
      <c r="M936" s="6">
        <v>27</v>
      </c>
      <c r="N936" s="6">
        <v>66</v>
      </c>
      <c r="O936" s="6">
        <v>10</v>
      </c>
      <c r="P936" s="6">
        <v>7</v>
      </c>
      <c r="Q936" s="6">
        <v>4</v>
      </c>
    </row>
    <row r="937" spans="1:17" ht="15.75" customHeight="1">
      <c r="A937" s="1">
        <v>2021</v>
      </c>
      <c r="B937" s="12">
        <v>17</v>
      </c>
      <c r="C937" s="8" t="s">
        <v>599</v>
      </c>
      <c r="D937" s="5">
        <v>6.9429999999999996</v>
      </c>
      <c r="E937" s="6">
        <v>0.06</v>
      </c>
      <c r="F937" s="6">
        <v>18</v>
      </c>
      <c r="G937" s="6">
        <v>58</v>
      </c>
      <c r="H937" s="6">
        <v>21</v>
      </c>
      <c r="I937" s="10">
        <v>25</v>
      </c>
      <c r="J937" s="6">
        <v>60</v>
      </c>
      <c r="K937" s="6">
        <v>5</v>
      </c>
      <c r="L937" s="6">
        <v>14</v>
      </c>
      <c r="M937" s="6">
        <v>55</v>
      </c>
      <c r="N937" s="6">
        <v>56</v>
      </c>
      <c r="O937" s="6">
        <v>5</v>
      </c>
      <c r="P937" s="6">
        <v>55</v>
      </c>
      <c r="Q937" s="6">
        <v>99</v>
      </c>
    </row>
    <row r="938" spans="1:17" ht="15.75" customHeight="1">
      <c r="A938" s="1">
        <v>2021</v>
      </c>
      <c r="B938" s="1">
        <v>18</v>
      </c>
      <c r="C938" s="1" t="s">
        <v>70</v>
      </c>
      <c r="D938" s="1">
        <v>6.92</v>
      </c>
      <c r="E938" s="1">
        <v>0.63</v>
      </c>
      <c r="F938" s="1">
        <v>29</v>
      </c>
      <c r="G938" s="1">
        <v>6</v>
      </c>
      <c r="H938" s="1">
        <v>26</v>
      </c>
      <c r="I938" s="1">
        <v>36</v>
      </c>
      <c r="J938" s="1">
        <v>24</v>
      </c>
      <c r="K938" s="1">
        <v>22</v>
      </c>
      <c r="L938" s="1">
        <v>95</v>
      </c>
      <c r="M938" s="1">
        <v>38</v>
      </c>
      <c r="N938" s="1">
        <v>36</v>
      </c>
      <c r="O938" s="1">
        <v>22</v>
      </c>
      <c r="P938" s="1">
        <v>53</v>
      </c>
      <c r="Q938" s="1">
        <v>56</v>
      </c>
    </row>
    <row r="939" spans="1:17" ht="15.75" customHeight="1">
      <c r="A939" s="1">
        <v>2021</v>
      </c>
      <c r="B939" s="1">
        <v>19</v>
      </c>
      <c r="C939" s="1" t="s">
        <v>415</v>
      </c>
      <c r="D939" s="1">
        <v>6.8049999999999997</v>
      </c>
      <c r="E939" s="1" t="s">
        <v>410</v>
      </c>
      <c r="F939" s="1">
        <v>7</v>
      </c>
      <c r="G939" s="1">
        <v>25</v>
      </c>
      <c r="H939" s="1">
        <v>14</v>
      </c>
      <c r="I939" s="1">
        <v>20</v>
      </c>
      <c r="J939" s="1">
        <v>51</v>
      </c>
      <c r="K939" s="1">
        <v>29</v>
      </c>
      <c r="L939" s="1">
        <v>18</v>
      </c>
      <c r="M939" s="1">
        <v>52</v>
      </c>
      <c r="N939" s="1">
        <v>51</v>
      </c>
      <c r="O939" s="1">
        <v>29</v>
      </c>
      <c r="P939" s="1">
        <v>64</v>
      </c>
      <c r="Q939" s="1">
        <v>101</v>
      </c>
    </row>
    <row r="940" spans="1:17" ht="15.75" customHeight="1">
      <c r="A940" s="1">
        <v>2021</v>
      </c>
      <c r="B940" s="1">
        <v>20</v>
      </c>
      <c r="C940" s="1" t="s">
        <v>76</v>
      </c>
      <c r="D940" s="1">
        <v>6.6870000000000003</v>
      </c>
      <c r="E940" s="1" t="s">
        <v>367</v>
      </c>
      <c r="F940" s="1">
        <v>11</v>
      </c>
      <c r="G940" s="1">
        <v>26</v>
      </c>
      <c r="H940" s="1">
        <v>20</v>
      </c>
      <c r="I940" s="1">
        <v>14</v>
      </c>
      <c r="J940" s="1">
        <v>45</v>
      </c>
      <c r="K940" s="1">
        <v>73</v>
      </c>
      <c r="L940" s="1">
        <v>20</v>
      </c>
      <c r="M940" s="1">
        <v>54</v>
      </c>
      <c r="N940" s="1">
        <v>58</v>
      </c>
      <c r="O940" s="1">
        <v>73</v>
      </c>
      <c r="P940" s="1">
        <v>33</v>
      </c>
      <c r="Q940" s="1">
        <v>119</v>
      </c>
    </row>
    <row r="941" spans="1:17" ht="15.75" customHeight="1">
      <c r="A941" s="1">
        <v>2021</v>
      </c>
      <c r="B941" s="1">
        <v>21</v>
      </c>
      <c r="C941" s="1" t="s">
        <v>90</v>
      </c>
      <c r="D941" s="1">
        <v>6.6470000000000002</v>
      </c>
      <c r="E941" s="1">
        <v>1.335</v>
      </c>
      <c r="F941" s="1"/>
      <c r="G941" s="1"/>
      <c r="H941" s="1"/>
      <c r="I941" s="1"/>
      <c r="J941" s="1"/>
      <c r="K941" s="1"/>
      <c r="L941" s="1"/>
      <c r="M941" s="1"/>
      <c r="N941" s="1"/>
      <c r="O941" s="1"/>
      <c r="Q941" s="1"/>
    </row>
    <row r="942" spans="1:17" ht="15.75" customHeight="1">
      <c r="A942" s="1">
        <v>2021</v>
      </c>
      <c r="B942" s="1">
        <v>22</v>
      </c>
      <c r="C942" s="1" t="s">
        <v>116</v>
      </c>
      <c r="D942" s="1">
        <v>6.63</v>
      </c>
      <c r="E942" s="1">
        <v>0.56999999999999995</v>
      </c>
      <c r="F942" s="1">
        <v>27</v>
      </c>
      <c r="G942" s="1">
        <v>3</v>
      </c>
      <c r="H942" s="1">
        <v>29</v>
      </c>
      <c r="I942" s="1">
        <v>23</v>
      </c>
      <c r="J942" s="1">
        <v>37</v>
      </c>
      <c r="K942" s="1">
        <v>39</v>
      </c>
      <c r="L942" s="1">
        <v>54</v>
      </c>
      <c r="M942" s="1">
        <v>73</v>
      </c>
      <c r="N942" s="1">
        <v>52</v>
      </c>
      <c r="O942" s="1">
        <v>39</v>
      </c>
      <c r="P942" s="1">
        <v>50</v>
      </c>
      <c r="Q942" s="1">
        <v>111</v>
      </c>
    </row>
    <row r="943" spans="1:17" ht="15.75" customHeight="1">
      <c r="A943" s="1">
        <v>2021</v>
      </c>
      <c r="B943" s="1">
        <v>23</v>
      </c>
      <c r="C943" s="1" t="s">
        <v>52</v>
      </c>
      <c r="D943" s="1">
        <v>6.5819999999999999</v>
      </c>
      <c r="E943" s="1" t="s">
        <v>600</v>
      </c>
      <c r="F943" s="1">
        <v>72</v>
      </c>
      <c r="G943" s="1">
        <v>47</v>
      </c>
      <c r="H943" s="1">
        <v>50</v>
      </c>
      <c r="I943" s="1">
        <v>29</v>
      </c>
      <c r="J943" s="1">
        <v>27</v>
      </c>
      <c r="K943" s="1">
        <v>63</v>
      </c>
      <c r="L943" s="1">
        <v>63</v>
      </c>
      <c r="M943" s="1">
        <v>13</v>
      </c>
      <c r="N943" s="1">
        <v>83</v>
      </c>
      <c r="O943" s="1">
        <v>63</v>
      </c>
      <c r="P943" s="1">
        <v>68</v>
      </c>
      <c r="Q943" s="1">
        <v>6</v>
      </c>
    </row>
    <row r="944" spans="1:17" ht="15.75" customHeight="1">
      <c r="A944" s="1">
        <v>2021</v>
      </c>
      <c r="B944" s="1">
        <v>24</v>
      </c>
      <c r="C944" s="1" t="s">
        <v>71</v>
      </c>
      <c r="D944" s="1">
        <v>6.5759999999999996</v>
      </c>
      <c r="E944" s="1" t="s">
        <v>601</v>
      </c>
      <c r="F944" s="1">
        <v>83</v>
      </c>
      <c r="G944" s="1">
        <v>65</v>
      </c>
      <c r="H944" s="1">
        <v>8</v>
      </c>
      <c r="I944" s="1">
        <v>30</v>
      </c>
      <c r="J944" s="1">
        <v>4</v>
      </c>
      <c r="K944" s="1">
        <v>17</v>
      </c>
      <c r="L944" s="1">
        <v>48</v>
      </c>
      <c r="M944" s="1">
        <v>25</v>
      </c>
      <c r="N944" s="1">
        <v>17</v>
      </c>
      <c r="O944" s="1">
        <v>72</v>
      </c>
      <c r="P944" s="1">
        <v>50</v>
      </c>
    </row>
    <row r="945" spans="1:17" ht="15.75" customHeight="1">
      <c r="A945" s="1">
        <v>2021</v>
      </c>
      <c r="B945" s="1">
        <v>25</v>
      </c>
      <c r="C945" s="1" t="s">
        <v>79</v>
      </c>
      <c r="D945" s="1">
        <v>6.5229999999999997</v>
      </c>
      <c r="E945" s="1">
        <v>4.2999999999999997E-2</v>
      </c>
      <c r="F945" s="1">
        <v>66</v>
      </c>
      <c r="G945" s="1">
        <v>53</v>
      </c>
      <c r="H945" s="1">
        <v>19</v>
      </c>
      <c r="I945" s="1">
        <v>38</v>
      </c>
      <c r="J945" s="1">
        <v>18</v>
      </c>
      <c r="K945" s="1">
        <v>74</v>
      </c>
      <c r="L945" s="1">
        <v>34</v>
      </c>
      <c r="M945" s="1">
        <v>31</v>
      </c>
      <c r="N945" s="1">
        <v>74</v>
      </c>
      <c r="O945" s="1">
        <v>88</v>
      </c>
      <c r="P945" s="1">
        <v>60</v>
      </c>
    </row>
    <row r="946" spans="1:17" ht="15.75" customHeight="1">
      <c r="A946" s="1">
        <v>2021</v>
      </c>
      <c r="B946" s="1">
        <v>26</v>
      </c>
      <c r="C946" s="1" t="s">
        <v>81</v>
      </c>
      <c r="D946" s="1">
        <v>6.5119999999999996</v>
      </c>
      <c r="E946" s="1">
        <v>0.29099999999999998</v>
      </c>
      <c r="F946" s="1">
        <v>47</v>
      </c>
      <c r="G946" s="1">
        <v>49</v>
      </c>
      <c r="H946" s="1">
        <v>56</v>
      </c>
      <c r="I946" s="1"/>
      <c r="J946" s="1">
        <v>43</v>
      </c>
      <c r="K946" s="1">
        <v>33</v>
      </c>
      <c r="L946" s="1">
        <v>61</v>
      </c>
      <c r="M946" s="1">
        <v>3</v>
      </c>
      <c r="N946" s="1">
        <v>43</v>
      </c>
      <c r="O946" s="1">
        <v>105</v>
      </c>
      <c r="P946" s="1">
        <v>102</v>
      </c>
      <c r="Q946" s="1"/>
    </row>
    <row r="947" spans="1:17" ht="15.75" customHeight="1">
      <c r="A947" s="1">
        <v>2021</v>
      </c>
      <c r="B947" s="1">
        <v>27</v>
      </c>
      <c r="C947" s="1" t="s">
        <v>63</v>
      </c>
      <c r="D947" s="1">
        <v>6.48</v>
      </c>
      <c r="E947" s="1" t="s">
        <v>257</v>
      </c>
      <c r="F947" s="1">
        <v>20</v>
      </c>
      <c r="G947" s="1">
        <v>46</v>
      </c>
      <c r="H947" s="1">
        <v>1</v>
      </c>
      <c r="I947" s="1">
        <v>1</v>
      </c>
      <c r="J947" s="1">
        <v>29</v>
      </c>
      <c r="K947" s="1">
        <v>24</v>
      </c>
      <c r="L947" s="1">
        <v>1</v>
      </c>
      <c r="M947" s="1">
        <v>49</v>
      </c>
      <c r="N947" s="1">
        <v>6</v>
      </c>
      <c r="O947" s="1">
        <v>24</v>
      </c>
      <c r="P947" s="1">
        <v>58</v>
      </c>
      <c r="Q947" s="1">
        <v>75</v>
      </c>
    </row>
    <row r="948" spans="1:17" ht="15.75" customHeight="1">
      <c r="A948" s="1">
        <v>2021</v>
      </c>
      <c r="B948" s="1">
        <v>28</v>
      </c>
      <c r="C948" s="1" t="s">
        <v>128</v>
      </c>
      <c r="D948" s="1">
        <v>6.4770000000000003</v>
      </c>
      <c r="E948" s="1">
        <v>1.444</v>
      </c>
      <c r="F948" s="1">
        <v>50</v>
      </c>
      <c r="G948" s="1">
        <v>64</v>
      </c>
      <c r="H948" s="1">
        <v>38</v>
      </c>
      <c r="I948" s="1">
        <v>58</v>
      </c>
      <c r="J948" s="1">
        <v>32</v>
      </c>
      <c r="K948" s="1">
        <v>103</v>
      </c>
      <c r="L948" s="1">
        <v>115</v>
      </c>
      <c r="M948" s="1">
        <v>56</v>
      </c>
      <c r="N948" s="1">
        <v>54</v>
      </c>
      <c r="O948" s="1">
        <v>103</v>
      </c>
      <c r="P948" s="1">
        <v>108</v>
      </c>
      <c r="Q948" s="1">
        <v>70</v>
      </c>
    </row>
    <row r="949" spans="1:17" ht="15.75" customHeight="1">
      <c r="A949" s="1">
        <v>2021</v>
      </c>
      <c r="B949" s="1">
        <v>29</v>
      </c>
      <c r="C949" s="1" t="s">
        <v>274</v>
      </c>
      <c r="D949" s="1">
        <v>6.476</v>
      </c>
      <c r="E949" s="1">
        <v>0.154</v>
      </c>
      <c r="F949" s="1">
        <v>14</v>
      </c>
      <c r="G949" s="1">
        <v>17</v>
      </c>
      <c r="H949" s="1">
        <v>31</v>
      </c>
      <c r="I949" s="1">
        <v>8</v>
      </c>
      <c r="J949" s="1">
        <v>71</v>
      </c>
      <c r="K949" s="1">
        <v>66</v>
      </c>
      <c r="L949" s="1">
        <v>43</v>
      </c>
      <c r="M949" s="1">
        <v>77</v>
      </c>
      <c r="N949" s="1">
        <v>86</v>
      </c>
      <c r="O949" s="1">
        <v>66</v>
      </c>
      <c r="P949" s="1">
        <v>91</v>
      </c>
      <c r="Q949" s="1">
        <v>107</v>
      </c>
    </row>
    <row r="950" spans="1:17" ht="15.75" customHeight="1">
      <c r="A950" s="1">
        <v>2021</v>
      </c>
      <c r="B950" s="1">
        <v>30</v>
      </c>
      <c r="C950" s="1" t="s">
        <v>73</v>
      </c>
      <c r="D950" s="1">
        <v>6.4740000000000002</v>
      </c>
      <c r="E950" s="1">
        <v>0.11899999999999999</v>
      </c>
      <c r="F950" s="1">
        <v>46</v>
      </c>
      <c r="G950" s="1">
        <v>27</v>
      </c>
      <c r="H950" s="1">
        <v>46</v>
      </c>
      <c r="I950" s="1">
        <v>45</v>
      </c>
      <c r="J950" s="1">
        <v>19</v>
      </c>
      <c r="K950" s="1">
        <v>72</v>
      </c>
      <c r="L950" s="1">
        <v>22</v>
      </c>
      <c r="M950" s="1">
        <v>24</v>
      </c>
      <c r="N950" s="1">
        <v>53</v>
      </c>
      <c r="O950" s="1">
        <v>72</v>
      </c>
      <c r="P950" s="1">
        <v>80</v>
      </c>
      <c r="Q950" s="1">
        <v>27</v>
      </c>
    </row>
    <row r="951" spans="1:17" ht="15.75" customHeight="1">
      <c r="A951" s="1">
        <v>2021</v>
      </c>
      <c r="B951" s="1">
        <v>31</v>
      </c>
      <c r="C951" s="1" t="s">
        <v>100</v>
      </c>
      <c r="D951" s="1">
        <v>6.4669999999999996</v>
      </c>
      <c r="E951" s="1">
        <v>0.44600000000000001</v>
      </c>
      <c r="F951" s="1">
        <v>26</v>
      </c>
      <c r="G951" s="1">
        <v>39</v>
      </c>
      <c r="H951" s="1">
        <v>22</v>
      </c>
      <c r="I951" s="1">
        <v>13</v>
      </c>
      <c r="J951" s="1">
        <v>99</v>
      </c>
      <c r="K951" s="1">
        <v>71</v>
      </c>
      <c r="L951" s="1">
        <v>94</v>
      </c>
      <c r="M951" s="1">
        <v>80</v>
      </c>
      <c r="N951" s="1">
        <v>84</v>
      </c>
      <c r="O951" s="1">
        <v>71</v>
      </c>
      <c r="P951" s="1">
        <v>96</v>
      </c>
      <c r="Q951" s="1">
        <v>116</v>
      </c>
    </row>
    <row r="952" spans="1:17" ht="15.75" customHeight="1">
      <c r="A952" s="1">
        <v>2021</v>
      </c>
      <c r="B952" s="1">
        <v>32</v>
      </c>
      <c r="C952" s="1" t="s">
        <v>135</v>
      </c>
      <c r="D952" s="1">
        <v>6.4550000000000001</v>
      </c>
      <c r="E952" s="1">
        <v>1.2330000000000001</v>
      </c>
      <c r="F952" s="1">
        <v>75</v>
      </c>
      <c r="G952" s="1">
        <v>61</v>
      </c>
      <c r="H952" s="1">
        <v>79</v>
      </c>
      <c r="I952" s="1"/>
      <c r="J952" s="1">
        <v>42</v>
      </c>
      <c r="K952" s="1">
        <v>20</v>
      </c>
      <c r="L952" s="1">
        <v>83</v>
      </c>
      <c r="M952" s="1">
        <v>94</v>
      </c>
      <c r="N952" s="1">
        <v>20</v>
      </c>
      <c r="O952" s="1">
        <v>109</v>
      </c>
      <c r="P952" s="1">
        <v>61</v>
      </c>
    </row>
    <row r="953" spans="1:17" ht="15.75" customHeight="1">
      <c r="A953" s="1">
        <v>2021</v>
      </c>
      <c r="B953" s="1">
        <v>33</v>
      </c>
      <c r="C953" s="1" t="s">
        <v>74</v>
      </c>
      <c r="D953" s="1">
        <v>6.4470000000000001</v>
      </c>
      <c r="E953" s="1">
        <v>0.48299999999999998</v>
      </c>
      <c r="F953" s="1">
        <v>35</v>
      </c>
      <c r="G953" s="1">
        <v>32</v>
      </c>
      <c r="H953" s="1">
        <v>17</v>
      </c>
      <c r="I953" s="1">
        <v>11</v>
      </c>
      <c r="J953" s="1">
        <v>25</v>
      </c>
      <c r="K953" s="1">
        <v>7</v>
      </c>
      <c r="L953" s="1">
        <v>53</v>
      </c>
      <c r="M953" s="1">
        <v>79</v>
      </c>
      <c r="N953" s="1">
        <v>101</v>
      </c>
      <c r="O953" s="1">
        <v>7</v>
      </c>
      <c r="P953" s="1">
        <v>61</v>
      </c>
      <c r="Q953" s="1">
        <v>113</v>
      </c>
    </row>
    <row r="954" spans="1:17" ht="15.75" customHeight="1">
      <c r="A954" s="1">
        <v>2021</v>
      </c>
      <c r="B954" s="1">
        <v>34</v>
      </c>
      <c r="C954" s="1" t="s">
        <v>114</v>
      </c>
      <c r="D954" s="1">
        <v>6.4459999999999997</v>
      </c>
      <c r="E954" s="1">
        <v>1.02</v>
      </c>
      <c r="F954" s="1">
        <v>23</v>
      </c>
      <c r="G954" s="1">
        <v>15</v>
      </c>
      <c r="H954" s="1">
        <v>28</v>
      </c>
      <c r="I954" s="1">
        <v>52</v>
      </c>
      <c r="J954" s="1">
        <v>96</v>
      </c>
      <c r="K954" s="1">
        <v>79</v>
      </c>
      <c r="L954" s="1">
        <v>99</v>
      </c>
      <c r="M954" s="1">
        <v>60</v>
      </c>
      <c r="N954" s="1">
        <v>17</v>
      </c>
      <c r="O954" s="1">
        <v>79</v>
      </c>
      <c r="P954" s="1">
        <v>79</v>
      </c>
      <c r="Q954" s="1">
        <v>55</v>
      </c>
    </row>
    <row r="955" spans="1:17" ht="15.75" customHeight="1">
      <c r="A955" s="1">
        <v>2021</v>
      </c>
      <c r="B955" s="12">
        <v>35</v>
      </c>
      <c r="C955" s="8" t="s">
        <v>602</v>
      </c>
      <c r="D955" s="5">
        <v>6.391</v>
      </c>
      <c r="E955" s="6">
        <v>0.42199999999999999</v>
      </c>
      <c r="F955" s="6">
        <v>31</v>
      </c>
      <c r="G955" s="6">
        <v>5</v>
      </c>
      <c r="H955" s="6">
        <v>36</v>
      </c>
      <c r="I955" s="10">
        <v>47</v>
      </c>
      <c r="J955" s="6">
        <v>83</v>
      </c>
      <c r="K955" s="6">
        <v>38</v>
      </c>
      <c r="L955" s="6">
        <v>106</v>
      </c>
      <c r="M955" s="6">
        <v>50</v>
      </c>
      <c r="N955" s="6">
        <v>39</v>
      </c>
      <c r="O955" s="6">
        <v>38</v>
      </c>
      <c r="P955" s="6">
        <v>78</v>
      </c>
      <c r="Q955" s="6">
        <v>63</v>
      </c>
    </row>
    <row r="956" spans="1:17" ht="15.75" customHeight="1">
      <c r="A956" s="1">
        <v>2021</v>
      </c>
      <c r="B956" s="12">
        <v>36</v>
      </c>
      <c r="C956" s="8" t="s">
        <v>603</v>
      </c>
      <c r="D956" s="5">
        <v>6.3410000000000002</v>
      </c>
      <c r="E956" s="6">
        <v>0.91500000000000004</v>
      </c>
      <c r="F956" s="6">
        <v>10</v>
      </c>
      <c r="G956" s="6">
        <v>10</v>
      </c>
      <c r="H956" s="6">
        <v>32</v>
      </c>
      <c r="I956" s="7">
        <v>32</v>
      </c>
      <c r="J956" s="6">
        <v>9</v>
      </c>
      <c r="K956" s="6">
        <v>36</v>
      </c>
      <c r="L956" s="6">
        <v>13</v>
      </c>
      <c r="M956" s="6">
        <v>17</v>
      </c>
      <c r="N956" s="6">
        <v>9</v>
      </c>
      <c r="O956" s="6">
        <v>36</v>
      </c>
      <c r="P956" s="6">
        <v>75</v>
      </c>
      <c r="Q956" s="6">
        <v>86</v>
      </c>
    </row>
    <row r="957" spans="1:17" ht="15.75" customHeight="1">
      <c r="A957" s="1">
        <v>2021</v>
      </c>
      <c r="B957" s="1">
        <v>37</v>
      </c>
      <c r="C957" s="1" t="s">
        <v>67</v>
      </c>
      <c r="D957" s="1">
        <v>6.3090000000000002</v>
      </c>
      <c r="E957" s="1" t="s">
        <v>604</v>
      </c>
      <c r="F957" s="1">
        <v>95</v>
      </c>
      <c r="G957" s="1">
        <v>31</v>
      </c>
      <c r="H957" s="1">
        <v>44</v>
      </c>
      <c r="I957" s="1">
        <v>33</v>
      </c>
      <c r="J957" s="1">
        <v>62</v>
      </c>
      <c r="K957" s="1">
        <v>90</v>
      </c>
      <c r="L957" s="1">
        <v>93</v>
      </c>
      <c r="M957" s="1">
        <v>1</v>
      </c>
      <c r="N957" s="1">
        <v>26</v>
      </c>
      <c r="O957" s="1">
        <v>90</v>
      </c>
      <c r="P957" s="1">
        <v>59</v>
      </c>
      <c r="Q957" s="1">
        <v>54</v>
      </c>
    </row>
    <row r="958" spans="1:17" ht="15.75" customHeight="1">
      <c r="A958" s="1">
        <v>2021</v>
      </c>
      <c r="B958" s="1">
        <v>38</v>
      </c>
      <c r="C958" s="1" t="s">
        <v>54</v>
      </c>
      <c r="D958" s="1">
        <v>6.2930000000000001</v>
      </c>
      <c r="E958" s="1" t="s">
        <v>605</v>
      </c>
      <c r="F958" s="1">
        <v>79</v>
      </c>
      <c r="G958" s="1">
        <v>69</v>
      </c>
      <c r="H958" s="1">
        <v>61</v>
      </c>
      <c r="I958" s="1">
        <v>75</v>
      </c>
      <c r="J958" s="1">
        <v>70</v>
      </c>
      <c r="K958" s="1">
        <v>40</v>
      </c>
      <c r="L958" s="1">
        <v>46</v>
      </c>
      <c r="M958" s="1">
        <v>65</v>
      </c>
      <c r="N958" s="1">
        <v>107</v>
      </c>
      <c r="O958" s="1">
        <v>40</v>
      </c>
      <c r="P958" s="1">
        <v>48</v>
      </c>
      <c r="Q958" s="1">
        <v>12</v>
      </c>
    </row>
    <row r="959" spans="1:17" ht="15.75" customHeight="1">
      <c r="A959" s="1">
        <v>2021</v>
      </c>
      <c r="B959" s="1">
        <v>39</v>
      </c>
      <c r="C959" s="1" t="s">
        <v>86</v>
      </c>
      <c r="D959" s="1">
        <v>6.2619999999999996</v>
      </c>
      <c r="E959" s="1">
        <v>0.29699999999999999</v>
      </c>
      <c r="F959" s="1"/>
      <c r="G959" s="1"/>
      <c r="H959" s="1"/>
      <c r="I959" s="1"/>
      <c r="J959" s="1"/>
      <c r="K959" s="1"/>
      <c r="L959" s="1"/>
      <c r="M959" s="1"/>
      <c r="N959" s="1"/>
      <c r="O959" s="1"/>
      <c r="Q959" s="1"/>
    </row>
    <row r="960" spans="1:17" ht="15.75" customHeight="1">
      <c r="A960" s="1">
        <v>2021</v>
      </c>
      <c r="B960" s="1">
        <v>40</v>
      </c>
      <c r="C960" s="1" t="s">
        <v>106</v>
      </c>
      <c r="D960" s="1">
        <v>6.234</v>
      </c>
      <c r="E960" s="1">
        <v>0.56299999999999994</v>
      </c>
      <c r="F960" s="1">
        <v>42</v>
      </c>
      <c r="G960" s="1">
        <v>29</v>
      </c>
      <c r="H960" s="1">
        <v>42</v>
      </c>
      <c r="I960" s="1">
        <v>77</v>
      </c>
      <c r="J960" s="1">
        <v>63</v>
      </c>
      <c r="K960" s="1">
        <v>42</v>
      </c>
      <c r="L960" s="1">
        <v>64</v>
      </c>
      <c r="M960" s="1">
        <v>64</v>
      </c>
      <c r="N960" s="1">
        <v>2</v>
      </c>
      <c r="O960" s="1">
        <v>42</v>
      </c>
      <c r="P960" s="1">
        <v>90</v>
      </c>
      <c r="Q960" s="1">
        <v>114</v>
      </c>
    </row>
    <row r="961" spans="1:17" ht="15.75" customHeight="1">
      <c r="A961" s="1">
        <v>2021</v>
      </c>
      <c r="B961" s="1">
        <v>41</v>
      </c>
      <c r="C961" s="1" t="s">
        <v>124</v>
      </c>
      <c r="D961" s="1">
        <v>6.2210000000000001</v>
      </c>
      <c r="E961" s="1" t="s">
        <v>470</v>
      </c>
      <c r="F961" s="1">
        <v>45</v>
      </c>
      <c r="G961" s="1">
        <v>57</v>
      </c>
      <c r="H961" s="1">
        <v>23</v>
      </c>
      <c r="I961" s="1">
        <v>10</v>
      </c>
      <c r="J961" s="1">
        <v>91</v>
      </c>
      <c r="K961" s="1">
        <v>51</v>
      </c>
      <c r="L961" s="1">
        <v>98</v>
      </c>
      <c r="M961" s="1">
        <v>74</v>
      </c>
      <c r="N961" s="1">
        <v>63</v>
      </c>
      <c r="O961" s="1">
        <v>51</v>
      </c>
      <c r="P961" s="1">
        <v>67</v>
      </c>
      <c r="Q961" s="1">
        <v>66</v>
      </c>
    </row>
    <row r="962" spans="1:17" ht="15.75" customHeight="1">
      <c r="A962" s="1">
        <v>2021</v>
      </c>
      <c r="B962" s="1">
        <v>42</v>
      </c>
      <c r="C962" s="1" t="s">
        <v>123</v>
      </c>
      <c r="D962" s="1">
        <v>6.18</v>
      </c>
      <c r="E962" s="1">
        <v>1.1339999999999999</v>
      </c>
      <c r="F962" s="1">
        <v>13</v>
      </c>
      <c r="G962" s="1">
        <v>4</v>
      </c>
      <c r="H962" s="1">
        <v>40</v>
      </c>
      <c r="I962" s="1">
        <v>59</v>
      </c>
      <c r="J962" s="1">
        <v>59</v>
      </c>
      <c r="K962" s="1">
        <v>77</v>
      </c>
      <c r="L962" s="1">
        <v>81</v>
      </c>
      <c r="M962" s="1">
        <v>39</v>
      </c>
      <c r="N962" s="1">
        <v>12</v>
      </c>
      <c r="O962" s="1">
        <v>77</v>
      </c>
      <c r="P962" s="1">
        <v>115</v>
      </c>
      <c r="Q962" s="1">
        <v>106</v>
      </c>
    </row>
    <row r="963" spans="1:17" ht="15.75" customHeight="1">
      <c r="A963" s="1">
        <v>2021</v>
      </c>
      <c r="B963" s="1">
        <v>43</v>
      </c>
      <c r="C963" s="1" t="s">
        <v>145</v>
      </c>
      <c r="D963" s="1">
        <v>6.1779999999999999</v>
      </c>
      <c r="E963" s="1">
        <v>1.365</v>
      </c>
      <c r="F963" s="1">
        <v>67</v>
      </c>
      <c r="G963" s="1">
        <v>37</v>
      </c>
      <c r="H963" s="1">
        <v>51</v>
      </c>
      <c r="I963" s="1">
        <v>57</v>
      </c>
      <c r="J963" s="1">
        <v>38</v>
      </c>
      <c r="K963" s="1">
        <v>11</v>
      </c>
      <c r="L963" s="1">
        <v>68</v>
      </c>
      <c r="M963" s="1">
        <v>99</v>
      </c>
      <c r="N963" s="1">
        <v>81</v>
      </c>
      <c r="O963" s="1">
        <v>11</v>
      </c>
      <c r="P963" s="1">
        <v>118</v>
      </c>
      <c r="Q963" s="1">
        <v>40</v>
      </c>
    </row>
    <row r="964" spans="1:17" ht="15.75" customHeight="1">
      <c r="A964" s="1">
        <v>2021</v>
      </c>
      <c r="B964" s="1">
        <v>44</v>
      </c>
      <c r="C964" s="1" t="s">
        <v>66</v>
      </c>
      <c r="D964" s="1">
        <v>6.1719999999999997</v>
      </c>
      <c r="E964" s="1" t="s">
        <v>552</v>
      </c>
      <c r="F964" s="1">
        <v>33</v>
      </c>
      <c r="G964" s="1">
        <v>36</v>
      </c>
      <c r="H964" s="1">
        <v>48</v>
      </c>
      <c r="I964" s="1">
        <v>28</v>
      </c>
      <c r="J964" s="1">
        <v>64</v>
      </c>
      <c r="K964" s="1">
        <v>67</v>
      </c>
      <c r="L964" s="1">
        <v>92</v>
      </c>
      <c r="M964" s="1">
        <v>29</v>
      </c>
      <c r="N964" s="1">
        <v>27</v>
      </c>
      <c r="O964" s="1">
        <v>67</v>
      </c>
      <c r="P964" s="1">
        <v>89</v>
      </c>
      <c r="Q964" s="1">
        <v>43</v>
      </c>
    </row>
    <row r="965" spans="1:17" ht="15.75" customHeight="1">
      <c r="A965" s="1">
        <v>2021</v>
      </c>
      <c r="B965" s="1">
        <v>45</v>
      </c>
      <c r="C965" s="1" t="s">
        <v>98</v>
      </c>
      <c r="D965" s="1">
        <v>6.165</v>
      </c>
      <c r="E965" s="1">
        <v>0.65800000000000003</v>
      </c>
      <c r="F965" s="1">
        <v>115</v>
      </c>
      <c r="G965" s="1">
        <v>62</v>
      </c>
      <c r="H965" s="1">
        <v>93</v>
      </c>
      <c r="I965" s="1">
        <v>50</v>
      </c>
      <c r="J965" s="1">
        <v>17</v>
      </c>
      <c r="K965" s="1">
        <v>78</v>
      </c>
      <c r="L965" s="1">
        <v>32</v>
      </c>
      <c r="M965" s="1">
        <v>7</v>
      </c>
      <c r="N965" s="1">
        <v>72</v>
      </c>
      <c r="O965" s="1">
        <v>78</v>
      </c>
      <c r="P965" s="1">
        <v>30</v>
      </c>
      <c r="Q965" s="1">
        <v>53</v>
      </c>
    </row>
    <row r="966" spans="1:17" ht="15.75" customHeight="1">
      <c r="A966" s="1">
        <v>2021</v>
      </c>
      <c r="B966" s="1">
        <v>46</v>
      </c>
      <c r="C966" s="1" t="s">
        <v>61</v>
      </c>
      <c r="D966" s="1">
        <v>6.1280000000000001</v>
      </c>
      <c r="E966" s="1" t="s">
        <v>606</v>
      </c>
      <c r="F966" s="1">
        <v>65</v>
      </c>
      <c r="G966" s="1">
        <v>84</v>
      </c>
      <c r="H966" s="1">
        <v>55</v>
      </c>
      <c r="I966" s="1">
        <v>79</v>
      </c>
      <c r="J966" s="1">
        <v>44</v>
      </c>
      <c r="K966" s="1">
        <v>69</v>
      </c>
      <c r="L966" s="1">
        <v>50</v>
      </c>
      <c r="M966" s="1">
        <v>21</v>
      </c>
      <c r="N966" s="1">
        <v>76</v>
      </c>
      <c r="O966" s="1">
        <v>69</v>
      </c>
      <c r="P966" s="1">
        <v>38</v>
      </c>
      <c r="Q966" s="1">
        <v>10</v>
      </c>
    </row>
    <row r="967" spans="1:17" ht="15.75" customHeight="1">
      <c r="A967" s="1">
        <v>2021</v>
      </c>
      <c r="B967" s="1">
        <v>47</v>
      </c>
      <c r="C967" s="1" t="s">
        <v>131</v>
      </c>
      <c r="D967" s="1">
        <v>6.125</v>
      </c>
      <c r="E967" s="1">
        <v>0.46400000000000002</v>
      </c>
      <c r="F967" s="1">
        <v>49</v>
      </c>
      <c r="G967" s="1">
        <v>23</v>
      </c>
      <c r="H967" s="1">
        <v>39</v>
      </c>
      <c r="I967" s="1">
        <v>31</v>
      </c>
      <c r="J967" s="1">
        <v>40</v>
      </c>
      <c r="K967" s="1">
        <v>45</v>
      </c>
      <c r="L967" s="1">
        <v>117</v>
      </c>
      <c r="M967" s="1">
        <v>76</v>
      </c>
      <c r="N967" s="1">
        <v>62</v>
      </c>
      <c r="O967" s="1">
        <v>45</v>
      </c>
      <c r="P967" s="1">
        <v>111</v>
      </c>
      <c r="Q967" s="1">
        <v>67</v>
      </c>
    </row>
    <row r="968" spans="1:17" ht="15.75" customHeight="1">
      <c r="A968" s="1">
        <v>2021</v>
      </c>
      <c r="B968" s="1">
        <v>48</v>
      </c>
      <c r="C968" s="1" t="s">
        <v>109</v>
      </c>
      <c r="D968" s="1">
        <v>6.1230000000000002</v>
      </c>
      <c r="E968" s="1">
        <v>0.30099999999999999</v>
      </c>
      <c r="F968" s="1">
        <v>28</v>
      </c>
      <c r="G968" s="1">
        <v>12</v>
      </c>
      <c r="H968" s="1">
        <v>33</v>
      </c>
      <c r="I968" s="1">
        <v>40</v>
      </c>
      <c r="J968" s="1">
        <v>85</v>
      </c>
      <c r="K968" s="1">
        <v>27</v>
      </c>
      <c r="L968" s="1">
        <v>49</v>
      </c>
      <c r="M968" s="1">
        <v>43</v>
      </c>
      <c r="N968" s="1">
        <v>67</v>
      </c>
      <c r="O968" s="1">
        <v>27</v>
      </c>
      <c r="P968" s="1">
        <v>46</v>
      </c>
      <c r="Q968" s="1">
        <v>46</v>
      </c>
    </row>
    <row r="969" spans="1:17" ht="15.75" customHeight="1">
      <c r="A969" s="1">
        <v>2021</v>
      </c>
      <c r="B969" s="1">
        <v>49</v>
      </c>
      <c r="C969" s="1" t="s">
        <v>96</v>
      </c>
      <c r="D969" s="1">
        <v>6.12</v>
      </c>
      <c r="E969" s="1">
        <v>0.311</v>
      </c>
      <c r="F969" s="1">
        <v>98</v>
      </c>
      <c r="G969" s="1">
        <v>78</v>
      </c>
      <c r="H969" s="1">
        <v>82</v>
      </c>
      <c r="I969" s="1">
        <v>73</v>
      </c>
      <c r="J969" s="1">
        <v>12</v>
      </c>
      <c r="K969" s="1">
        <v>99</v>
      </c>
      <c r="L969" s="1">
        <v>27</v>
      </c>
      <c r="M969" s="1">
        <v>2</v>
      </c>
      <c r="N969" s="1">
        <v>70</v>
      </c>
      <c r="O969" s="1">
        <v>99</v>
      </c>
      <c r="P969" s="1">
        <v>41</v>
      </c>
      <c r="Q969" s="1">
        <v>73</v>
      </c>
    </row>
    <row r="970" spans="1:17" ht="15.75" customHeight="1">
      <c r="A970" s="1">
        <v>2021</v>
      </c>
      <c r="B970" s="1">
        <v>50</v>
      </c>
      <c r="C970" s="1" t="s">
        <v>88</v>
      </c>
      <c r="D970" s="1">
        <v>6.1059999999999999</v>
      </c>
      <c r="E970" s="1" t="s">
        <v>553</v>
      </c>
      <c r="F970" s="1"/>
      <c r="G970" s="1"/>
      <c r="H970" s="1"/>
      <c r="I970" s="1"/>
      <c r="J970" s="1"/>
      <c r="K970" s="1"/>
      <c r="L970" s="1"/>
      <c r="M970" s="1"/>
      <c r="Q970" s="1"/>
    </row>
    <row r="971" spans="1:17" ht="15.75" customHeight="1">
      <c r="A971" s="1">
        <v>2021</v>
      </c>
      <c r="B971" s="1">
        <v>51</v>
      </c>
      <c r="C971" s="1" t="s">
        <v>151</v>
      </c>
      <c r="D971" s="1">
        <v>6.0860000000000003</v>
      </c>
      <c r="E971" s="1">
        <v>1.3109999999999999</v>
      </c>
      <c r="F971" s="1">
        <v>36</v>
      </c>
      <c r="G971" s="1">
        <v>8</v>
      </c>
      <c r="H971" s="1">
        <v>37</v>
      </c>
      <c r="I971" s="1">
        <v>48</v>
      </c>
      <c r="J971" s="1">
        <v>88</v>
      </c>
      <c r="K971" s="1">
        <v>59</v>
      </c>
      <c r="L971" s="1">
        <v>79</v>
      </c>
      <c r="M971" s="1">
        <v>59</v>
      </c>
      <c r="N971" s="1">
        <v>18</v>
      </c>
      <c r="O971" s="1">
        <v>59</v>
      </c>
      <c r="P971" s="1">
        <v>104</v>
      </c>
      <c r="Q971" s="1">
        <v>19</v>
      </c>
    </row>
    <row r="972" spans="1:17" ht="15.75" customHeight="1">
      <c r="A972" s="1">
        <v>2021</v>
      </c>
      <c r="B972" s="1">
        <v>52</v>
      </c>
      <c r="C972" s="1" t="s">
        <v>121</v>
      </c>
      <c r="D972" s="1">
        <v>6.0709999999999997</v>
      </c>
      <c r="E972" s="1">
        <v>0.59399999999999997</v>
      </c>
      <c r="F972" s="1">
        <v>53</v>
      </c>
      <c r="G972" s="1">
        <v>38</v>
      </c>
      <c r="H972" s="1">
        <v>52</v>
      </c>
      <c r="I972" s="1">
        <v>61</v>
      </c>
      <c r="J972" s="1">
        <v>65</v>
      </c>
      <c r="K972" s="1">
        <v>61</v>
      </c>
      <c r="L972" s="1">
        <v>66</v>
      </c>
      <c r="M972" s="1">
        <v>63</v>
      </c>
      <c r="N972" s="1">
        <v>4</v>
      </c>
      <c r="O972" s="1">
        <v>61</v>
      </c>
      <c r="P972" s="1">
        <v>49</v>
      </c>
      <c r="Q972" s="1">
        <v>92</v>
      </c>
    </row>
    <row r="973" spans="1:17" ht="15.75" customHeight="1">
      <c r="A973" s="1">
        <v>2021</v>
      </c>
      <c r="B973" s="1">
        <v>53</v>
      </c>
      <c r="C973" s="1" t="s">
        <v>99</v>
      </c>
      <c r="D973" s="1">
        <v>6.0629999999999997</v>
      </c>
      <c r="E973" s="1">
        <v>0.44</v>
      </c>
      <c r="F973" s="1">
        <v>81</v>
      </c>
      <c r="G973" s="1">
        <v>34</v>
      </c>
      <c r="H973" s="1">
        <v>86</v>
      </c>
      <c r="I973" s="1">
        <v>65</v>
      </c>
      <c r="J973" s="1">
        <v>7</v>
      </c>
      <c r="K973" s="1">
        <v>32</v>
      </c>
      <c r="L973" s="1">
        <v>26</v>
      </c>
      <c r="M973" s="1">
        <v>47</v>
      </c>
      <c r="N973" s="1">
        <v>33</v>
      </c>
      <c r="O973" s="1">
        <v>32</v>
      </c>
      <c r="P973" s="1">
        <v>94</v>
      </c>
      <c r="Q973" s="1">
        <v>90</v>
      </c>
    </row>
    <row r="974" spans="1:17" ht="15.75" customHeight="1">
      <c r="A974" s="1">
        <v>2021</v>
      </c>
      <c r="B974" s="12">
        <v>54</v>
      </c>
      <c r="C974" s="8" t="s">
        <v>607</v>
      </c>
      <c r="D974" s="5">
        <v>6.0389999999999997</v>
      </c>
      <c r="E974" s="9" t="s">
        <v>560</v>
      </c>
      <c r="F974" s="6">
        <v>41</v>
      </c>
      <c r="G974" s="6">
        <v>33</v>
      </c>
      <c r="H974" s="6">
        <v>30</v>
      </c>
      <c r="I974" s="7">
        <v>2</v>
      </c>
      <c r="J974" s="6">
        <v>66</v>
      </c>
      <c r="K974" s="6">
        <v>106</v>
      </c>
      <c r="L974" s="6">
        <v>30</v>
      </c>
      <c r="M974" s="6">
        <v>57</v>
      </c>
      <c r="N974" s="6">
        <v>14</v>
      </c>
      <c r="O974" s="6">
        <v>106</v>
      </c>
      <c r="P974" s="6">
        <v>86</v>
      </c>
      <c r="Q974" s="6">
        <v>121</v>
      </c>
    </row>
    <row r="975" spans="1:17" ht="15.75" customHeight="1">
      <c r="A975" s="1">
        <v>2021</v>
      </c>
      <c r="B975" s="12">
        <v>55</v>
      </c>
      <c r="C975" s="8" t="s">
        <v>608</v>
      </c>
      <c r="D975" s="5">
        <v>6.0220000000000002</v>
      </c>
      <c r="E975" s="6">
        <v>0.88</v>
      </c>
      <c r="F975" s="6">
        <v>111</v>
      </c>
      <c r="G975" s="6">
        <v>75</v>
      </c>
      <c r="H975" s="6">
        <v>97</v>
      </c>
      <c r="I975" s="10">
        <v>90</v>
      </c>
      <c r="J975" s="6">
        <v>47</v>
      </c>
      <c r="K975" s="6">
        <v>49</v>
      </c>
      <c r="L975" s="6">
        <v>86</v>
      </c>
      <c r="M975" s="6">
        <v>4</v>
      </c>
      <c r="N975" s="6">
        <v>59</v>
      </c>
      <c r="O975" s="6">
        <v>49</v>
      </c>
      <c r="P975" s="6">
        <v>18</v>
      </c>
      <c r="Q975" s="6">
        <v>38</v>
      </c>
    </row>
    <row r="976" spans="1:17" ht="15.75" customHeight="1">
      <c r="A976" s="1">
        <v>2021</v>
      </c>
      <c r="B976" s="1">
        <v>56</v>
      </c>
      <c r="C976" s="1" t="s">
        <v>155</v>
      </c>
      <c r="D976" s="1">
        <v>6.016</v>
      </c>
      <c r="E976" s="1">
        <v>0.91500000000000004</v>
      </c>
      <c r="F976" s="1">
        <v>40</v>
      </c>
      <c r="G976" s="1">
        <v>35</v>
      </c>
      <c r="H976" s="1">
        <v>35</v>
      </c>
      <c r="I976" s="1">
        <v>22</v>
      </c>
      <c r="J976" s="1">
        <v>23</v>
      </c>
      <c r="K976" s="1">
        <v>108</v>
      </c>
      <c r="L976" s="1">
        <v>96</v>
      </c>
      <c r="M976" s="1">
        <v>82</v>
      </c>
      <c r="N976" s="1">
        <v>69</v>
      </c>
      <c r="O976" s="1">
        <v>108</v>
      </c>
      <c r="P976" s="1">
        <v>117</v>
      </c>
      <c r="Q976" s="1">
        <v>100</v>
      </c>
    </row>
    <row r="977" spans="1:17" ht="15.75" customHeight="1">
      <c r="A977" s="1">
        <v>2021</v>
      </c>
      <c r="B977" s="1">
        <v>57</v>
      </c>
      <c r="C977" s="1" t="s">
        <v>69</v>
      </c>
      <c r="D977" s="1">
        <v>5.9669999999999996</v>
      </c>
      <c r="E977" s="1" t="s">
        <v>609</v>
      </c>
      <c r="F977" s="1">
        <v>59</v>
      </c>
      <c r="G977" s="1">
        <v>43</v>
      </c>
      <c r="H977" s="1">
        <v>49</v>
      </c>
      <c r="I977" s="1">
        <v>49</v>
      </c>
      <c r="J977" s="1">
        <v>55</v>
      </c>
      <c r="K977" s="1">
        <v>60</v>
      </c>
      <c r="L977" s="1">
        <v>72</v>
      </c>
      <c r="M977" s="1">
        <v>53</v>
      </c>
      <c r="N977" s="1">
        <v>92</v>
      </c>
      <c r="O977" s="1">
        <v>60</v>
      </c>
      <c r="P977" s="1">
        <v>25</v>
      </c>
      <c r="Q977" s="1">
        <v>11</v>
      </c>
    </row>
    <row r="978" spans="1:17" ht="15.75" customHeight="1">
      <c r="A978" s="1">
        <v>2021</v>
      </c>
      <c r="B978" s="1">
        <v>58</v>
      </c>
      <c r="C978" s="1" t="s">
        <v>160</v>
      </c>
      <c r="D978" s="1">
        <v>5.9480000000000004</v>
      </c>
      <c r="E978" s="1">
        <v>0.51300000000000001</v>
      </c>
      <c r="F978" s="1">
        <v>37</v>
      </c>
      <c r="G978" s="1">
        <v>59</v>
      </c>
      <c r="H978" s="1">
        <v>41</v>
      </c>
      <c r="I978" s="1">
        <v>27</v>
      </c>
      <c r="J978" s="1">
        <v>117</v>
      </c>
      <c r="K978" s="1">
        <v>97</v>
      </c>
      <c r="L978" s="1">
        <v>52</v>
      </c>
      <c r="M978" s="1">
        <v>85</v>
      </c>
      <c r="N978" s="1">
        <v>80</v>
      </c>
      <c r="O978" s="1">
        <v>97</v>
      </c>
      <c r="P978" s="1">
        <v>85</v>
      </c>
      <c r="Q978" s="1">
        <v>81</v>
      </c>
    </row>
    <row r="979" spans="1:17" ht="15.75" customHeight="1">
      <c r="A979" s="1">
        <v>2021</v>
      </c>
      <c r="B979" s="1">
        <v>59</v>
      </c>
      <c r="C979" s="1" t="s">
        <v>110</v>
      </c>
      <c r="D979" s="1">
        <v>5.9349999999999996</v>
      </c>
      <c r="E979" s="1" t="s">
        <v>610</v>
      </c>
      <c r="F979" s="1">
        <v>39</v>
      </c>
      <c r="G979" s="1">
        <v>72</v>
      </c>
      <c r="H979" s="1">
        <v>24</v>
      </c>
      <c r="I979" s="1">
        <v>3</v>
      </c>
      <c r="J979" s="1">
        <v>93</v>
      </c>
      <c r="K979" s="1">
        <v>48</v>
      </c>
      <c r="L979" s="1">
        <v>35</v>
      </c>
      <c r="M979" s="1">
        <v>101</v>
      </c>
      <c r="N979" s="1">
        <v>28</v>
      </c>
      <c r="O979" s="1">
        <v>48</v>
      </c>
      <c r="P979" s="1">
        <v>92</v>
      </c>
      <c r="Q979" s="1">
        <v>98</v>
      </c>
    </row>
    <row r="980" spans="1:17" ht="15.75" customHeight="1">
      <c r="A980" s="1">
        <v>2021</v>
      </c>
      <c r="B980" s="1">
        <v>60</v>
      </c>
      <c r="C980" s="1" t="s">
        <v>141</v>
      </c>
      <c r="D980" s="1">
        <v>5.9039999999999999</v>
      </c>
      <c r="E980" s="1">
        <v>0.91900000000000004</v>
      </c>
      <c r="F980" s="1">
        <v>56</v>
      </c>
      <c r="G980" s="1">
        <v>85</v>
      </c>
      <c r="H980" s="1">
        <v>88</v>
      </c>
      <c r="I980" s="1">
        <v>93</v>
      </c>
      <c r="J980" s="1">
        <v>16</v>
      </c>
      <c r="K980" s="1">
        <v>82</v>
      </c>
      <c r="L980" s="1">
        <v>40</v>
      </c>
      <c r="M980" s="1">
        <v>10</v>
      </c>
      <c r="N980" s="1">
        <v>85</v>
      </c>
      <c r="O980" s="1">
        <v>82</v>
      </c>
      <c r="P980" s="1">
        <v>6</v>
      </c>
      <c r="Q980" s="1">
        <v>15</v>
      </c>
    </row>
    <row r="981" spans="1:17" ht="15.75" customHeight="1">
      <c r="A981" s="1">
        <v>2021</v>
      </c>
      <c r="B981" s="1">
        <v>61</v>
      </c>
      <c r="C981" s="1" t="s">
        <v>78</v>
      </c>
      <c r="D981" s="1">
        <v>5.891</v>
      </c>
      <c r="E981" s="1" t="s">
        <v>611</v>
      </c>
      <c r="F981" s="1">
        <v>88</v>
      </c>
      <c r="G981" s="1">
        <v>42</v>
      </c>
      <c r="H981" s="1">
        <v>57</v>
      </c>
      <c r="I981" s="1">
        <v>37</v>
      </c>
      <c r="J981" s="1">
        <v>46</v>
      </c>
      <c r="K981" s="1">
        <v>8</v>
      </c>
      <c r="L981" s="1">
        <v>118</v>
      </c>
      <c r="M981" s="1">
        <v>37</v>
      </c>
      <c r="N981" s="1">
        <v>74</v>
      </c>
      <c r="O981" s="1">
        <v>8</v>
      </c>
      <c r="P981" s="1">
        <v>77</v>
      </c>
      <c r="Q981" s="1">
        <v>59</v>
      </c>
    </row>
    <row r="982" spans="1:17" ht="15.75" customHeight="1">
      <c r="A982" s="1">
        <v>2021</v>
      </c>
      <c r="B982" s="1">
        <v>62</v>
      </c>
      <c r="C982" s="1" t="s">
        <v>285</v>
      </c>
      <c r="D982" s="1">
        <v>5.8570000000000002</v>
      </c>
      <c r="E982" s="1">
        <v>6.6000000000000003E-2</v>
      </c>
      <c r="F982" s="1">
        <v>51</v>
      </c>
      <c r="G982" s="1">
        <v>44</v>
      </c>
      <c r="H982" s="1">
        <v>66</v>
      </c>
      <c r="I982" s="1">
        <v>81</v>
      </c>
      <c r="J982" s="1">
        <v>48</v>
      </c>
      <c r="K982" s="1">
        <v>95</v>
      </c>
      <c r="L982" s="1">
        <v>97</v>
      </c>
      <c r="M982" s="1">
        <v>81</v>
      </c>
      <c r="N982" s="1">
        <v>60</v>
      </c>
      <c r="O982" s="1">
        <v>95</v>
      </c>
      <c r="P982" s="1">
        <v>103</v>
      </c>
      <c r="Q982" s="1">
        <v>39</v>
      </c>
    </row>
    <row r="983" spans="1:17" ht="15.75" customHeight="1">
      <c r="A983" s="1">
        <v>2021</v>
      </c>
      <c r="B983" s="1">
        <v>63</v>
      </c>
      <c r="C983" s="1" t="s">
        <v>130</v>
      </c>
      <c r="D983" s="1">
        <v>5.85</v>
      </c>
      <c r="E983" s="1">
        <v>0.47599999999999998</v>
      </c>
      <c r="F983" s="1">
        <v>102</v>
      </c>
      <c r="G983" s="1">
        <v>54</v>
      </c>
      <c r="H983" s="1">
        <v>84</v>
      </c>
      <c r="I983" s="1">
        <v>76</v>
      </c>
      <c r="J983" s="1">
        <v>86</v>
      </c>
      <c r="K983" s="1">
        <v>98</v>
      </c>
      <c r="L983" s="1">
        <v>101</v>
      </c>
      <c r="M983" s="1">
        <v>51</v>
      </c>
      <c r="N983" s="1">
        <v>79</v>
      </c>
      <c r="O983" s="1">
        <v>98</v>
      </c>
      <c r="P983" s="1">
        <v>9</v>
      </c>
      <c r="Q983" s="1">
        <v>3</v>
      </c>
    </row>
    <row r="984" spans="1:17" ht="15.75" customHeight="1">
      <c r="A984" s="1">
        <v>2021</v>
      </c>
      <c r="B984" s="1">
        <v>64</v>
      </c>
      <c r="C984" s="1" t="s">
        <v>144</v>
      </c>
      <c r="D984" s="1">
        <v>5.8280000000000003</v>
      </c>
      <c r="E984" s="1">
        <v>0.78600000000000003</v>
      </c>
      <c r="F984" s="1">
        <v>22</v>
      </c>
      <c r="G984" s="1">
        <v>30</v>
      </c>
      <c r="H984" s="1">
        <v>99</v>
      </c>
      <c r="I984" s="1">
        <v>64</v>
      </c>
      <c r="J984" s="1">
        <v>11</v>
      </c>
      <c r="K984" s="1">
        <v>35</v>
      </c>
      <c r="L984" s="1">
        <v>110</v>
      </c>
      <c r="M984" s="1">
        <v>66</v>
      </c>
      <c r="N984" s="1">
        <v>30</v>
      </c>
      <c r="O984" s="1">
        <v>35</v>
      </c>
      <c r="P984" s="1">
        <v>66</v>
      </c>
      <c r="Q984" s="1">
        <v>49</v>
      </c>
    </row>
    <row r="985" spans="1:17" ht="15.75" customHeight="1">
      <c r="A985" s="1">
        <v>2021</v>
      </c>
      <c r="B985" s="1">
        <v>65</v>
      </c>
      <c r="C985" s="1" t="s">
        <v>115</v>
      </c>
      <c r="D985" s="1">
        <v>5.8209999999999997</v>
      </c>
      <c r="E985" s="1">
        <v>0.317</v>
      </c>
      <c r="F985" s="1"/>
      <c r="G985" s="1"/>
      <c r="H985" s="1"/>
      <c r="I985" s="1"/>
      <c r="J985" s="1"/>
      <c r="K985" s="1"/>
      <c r="L985" s="1"/>
      <c r="M985" s="1"/>
      <c r="N985" s="1"/>
      <c r="O985" s="1"/>
      <c r="Q985" s="1"/>
    </row>
    <row r="986" spans="1:17" ht="15.75" customHeight="1">
      <c r="A986" s="1">
        <v>2021</v>
      </c>
      <c r="B986" s="1">
        <v>66</v>
      </c>
      <c r="C986" s="1" t="s">
        <v>75</v>
      </c>
      <c r="D986" s="1">
        <v>5.7809999999999997</v>
      </c>
      <c r="E986" s="1" t="s">
        <v>612</v>
      </c>
      <c r="F986" s="1">
        <v>86</v>
      </c>
      <c r="G986" s="1">
        <v>81</v>
      </c>
      <c r="H986" s="1">
        <v>63</v>
      </c>
      <c r="I986" s="1">
        <v>44</v>
      </c>
      <c r="J986" s="1">
        <v>74</v>
      </c>
      <c r="K986" s="1">
        <v>83</v>
      </c>
      <c r="L986" s="1">
        <v>78</v>
      </c>
      <c r="M986" s="1">
        <v>19</v>
      </c>
      <c r="N986" s="1">
        <v>94</v>
      </c>
      <c r="O986" s="1">
        <v>83</v>
      </c>
      <c r="P986" s="1">
        <v>51</v>
      </c>
      <c r="Q986" s="1">
        <v>9</v>
      </c>
    </row>
    <row r="987" spans="1:17" ht="15.75" customHeight="1">
      <c r="A987" s="1">
        <v>2021</v>
      </c>
      <c r="B987" s="1">
        <v>67</v>
      </c>
      <c r="C987" s="1" t="s">
        <v>146</v>
      </c>
      <c r="D987" s="1">
        <v>5.7679999999999998</v>
      </c>
      <c r="E987" s="1">
        <v>0.95499999999999996</v>
      </c>
      <c r="F987" s="1">
        <v>73</v>
      </c>
      <c r="G987" s="1">
        <v>52</v>
      </c>
      <c r="H987" s="1">
        <v>60</v>
      </c>
      <c r="I987" s="1">
        <v>46</v>
      </c>
      <c r="J987" s="1">
        <v>80</v>
      </c>
      <c r="K987" s="1">
        <v>12</v>
      </c>
      <c r="L987" s="1">
        <v>113</v>
      </c>
      <c r="M987" s="1">
        <v>90</v>
      </c>
      <c r="N987" s="1">
        <v>77</v>
      </c>
      <c r="O987" s="1">
        <v>12</v>
      </c>
      <c r="P987" s="1">
        <v>113</v>
      </c>
      <c r="Q987" s="1">
        <v>68</v>
      </c>
    </row>
    <row r="988" spans="1:17" ht="15.75" customHeight="1">
      <c r="A988" s="1">
        <v>2021</v>
      </c>
      <c r="B988" s="1">
        <v>68</v>
      </c>
      <c r="C988" s="1" t="s">
        <v>163</v>
      </c>
      <c r="D988" s="1">
        <v>5.7610000000000001</v>
      </c>
      <c r="E988" s="1">
        <v>0.92700000000000005</v>
      </c>
      <c r="F988" s="1">
        <v>34</v>
      </c>
      <c r="G988" s="1">
        <v>16</v>
      </c>
      <c r="H988" s="1">
        <v>71</v>
      </c>
      <c r="I988" s="1">
        <v>80</v>
      </c>
      <c r="J988" s="1">
        <v>107</v>
      </c>
      <c r="K988" s="1">
        <v>25</v>
      </c>
      <c r="L988" s="1">
        <v>89</v>
      </c>
      <c r="M988" s="1">
        <v>103</v>
      </c>
      <c r="N988" s="1">
        <v>20</v>
      </c>
      <c r="O988" s="1">
        <v>25</v>
      </c>
      <c r="P988" s="1">
        <v>10</v>
      </c>
      <c r="Q988" s="1">
        <v>110</v>
      </c>
    </row>
    <row r="989" spans="1:17" ht="15.75" customHeight="1">
      <c r="A989" s="1">
        <v>2021</v>
      </c>
      <c r="B989" s="1">
        <v>69</v>
      </c>
      <c r="C989" s="1" t="s">
        <v>149</v>
      </c>
      <c r="D989" s="1">
        <v>5.7370000000000001</v>
      </c>
      <c r="E989" s="1">
        <v>0.77400000000000002</v>
      </c>
      <c r="F989" s="1">
        <v>118</v>
      </c>
      <c r="G989" s="1">
        <v>55</v>
      </c>
      <c r="H989" s="1">
        <v>54</v>
      </c>
      <c r="I989" s="1">
        <v>63</v>
      </c>
      <c r="J989" s="1">
        <v>35</v>
      </c>
      <c r="K989" s="1">
        <v>85</v>
      </c>
      <c r="L989" s="1">
        <v>34</v>
      </c>
      <c r="M989" s="1">
        <v>30</v>
      </c>
      <c r="N989" s="1">
        <v>64</v>
      </c>
      <c r="O989" s="1">
        <v>85</v>
      </c>
      <c r="P989" s="1">
        <v>11</v>
      </c>
      <c r="Q989" s="1">
        <v>25</v>
      </c>
    </row>
    <row r="990" spans="1:17" ht="15.75" customHeight="1">
      <c r="A990" s="1">
        <v>2021</v>
      </c>
      <c r="B990" s="1">
        <v>70</v>
      </c>
      <c r="C990" s="1" t="s">
        <v>97</v>
      </c>
      <c r="D990" s="1">
        <v>5.7110000000000003</v>
      </c>
      <c r="E990" s="1" t="s">
        <v>613</v>
      </c>
      <c r="F990" s="1">
        <v>70</v>
      </c>
      <c r="G990" s="1">
        <v>79</v>
      </c>
      <c r="H990" s="1">
        <v>45</v>
      </c>
      <c r="I990" s="1">
        <v>55</v>
      </c>
      <c r="J990" s="1">
        <v>30</v>
      </c>
      <c r="K990" s="1">
        <v>18</v>
      </c>
      <c r="L990" s="1">
        <v>60</v>
      </c>
      <c r="M990" s="1">
        <v>33</v>
      </c>
      <c r="N990" s="1">
        <v>11</v>
      </c>
      <c r="O990" s="1">
        <v>18</v>
      </c>
      <c r="P990" s="1">
        <v>15</v>
      </c>
      <c r="Q990" s="1">
        <v>48</v>
      </c>
    </row>
    <row r="991" spans="1:17" ht="15.75" customHeight="1">
      <c r="A991" s="1">
        <v>2021</v>
      </c>
      <c r="B991" s="1">
        <v>71</v>
      </c>
      <c r="C991" s="1" t="s">
        <v>112</v>
      </c>
      <c r="D991" s="1">
        <v>5.6</v>
      </c>
      <c r="E991" s="1" t="s">
        <v>614</v>
      </c>
      <c r="F991" s="1">
        <v>43</v>
      </c>
      <c r="G991" s="1">
        <v>77</v>
      </c>
      <c r="H991" s="1">
        <v>85</v>
      </c>
      <c r="I991" s="1">
        <v>98</v>
      </c>
      <c r="J991" s="1">
        <v>34</v>
      </c>
      <c r="K991" s="1">
        <v>93</v>
      </c>
      <c r="L991" s="1">
        <v>71</v>
      </c>
      <c r="M991" s="1">
        <v>36</v>
      </c>
      <c r="N991" s="1">
        <v>106</v>
      </c>
      <c r="O991" s="1">
        <v>93</v>
      </c>
      <c r="P991" s="1">
        <v>20</v>
      </c>
      <c r="Q991" s="1">
        <v>13</v>
      </c>
    </row>
    <row r="992" spans="1:17" ht="15.75" customHeight="1">
      <c r="A992" s="1">
        <v>2021</v>
      </c>
      <c r="B992" s="1">
        <v>72</v>
      </c>
      <c r="C992" s="1" t="s">
        <v>142</v>
      </c>
      <c r="D992" s="1">
        <v>5.585</v>
      </c>
      <c r="E992" s="1">
        <v>0.60699999999999998</v>
      </c>
      <c r="F992" s="1">
        <v>62</v>
      </c>
      <c r="G992" s="1">
        <v>56</v>
      </c>
      <c r="H992" s="1">
        <v>56</v>
      </c>
      <c r="I992" s="1">
        <v>26</v>
      </c>
      <c r="J992" s="1">
        <v>31</v>
      </c>
      <c r="K992" s="1">
        <v>54</v>
      </c>
      <c r="L992" s="1">
        <v>46</v>
      </c>
      <c r="M992" s="1">
        <v>35</v>
      </c>
      <c r="N992" s="1">
        <v>54</v>
      </c>
      <c r="O992" s="1">
        <v>37</v>
      </c>
      <c r="P992" s="1">
        <v>51</v>
      </c>
    </row>
    <row r="993" spans="1:17" ht="15.75" customHeight="1">
      <c r="A993" s="1">
        <v>2021</v>
      </c>
      <c r="B993" s="1">
        <v>73</v>
      </c>
      <c r="C993" s="1" t="s">
        <v>126</v>
      </c>
      <c r="D993" s="1">
        <v>5.5780000000000003</v>
      </c>
      <c r="E993" s="1" t="s">
        <v>615</v>
      </c>
      <c r="F993" s="1">
        <v>96</v>
      </c>
      <c r="G993" s="1">
        <v>28</v>
      </c>
      <c r="H993" s="1">
        <v>68</v>
      </c>
      <c r="I993" s="1">
        <v>84</v>
      </c>
      <c r="J993" s="1">
        <v>26</v>
      </c>
      <c r="K993" s="1">
        <v>62</v>
      </c>
      <c r="L993" s="1">
        <v>91</v>
      </c>
      <c r="M993" s="1">
        <v>5</v>
      </c>
      <c r="N993" s="1">
        <v>43</v>
      </c>
      <c r="O993" s="1">
        <v>62</v>
      </c>
      <c r="P993" s="1">
        <v>32</v>
      </c>
      <c r="Q993" s="1">
        <v>29</v>
      </c>
    </row>
    <row r="994" spans="1:17" ht="15.75" customHeight="1">
      <c r="A994" s="1">
        <v>2021</v>
      </c>
      <c r="B994" s="12">
        <v>74</v>
      </c>
      <c r="C994" s="8" t="s">
        <v>616</v>
      </c>
      <c r="D994" s="5">
        <v>5.5590000000000002</v>
      </c>
      <c r="E994" s="9" t="s">
        <v>617</v>
      </c>
      <c r="F994" s="6">
        <v>87</v>
      </c>
      <c r="G994" s="6">
        <v>67</v>
      </c>
      <c r="H994" s="6">
        <v>69</v>
      </c>
      <c r="I994" s="7">
        <v>69</v>
      </c>
      <c r="J994" s="6">
        <v>61</v>
      </c>
      <c r="K994" s="6">
        <v>94</v>
      </c>
      <c r="L994" s="6">
        <v>100</v>
      </c>
      <c r="M994" s="6">
        <v>11</v>
      </c>
      <c r="N994" s="6">
        <v>100</v>
      </c>
      <c r="O994" s="6">
        <v>94</v>
      </c>
      <c r="P994" s="6">
        <v>52</v>
      </c>
      <c r="Q994" s="6">
        <v>33</v>
      </c>
    </row>
    <row r="995" spans="1:17" ht="15.75" customHeight="1">
      <c r="A995" s="1">
        <v>2021</v>
      </c>
      <c r="B995" s="1">
        <v>75</v>
      </c>
      <c r="C995" s="1" t="s">
        <v>147</v>
      </c>
      <c r="D995" s="1">
        <v>5.5469999999999997</v>
      </c>
      <c r="E995" s="1">
        <v>0.248</v>
      </c>
      <c r="F995" s="1"/>
      <c r="G995" s="1"/>
      <c r="H995" s="1"/>
      <c r="I995" s="1"/>
      <c r="J995" s="1"/>
      <c r="K995" s="1"/>
      <c r="L995" s="1"/>
      <c r="M995" s="1"/>
      <c r="N995" s="1"/>
      <c r="O995" s="1"/>
      <c r="Q995" s="1"/>
    </row>
    <row r="996" spans="1:17" ht="15.75" customHeight="1">
      <c r="A996" s="1">
        <v>2021</v>
      </c>
      <c r="B996" s="1">
        <v>76</v>
      </c>
      <c r="C996" s="1" t="s">
        <v>102</v>
      </c>
      <c r="D996" s="1">
        <v>5.5330000000000004</v>
      </c>
      <c r="E996" s="1" t="s">
        <v>610</v>
      </c>
      <c r="F996" s="1">
        <v>82</v>
      </c>
      <c r="G996" s="1">
        <v>82</v>
      </c>
      <c r="H996" s="1">
        <v>75</v>
      </c>
      <c r="I996" s="1">
        <v>51</v>
      </c>
      <c r="J996" s="1">
        <v>53</v>
      </c>
      <c r="K996" s="1">
        <v>96</v>
      </c>
      <c r="L996" s="1">
        <v>62</v>
      </c>
      <c r="M996" s="1">
        <v>26</v>
      </c>
      <c r="N996" s="1">
        <v>105</v>
      </c>
      <c r="O996" s="1">
        <v>96</v>
      </c>
      <c r="P996" s="1">
        <v>31</v>
      </c>
      <c r="Q996" s="1">
        <v>17</v>
      </c>
    </row>
    <row r="997" spans="1:17" ht="15.75" customHeight="1">
      <c r="A997" s="1">
        <v>2021</v>
      </c>
      <c r="B997" s="1">
        <v>77</v>
      </c>
      <c r="C997" s="1" t="s">
        <v>157</v>
      </c>
      <c r="D997" s="1">
        <v>5.4850000000000003</v>
      </c>
      <c r="E997" s="1" t="s">
        <v>536</v>
      </c>
      <c r="F997" s="1">
        <v>44</v>
      </c>
      <c r="G997" s="1">
        <v>76</v>
      </c>
      <c r="H997" s="1">
        <v>80</v>
      </c>
      <c r="I997" s="1">
        <v>41</v>
      </c>
      <c r="J997" s="1">
        <v>21</v>
      </c>
      <c r="K997" s="1">
        <v>41</v>
      </c>
      <c r="L997" s="1">
        <v>67</v>
      </c>
      <c r="M997" s="1">
        <v>69</v>
      </c>
      <c r="N997" s="1">
        <v>68</v>
      </c>
      <c r="O997" s="1">
        <v>41</v>
      </c>
      <c r="P997" s="1">
        <v>44</v>
      </c>
      <c r="Q997" s="1">
        <v>58</v>
      </c>
    </row>
    <row r="998" spans="1:17" ht="15.75" customHeight="1">
      <c r="A998" s="1">
        <v>2021</v>
      </c>
      <c r="B998" s="1">
        <v>78</v>
      </c>
      <c r="C998" s="1" t="s">
        <v>120</v>
      </c>
      <c r="D998" s="1">
        <v>5.4740000000000002</v>
      </c>
      <c r="E998" s="1" t="s">
        <v>618</v>
      </c>
      <c r="F998" s="1"/>
      <c r="G998" s="1"/>
      <c r="H998" s="1"/>
      <c r="I998" s="1"/>
      <c r="J998" s="1"/>
      <c r="K998" s="1"/>
      <c r="L998" s="1"/>
      <c r="M998" s="1"/>
      <c r="Q998" s="1"/>
    </row>
    <row r="999" spans="1:17" ht="15.75" customHeight="1">
      <c r="A999" s="1">
        <v>2021</v>
      </c>
      <c r="B999" s="12">
        <v>78</v>
      </c>
      <c r="C999" s="8" t="s">
        <v>619</v>
      </c>
      <c r="D999" s="5">
        <v>5.4740000000000002</v>
      </c>
      <c r="E999" s="9" t="s">
        <v>618</v>
      </c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</row>
    <row r="1000" spans="1:17" ht="15.75" customHeight="1">
      <c r="A1000" s="1">
        <v>2021</v>
      </c>
      <c r="B1000" s="1">
        <v>80</v>
      </c>
      <c r="C1000" s="1" t="s">
        <v>108</v>
      </c>
      <c r="D1000" s="1">
        <v>5.4589999999999996</v>
      </c>
      <c r="E1000" s="1" t="s">
        <v>620</v>
      </c>
      <c r="F1000" s="1">
        <v>60</v>
      </c>
      <c r="G1000" s="1">
        <v>51</v>
      </c>
      <c r="H1000" s="1">
        <v>34</v>
      </c>
      <c r="I1000" s="1">
        <v>83</v>
      </c>
      <c r="J1000" s="1">
        <v>104</v>
      </c>
      <c r="K1000" s="1">
        <v>37</v>
      </c>
      <c r="L1000" s="1">
        <v>69</v>
      </c>
      <c r="M1000" s="1">
        <v>92</v>
      </c>
      <c r="N1000" s="1">
        <v>16</v>
      </c>
      <c r="O1000" s="1">
        <v>37</v>
      </c>
      <c r="P1000" s="1">
        <v>54</v>
      </c>
      <c r="Q1000" s="1">
        <v>31</v>
      </c>
    </row>
    <row r="1001" spans="1:17" ht="15.75" customHeight="1">
      <c r="A1001" s="1">
        <v>2021</v>
      </c>
      <c r="B1001" s="1">
        <v>81</v>
      </c>
      <c r="C1001" s="1" t="s">
        <v>132</v>
      </c>
      <c r="D1001" s="1">
        <v>5.4249999999999998</v>
      </c>
      <c r="E1001" s="1" t="s">
        <v>362</v>
      </c>
      <c r="F1001" s="1">
        <v>25</v>
      </c>
      <c r="G1001" s="1">
        <v>66</v>
      </c>
      <c r="H1001" s="1">
        <v>9</v>
      </c>
      <c r="I1001" s="1"/>
      <c r="J1001" s="1">
        <v>105</v>
      </c>
      <c r="K1001" s="1">
        <v>34</v>
      </c>
      <c r="L1001" s="1">
        <v>10</v>
      </c>
      <c r="M1001" s="1">
        <v>110</v>
      </c>
      <c r="N1001" s="1">
        <v>29</v>
      </c>
      <c r="O1001" s="1">
        <v>34</v>
      </c>
      <c r="P1001" s="1">
        <v>106</v>
      </c>
      <c r="Q1001" s="1">
        <v>88</v>
      </c>
    </row>
    <row r="1002" spans="1:17" ht="15.75" customHeight="1">
      <c r="A1002" s="1">
        <v>2021</v>
      </c>
      <c r="B1002" s="1">
        <v>82</v>
      </c>
      <c r="C1002" s="1" t="s">
        <v>192</v>
      </c>
      <c r="D1002" s="1">
        <v>5.399</v>
      </c>
      <c r="E1002" s="1">
        <v>1.083</v>
      </c>
      <c r="F1002" s="1">
        <v>54</v>
      </c>
      <c r="G1002" s="1">
        <v>87</v>
      </c>
      <c r="H1002" s="1">
        <v>65</v>
      </c>
      <c r="I1002" s="1">
        <v>53</v>
      </c>
      <c r="J1002" s="1">
        <v>67</v>
      </c>
      <c r="K1002" s="1">
        <v>110</v>
      </c>
      <c r="L1002" s="1">
        <v>37</v>
      </c>
      <c r="M1002" s="1">
        <v>100</v>
      </c>
      <c r="N1002" s="1">
        <v>120</v>
      </c>
      <c r="O1002" s="1">
        <v>110</v>
      </c>
      <c r="P1002" s="1">
        <v>110</v>
      </c>
      <c r="Q1002" s="1">
        <v>74</v>
      </c>
    </row>
    <row r="1003" spans="1:17" ht="15.75" customHeight="1">
      <c r="A1003" s="1">
        <v>2021</v>
      </c>
      <c r="B1003" s="1">
        <v>83</v>
      </c>
      <c r="C1003" s="1" t="s">
        <v>162</v>
      </c>
      <c r="D1003" s="1">
        <v>5.3769999999999998</v>
      </c>
      <c r="E1003" s="1">
        <v>0.997</v>
      </c>
      <c r="F1003" s="1">
        <v>38</v>
      </c>
      <c r="G1003" s="1">
        <v>41</v>
      </c>
      <c r="H1003" s="1">
        <v>107</v>
      </c>
      <c r="I1003" s="1">
        <v>67</v>
      </c>
      <c r="J1003" s="1">
        <v>111</v>
      </c>
      <c r="K1003" s="1">
        <v>16</v>
      </c>
      <c r="L1003" s="1">
        <v>68</v>
      </c>
      <c r="M1003" s="1">
        <v>38</v>
      </c>
      <c r="N1003" s="1">
        <v>111</v>
      </c>
      <c r="O1003" s="1">
        <v>5</v>
      </c>
      <c r="P1003" s="1">
        <v>77</v>
      </c>
    </row>
    <row r="1004" spans="1:17" ht="15.75" customHeight="1">
      <c r="A1004" s="1">
        <v>2021</v>
      </c>
      <c r="B1004" s="1">
        <v>84</v>
      </c>
      <c r="C1004" s="1" t="s">
        <v>172</v>
      </c>
      <c r="D1004" s="1">
        <v>5.3769999999999998</v>
      </c>
      <c r="E1004" s="1">
        <v>1.2210000000000001</v>
      </c>
      <c r="F1004" s="1">
        <v>104</v>
      </c>
      <c r="G1004" s="1">
        <v>98</v>
      </c>
      <c r="H1004" s="1">
        <v>105</v>
      </c>
      <c r="I1004" s="1">
        <v>89</v>
      </c>
      <c r="J1004" s="1">
        <v>57</v>
      </c>
      <c r="K1004" s="1">
        <v>46</v>
      </c>
      <c r="L1004" s="1">
        <v>61</v>
      </c>
      <c r="M1004" s="1">
        <v>118</v>
      </c>
      <c r="N1004" s="1">
        <v>96</v>
      </c>
      <c r="O1004" s="1">
        <v>46</v>
      </c>
      <c r="P1004" s="1">
        <v>27</v>
      </c>
      <c r="Q1004" s="1">
        <v>87</v>
      </c>
    </row>
    <row r="1005" spans="1:17" ht="15.75" customHeight="1">
      <c r="A1005" s="1">
        <v>2021</v>
      </c>
      <c r="B1005" s="1">
        <v>85</v>
      </c>
      <c r="C1005" s="1" t="s">
        <v>205</v>
      </c>
      <c r="D1005" s="1">
        <v>5.3710000000000004</v>
      </c>
      <c r="E1005" s="1">
        <v>1.39</v>
      </c>
      <c r="F1005" s="1">
        <v>58</v>
      </c>
      <c r="G1005" s="1">
        <v>40</v>
      </c>
      <c r="H1005" s="1">
        <v>47</v>
      </c>
      <c r="I1005" s="1">
        <v>71</v>
      </c>
      <c r="J1005" s="1">
        <v>41</v>
      </c>
      <c r="K1005" s="1">
        <v>57</v>
      </c>
      <c r="L1005" s="1">
        <v>104</v>
      </c>
      <c r="M1005" s="1">
        <v>71</v>
      </c>
      <c r="N1005" s="1">
        <v>46</v>
      </c>
      <c r="O1005" s="1">
        <v>57</v>
      </c>
      <c r="P1005" s="1">
        <v>82</v>
      </c>
      <c r="Q1005" s="1">
        <v>28</v>
      </c>
    </row>
    <row r="1006" spans="1:17" ht="15.75" customHeight="1">
      <c r="A1006" s="1">
        <v>2021</v>
      </c>
      <c r="B1006" s="1">
        <v>86</v>
      </c>
      <c r="C1006" s="1" t="s">
        <v>122</v>
      </c>
      <c r="D1006" s="1">
        <v>5.33</v>
      </c>
      <c r="E1006" s="1" t="s">
        <v>621</v>
      </c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Q1006" s="1"/>
    </row>
    <row r="1007" spans="1:17" ht="15.75" customHeight="1">
      <c r="A1007" s="1">
        <v>2021</v>
      </c>
      <c r="B1007" s="1">
        <v>87</v>
      </c>
      <c r="C1007" s="1" t="s">
        <v>137</v>
      </c>
      <c r="D1007" s="1">
        <v>5.24</v>
      </c>
      <c r="E1007" s="1" t="s">
        <v>622</v>
      </c>
      <c r="F1007" s="1">
        <v>69</v>
      </c>
      <c r="G1007" s="1">
        <v>68</v>
      </c>
      <c r="H1007" s="1">
        <v>76</v>
      </c>
      <c r="I1007" s="1">
        <v>85</v>
      </c>
      <c r="J1007" s="1">
        <v>28</v>
      </c>
      <c r="K1007" s="1">
        <v>1</v>
      </c>
      <c r="L1007" s="1">
        <v>85</v>
      </c>
      <c r="M1007" s="1">
        <v>8</v>
      </c>
      <c r="N1007" s="1">
        <v>61</v>
      </c>
      <c r="O1007" s="1">
        <v>1</v>
      </c>
      <c r="P1007" s="1">
        <v>1</v>
      </c>
      <c r="Q1007" s="1">
        <v>78</v>
      </c>
    </row>
    <row r="1008" spans="1:17" ht="15.75" customHeight="1">
      <c r="A1008" s="1">
        <v>2021</v>
      </c>
      <c r="B1008" s="1">
        <v>88</v>
      </c>
      <c r="C1008" s="1" t="s">
        <v>220</v>
      </c>
      <c r="D1008" s="1">
        <v>5.2350000000000003</v>
      </c>
      <c r="E1008" s="1">
        <v>109</v>
      </c>
      <c r="F1008" s="1">
        <v>117</v>
      </c>
      <c r="G1008" s="1">
        <v>98</v>
      </c>
      <c r="H1008" s="1">
        <v>92</v>
      </c>
      <c r="I1008" s="1"/>
      <c r="J1008" s="1">
        <v>89</v>
      </c>
      <c r="K1008" s="1">
        <v>39</v>
      </c>
      <c r="L1008" s="1">
        <v>84</v>
      </c>
      <c r="M1008" s="1">
        <v>91</v>
      </c>
      <c r="N1008" s="1">
        <v>89</v>
      </c>
      <c r="O1008" s="1">
        <v>76</v>
      </c>
      <c r="P1008" s="1">
        <v>44</v>
      </c>
      <c r="Q1008" s="1"/>
    </row>
    <row r="1009" spans="1:17" ht="15.75" customHeight="1">
      <c r="A1009" s="1">
        <v>2021</v>
      </c>
      <c r="B1009" s="1">
        <v>89</v>
      </c>
      <c r="C1009" s="1" t="s">
        <v>156</v>
      </c>
      <c r="D1009" s="1">
        <v>5.1989999999999998</v>
      </c>
      <c r="E1009" s="1">
        <v>0.625</v>
      </c>
      <c r="F1009" s="1">
        <v>85</v>
      </c>
      <c r="G1009" s="1">
        <v>73</v>
      </c>
      <c r="H1009" s="1">
        <v>53</v>
      </c>
      <c r="I1009" s="1">
        <v>60</v>
      </c>
      <c r="J1009" s="1">
        <v>69</v>
      </c>
      <c r="K1009" s="1">
        <v>26</v>
      </c>
      <c r="L1009" s="1">
        <v>102</v>
      </c>
      <c r="M1009" s="1">
        <v>102</v>
      </c>
      <c r="N1009" s="1">
        <v>75</v>
      </c>
      <c r="O1009" s="1">
        <v>26</v>
      </c>
      <c r="P1009" s="1">
        <v>99</v>
      </c>
      <c r="Q1009" s="1">
        <v>35</v>
      </c>
    </row>
    <row r="1010" spans="1:17" ht="15.75" customHeight="1">
      <c r="A1010" s="1">
        <v>2021</v>
      </c>
      <c r="B1010" s="1">
        <v>90</v>
      </c>
      <c r="C1010" s="1" t="s">
        <v>174</v>
      </c>
      <c r="D1010" s="1">
        <v>5.1989999999999998</v>
      </c>
      <c r="E1010" s="1" t="s">
        <v>92</v>
      </c>
      <c r="F1010" s="1">
        <v>90</v>
      </c>
      <c r="G1010" s="1">
        <v>97</v>
      </c>
      <c r="H1010" s="1">
        <v>64</v>
      </c>
      <c r="I1010" s="1">
        <v>35</v>
      </c>
      <c r="J1010" s="1">
        <v>50</v>
      </c>
      <c r="K1010" s="1">
        <v>50</v>
      </c>
      <c r="L1010" s="1">
        <v>107</v>
      </c>
      <c r="M1010" s="1">
        <v>106</v>
      </c>
      <c r="N1010" s="1">
        <v>48</v>
      </c>
      <c r="O1010" s="1">
        <v>50</v>
      </c>
      <c r="P1010" s="1">
        <v>121</v>
      </c>
      <c r="Q1010" s="1">
        <v>80</v>
      </c>
    </row>
    <row r="1011" spans="1:17" ht="15.75" customHeight="1">
      <c r="A1011" s="1">
        <v>2021</v>
      </c>
      <c r="B1011" s="1">
        <v>91</v>
      </c>
      <c r="C1011" s="1" t="s">
        <v>185</v>
      </c>
      <c r="D1011" s="1">
        <v>5.194</v>
      </c>
      <c r="E1011" s="1">
        <v>0.23100000000000001</v>
      </c>
      <c r="F1011" s="1">
        <v>97</v>
      </c>
      <c r="G1011" s="1">
        <v>19</v>
      </c>
      <c r="H1011" s="1">
        <v>74</v>
      </c>
      <c r="I1011" s="1">
        <v>114</v>
      </c>
      <c r="J1011" s="1">
        <v>98</v>
      </c>
      <c r="K1011" s="1">
        <v>109</v>
      </c>
      <c r="L1011" s="1">
        <v>105</v>
      </c>
      <c r="M1011" s="1">
        <v>12</v>
      </c>
      <c r="N1011" s="1">
        <v>7</v>
      </c>
      <c r="O1011" s="1">
        <v>109</v>
      </c>
      <c r="P1011" s="1">
        <v>35</v>
      </c>
      <c r="Q1011" s="1">
        <v>69</v>
      </c>
    </row>
    <row r="1012" spans="1:17" ht="15.75" customHeight="1">
      <c r="A1012" s="1">
        <v>2021</v>
      </c>
      <c r="B1012" s="1">
        <v>92</v>
      </c>
      <c r="C1012" s="1" t="s">
        <v>140</v>
      </c>
      <c r="D1012" s="1">
        <v>5.173</v>
      </c>
      <c r="E1012" s="1">
        <v>0.56899999999999995</v>
      </c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Q1012" s="1"/>
    </row>
    <row r="1013" spans="1:17" ht="15.75" customHeight="1">
      <c r="A1013" s="1">
        <v>2021</v>
      </c>
      <c r="B1013" s="1">
        <v>93</v>
      </c>
      <c r="C1013" s="1" t="s">
        <v>403</v>
      </c>
      <c r="D1013" s="1">
        <v>5.1639999999999997</v>
      </c>
      <c r="E1013" s="1"/>
      <c r="F1013" s="1"/>
      <c r="G1013" s="1"/>
      <c r="H1013" s="1"/>
      <c r="I1013" s="1"/>
      <c r="J1013" s="1"/>
      <c r="K1013" s="1"/>
      <c r="L1013" s="1"/>
      <c r="M1013" s="1"/>
      <c r="Q1013" s="1"/>
    </row>
    <row r="1014" spans="1:17" ht="15.75" customHeight="1">
      <c r="A1014" s="1">
        <v>2021</v>
      </c>
      <c r="B1014" s="12">
        <v>94</v>
      </c>
      <c r="C1014" s="8" t="s">
        <v>623</v>
      </c>
      <c r="D1014" s="5">
        <v>5.1550000000000002</v>
      </c>
      <c r="E1014" s="6">
        <v>0.35099999999999998</v>
      </c>
      <c r="F1014" s="6">
        <v>108</v>
      </c>
      <c r="G1014" s="6">
        <v>120</v>
      </c>
      <c r="H1014" s="6">
        <v>92</v>
      </c>
      <c r="I1014" s="10">
        <v>68</v>
      </c>
      <c r="J1014" s="6">
        <v>22</v>
      </c>
      <c r="K1014" s="6">
        <v>56</v>
      </c>
      <c r="L1014" s="6">
        <v>51</v>
      </c>
      <c r="M1014" s="6">
        <v>114</v>
      </c>
      <c r="N1014" s="6">
        <v>115</v>
      </c>
      <c r="O1014" s="6">
        <v>56</v>
      </c>
      <c r="P1014" s="6">
        <v>83</v>
      </c>
      <c r="Q1014" s="6">
        <v>37</v>
      </c>
    </row>
    <row r="1015" spans="1:17" ht="15.75" customHeight="1">
      <c r="A1015" s="1">
        <v>2021</v>
      </c>
      <c r="B1015" s="12">
        <v>95</v>
      </c>
      <c r="C1015" s="8" t="s">
        <v>624</v>
      </c>
      <c r="D1015" s="5">
        <v>5.14</v>
      </c>
      <c r="E1015" s="6">
        <v>0.35299999999999998</v>
      </c>
      <c r="F1015" s="6">
        <v>77</v>
      </c>
      <c r="G1015" s="6">
        <v>104</v>
      </c>
      <c r="H1015" s="6">
        <v>90</v>
      </c>
      <c r="I1015" s="7">
        <v>87</v>
      </c>
      <c r="J1015" s="6">
        <v>8</v>
      </c>
      <c r="K1015" s="6">
        <v>65</v>
      </c>
      <c r="L1015" s="6">
        <v>29</v>
      </c>
      <c r="M1015" s="6">
        <v>42</v>
      </c>
      <c r="N1015" s="6">
        <v>71</v>
      </c>
      <c r="O1015" s="6">
        <v>65</v>
      </c>
      <c r="P1015" s="6">
        <v>95</v>
      </c>
      <c r="Q1015" s="6">
        <v>120</v>
      </c>
    </row>
    <row r="1016" spans="1:17" ht="15.75" customHeight="1">
      <c r="A1016" s="1">
        <v>2021</v>
      </c>
      <c r="B1016" s="1">
        <v>96</v>
      </c>
      <c r="C1016" s="1" t="s">
        <v>85</v>
      </c>
      <c r="D1016" s="1">
        <v>5.1219999999999999</v>
      </c>
      <c r="E1016" s="1" t="s">
        <v>589</v>
      </c>
      <c r="F1016" s="1">
        <v>32</v>
      </c>
      <c r="G1016" s="1">
        <v>63</v>
      </c>
      <c r="H1016" s="1">
        <v>72</v>
      </c>
      <c r="I1016" s="1">
        <v>39</v>
      </c>
      <c r="J1016" s="1">
        <v>118</v>
      </c>
      <c r="K1016" s="1">
        <v>105</v>
      </c>
      <c r="L1016" s="1">
        <v>38</v>
      </c>
      <c r="M1016" s="1">
        <v>115</v>
      </c>
      <c r="N1016" s="1">
        <v>49</v>
      </c>
      <c r="O1016" s="1">
        <v>105</v>
      </c>
      <c r="P1016" s="1">
        <v>100</v>
      </c>
      <c r="Q1016" s="1">
        <v>79</v>
      </c>
    </row>
    <row r="1017" spans="1:17" ht="15.75" customHeight="1">
      <c r="A1017" s="1">
        <v>2021</v>
      </c>
      <c r="B1017" s="1">
        <v>97</v>
      </c>
      <c r="C1017" s="1" t="s">
        <v>238</v>
      </c>
      <c r="D1017" s="1">
        <v>5.1219999999999999</v>
      </c>
      <c r="E1017" s="1">
        <v>0.92600000000000005</v>
      </c>
      <c r="F1017" s="1"/>
      <c r="G1017" s="1"/>
      <c r="H1017" s="1"/>
      <c r="I1017" s="1"/>
      <c r="J1017" s="1"/>
      <c r="K1017" s="1"/>
      <c r="L1017" s="1"/>
      <c r="M1017" s="1"/>
      <c r="Q1017" s="1"/>
    </row>
    <row r="1018" spans="1:17" ht="15.75" customHeight="1">
      <c r="A1018" s="1">
        <v>2021</v>
      </c>
      <c r="B1018" s="1">
        <v>98</v>
      </c>
      <c r="C1018" s="1" t="s">
        <v>195</v>
      </c>
      <c r="D1018" s="1">
        <v>5.0839999999999996</v>
      </c>
      <c r="E1018" s="1">
        <v>2.7E-2</v>
      </c>
      <c r="F1018" s="1">
        <v>52</v>
      </c>
      <c r="G1018" s="1">
        <v>45</v>
      </c>
      <c r="H1018" s="1">
        <v>62</v>
      </c>
      <c r="I1018" s="1">
        <v>78</v>
      </c>
      <c r="J1018" s="1">
        <v>77</v>
      </c>
      <c r="K1018" s="1">
        <v>31</v>
      </c>
      <c r="L1018" s="1">
        <v>114</v>
      </c>
      <c r="M1018" s="1">
        <v>97</v>
      </c>
      <c r="N1018" s="1">
        <v>44</v>
      </c>
      <c r="O1018" s="1">
        <v>31</v>
      </c>
      <c r="P1018" s="1">
        <v>56</v>
      </c>
      <c r="Q1018" s="1">
        <v>14</v>
      </c>
    </row>
    <row r="1019" spans="1:17" ht="15.75" customHeight="1">
      <c r="A1019" s="1">
        <v>2021</v>
      </c>
      <c r="B1019" s="1">
        <v>99</v>
      </c>
      <c r="C1019" s="1" t="s">
        <v>202</v>
      </c>
      <c r="D1019" s="1">
        <v>5.0750000000000002</v>
      </c>
      <c r="E1019" s="1">
        <v>0.77800000000000002</v>
      </c>
      <c r="F1019" s="1">
        <v>119</v>
      </c>
      <c r="G1019" s="1">
        <v>115</v>
      </c>
      <c r="H1019" s="1">
        <v>95</v>
      </c>
      <c r="I1019" s="1">
        <v>105</v>
      </c>
      <c r="J1019" s="1">
        <v>84</v>
      </c>
      <c r="K1019" s="1">
        <v>102</v>
      </c>
      <c r="L1019" s="1">
        <v>44</v>
      </c>
      <c r="M1019" s="1">
        <v>98</v>
      </c>
      <c r="N1019" s="1">
        <v>109</v>
      </c>
      <c r="O1019" s="1">
        <v>102</v>
      </c>
      <c r="P1019" s="1">
        <v>45</v>
      </c>
      <c r="Q1019" s="1">
        <v>36</v>
      </c>
    </row>
    <row r="1020" spans="1:17" ht="15.75" customHeight="1">
      <c r="A1020" s="1">
        <v>2021</v>
      </c>
      <c r="B1020" s="1">
        <v>100</v>
      </c>
      <c r="C1020" s="1" t="s">
        <v>150</v>
      </c>
      <c r="D1020" s="1">
        <v>5.0599999999999996</v>
      </c>
      <c r="E1020" s="1">
        <v>0.17499999999999999</v>
      </c>
      <c r="F1020" s="1">
        <v>91</v>
      </c>
      <c r="G1020" s="1">
        <v>119</v>
      </c>
      <c r="H1020" s="1">
        <v>89</v>
      </c>
      <c r="I1020" s="1">
        <v>72</v>
      </c>
      <c r="J1020" s="1">
        <v>79</v>
      </c>
      <c r="K1020" s="1">
        <v>120</v>
      </c>
      <c r="L1020" s="1">
        <v>73</v>
      </c>
      <c r="M1020" s="1">
        <v>105</v>
      </c>
      <c r="N1020" s="1">
        <v>90</v>
      </c>
      <c r="O1020" s="1">
        <v>120</v>
      </c>
      <c r="P1020" s="1">
        <v>98</v>
      </c>
      <c r="Q1020" s="1">
        <v>24</v>
      </c>
    </row>
    <row r="1021" spans="1:17" ht="15.75" customHeight="1">
      <c r="A1021" s="1">
        <v>2021</v>
      </c>
      <c r="B1021" s="1">
        <v>101</v>
      </c>
      <c r="C1021" s="1" t="s">
        <v>252</v>
      </c>
      <c r="D1021" s="1">
        <v>5.048</v>
      </c>
      <c r="E1021" s="1">
        <v>7.6999999999999999E-2</v>
      </c>
      <c r="F1021" s="1">
        <v>122</v>
      </c>
      <c r="G1021" s="1">
        <v>102</v>
      </c>
      <c r="H1021" s="1">
        <v>120</v>
      </c>
      <c r="I1021" s="1">
        <v>117</v>
      </c>
      <c r="J1021" s="1">
        <v>43</v>
      </c>
      <c r="K1021" s="1">
        <v>104</v>
      </c>
      <c r="L1021" s="1">
        <v>24</v>
      </c>
      <c r="M1021" s="1">
        <v>96</v>
      </c>
      <c r="N1021" s="1">
        <v>102</v>
      </c>
      <c r="O1021" s="1">
        <v>104</v>
      </c>
      <c r="P1021" s="1">
        <v>26</v>
      </c>
      <c r="Q1021" s="1">
        <v>94</v>
      </c>
    </row>
    <row r="1022" spans="1:17" ht="15.75" customHeight="1">
      <c r="A1022" s="1">
        <v>2021</v>
      </c>
      <c r="B1022" s="1">
        <v>102</v>
      </c>
      <c r="C1022" s="1" t="s">
        <v>182</v>
      </c>
      <c r="D1022" s="1">
        <v>5.048</v>
      </c>
      <c r="E1022" s="1">
        <v>0.628</v>
      </c>
      <c r="F1022" s="1">
        <v>100</v>
      </c>
      <c r="G1022" s="1">
        <v>99</v>
      </c>
      <c r="H1022" s="1">
        <v>104</v>
      </c>
      <c r="I1022" s="1">
        <v>108</v>
      </c>
      <c r="J1022" s="1">
        <v>94</v>
      </c>
      <c r="K1022" s="1">
        <v>101</v>
      </c>
      <c r="L1022" s="1">
        <v>88</v>
      </c>
      <c r="M1022" s="1">
        <v>88</v>
      </c>
      <c r="N1022" s="1">
        <v>93</v>
      </c>
      <c r="O1022" s="1">
        <v>101</v>
      </c>
      <c r="P1022" s="1">
        <v>70</v>
      </c>
      <c r="Q1022" s="1">
        <v>32</v>
      </c>
    </row>
    <row r="1023" spans="1:17" ht="15.75" customHeight="1">
      <c r="A1023" s="1">
        <v>2021</v>
      </c>
      <c r="B1023" s="1">
        <v>103</v>
      </c>
      <c r="C1023" s="1" t="s">
        <v>204</v>
      </c>
      <c r="D1023" s="1">
        <v>5.0460000000000003</v>
      </c>
      <c r="E1023" s="1">
        <v>1.087</v>
      </c>
      <c r="F1023" s="1">
        <v>105</v>
      </c>
      <c r="G1023" s="1">
        <v>105</v>
      </c>
      <c r="H1023" s="1">
        <v>106</v>
      </c>
      <c r="I1023" s="1">
        <v>92</v>
      </c>
      <c r="J1023" s="1">
        <v>81</v>
      </c>
      <c r="K1023" s="1">
        <v>88</v>
      </c>
      <c r="L1023" s="1">
        <v>74</v>
      </c>
      <c r="M1023" s="1">
        <v>3</v>
      </c>
      <c r="N1023" s="1">
        <v>55</v>
      </c>
      <c r="O1023" s="1">
        <v>88</v>
      </c>
      <c r="P1023" s="1">
        <v>47</v>
      </c>
      <c r="Q1023" s="1">
        <v>30</v>
      </c>
    </row>
    <row r="1024" spans="1:17" ht="15.75" customHeight="1">
      <c r="A1024" s="1">
        <v>2021</v>
      </c>
      <c r="B1024" s="1">
        <v>104</v>
      </c>
      <c r="C1024" s="1" t="s">
        <v>224</v>
      </c>
      <c r="D1024" s="1">
        <v>5.0030000000000001</v>
      </c>
      <c r="E1024" s="1">
        <v>0.85099999999999998</v>
      </c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Q1024" s="1"/>
    </row>
    <row r="1025" spans="1:17" ht="15.75" customHeight="1">
      <c r="A1025" s="1">
        <v>2021</v>
      </c>
      <c r="B1025" s="1">
        <v>105</v>
      </c>
      <c r="C1025" s="1" t="s">
        <v>201</v>
      </c>
      <c r="D1025" s="1">
        <v>4.9729999999999999</v>
      </c>
      <c r="E1025" s="1">
        <v>0.78600000000000003</v>
      </c>
      <c r="F1025" s="1">
        <v>55</v>
      </c>
      <c r="G1025" s="1">
        <v>101</v>
      </c>
      <c r="H1025" s="1">
        <v>58</v>
      </c>
      <c r="I1025" s="1">
        <v>70</v>
      </c>
      <c r="J1025" s="1">
        <v>73</v>
      </c>
      <c r="K1025" s="1">
        <v>122</v>
      </c>
      <c r="L1025" s="1">
        <v>41</v>
      </c>
      <c r="M1025" s="1">
        <v>113</v>
      </c>
      <c r="N1025" s="1">
        <v>37</v>
      </c>
      <c r="O1025" s="1">
        <v>122</v>
      </c>
      <c r="P1025" s="1">
        <v>69</v>
      </c>
      <c r="Q1025" s="1">
        <v>41</v>
      </c>
    </row>
    <row r="1026" spans="1:17" ht="15.75" customHeight="1">
      <c r="A1026" s="1">
        <v>2021</v>
      </c>
      <c r="B1026" s="1">
        <v>106</v>
      </c>
      <c r="C1026" s="1" t="s">
        <v>306</v>
      </c>
      <c r="D1026" s="1">
        <v>4.9580000000000002</v>
      </c>
      <c r="E1026" s="1">
        <v>0.84399999999999997</v>
      </c>
      <c r="F1026" s="1">
        <v>57</v>
      </c>
      <c r="G1026" s="1">
        <v>88</v>
      </c>
      <c r="H1026" s="1">
        <v>59</v>
      </c>
      <c r="I1026" s="1">
        <v>101</v>
      </c>
      <c r="J1026" s="1">
        <v>100</v>
      </c>
      <c r="K1026" s="1">
        <v>116</v>
      </c>
      <c r="L1026" s="1">
        <v>59</v>
      </c>
      <c r="M1026" s="1">
        <v>86</v>
      </c>
      <c r="N1026" s="1">
        <v>98</v>
      </c>
      <c r="O1026" s="1">
        <v>116</v>
      </c>
      <c r="P1026" s="1">
        <v>87</v>
      </c>
      <c r="Q1026" s="1">
        <v>23</v>
      </c>
    </row>
    <row r="1027" spans="1:17" ht="15.75" customHeight="1">
      <c r="A1027" s="1">
        <v>2021</v>
      </c>
      <c r="B1027" s="1">
        <v>107</v>
      </c>
      <c r="C1027" s="1" t="s">
        <v>179</v>
      </c>
      <c r="D1027" s="1">
        <v>4.9409999999999998</v>
      </c>
      <c r="E1027" s="1">
        <v>0.124</v>
      </c>
      <c r="F1027" s="1">
        <v>93</v>
      </c>
      <c r="G1027" s="1">
        <v>91</v>
      </c>
      <c r="H1027" s="1">
        <v>77</v>
      </c>
      <c r="I1027" s="1">
        <v>82</v>
      </c>
      <c r="J1027" s="1">
        <v>115</v>
      </c>
      <c r="K1027" s="1">
        <v>75</v>
      </c>
      <c r="L1027" s="1">
        <v>108</v>
      </c>
      <c r="M1027" s="1">
        <v>95</v>
      </c>
      <c r="N1027" s="1">
        <v>119</v>
      </c>
      <c r="O1027" s="1">
        <v>75</v>
      </c>
      <c r="P1027" s="1">
        <v>112</v>
      </c>
      <c r="Q1027" s="1">
        <v>22</v>
      </c>
    </row>
    <row r="1028" spans="1:17" ht="15.75" customHeight="1">
      <c r="A1028" s="1">
        <v>2021</v>
      </c>
      <c r="B1028" s="1">
        <v>108</v>
      </c>
      <c r="C1028" s="1" t="s">
        <v>93</v>
      </c>
      <c r="D1028" s="1">
        <v>4.9249999999999998</v>
      </c>
      <c r="E1028" s="1" t="s">
        <v>625</v>
      </c>
      <c r="F1028" s="1">
        <v>84</v>
      </c>
      <c r="G1028" s="1">
        <v>70</v>
      </c>
      <c r="H1028" s="1">
        <v>114</v>
      </c>
      <c r="I1028" s="1">
        <v>74</v>
      </c>
      <c r="J1028" s="1">
        <v>91</v>
      </c>
      <c r="K1028" s="1">
        <v>75</v>
      </c>
      <c r="L1028" s="1">
        <v>45</v>
      </c>
      <c r="M1028" s="1">
        <v>103</v>
      </c>
      <c r="N1028" s="1">
        <v>91</v>
      </c>
      <c r="O1028" s="1">
        <v>28</v>
      </c>
      <c r="P1028" s="1">
        <v>2</v>
      </c>
      <c r="Q1028" s="1"/>
    </row>
    <row r="1029" spans="1:17" ht="15.75" customHeight="1">
      <c r="A1029" s="1">
        <v>2021</v>
      </c>
      <c r="B1029" s="1">
        <v>109</v>
      </c>
      <c r="C1029" s="1" t="s">
        <v>240</v>
      </c>
      <c r="D1029" s="1">
        <v>4.891</v>
      </c>
      <c r="E1029" s="1">
        <v>1.044</v>
      </c>
      <c r="F1029" s="1">
        <v>113</v>
      </c>
      <c r="G1029" s="1">
        <v>107</v>
      </c>
      <c r="H1029" s="1">
        <v>108</v>
      </c>
      <c r="I1029" s="1">
        <v>110</v>
      </c>
      <c r="J1029" s="1">
        <v>102</v>
      </c>
      <c r="K1029" s="1">
        <v>52</v>
      </c>
      <c r="L1029" s="1">
        <v>65</v>
      </c>
      <c r="M1029" s="1">
        <v>58</v>
      </c>
      <c r="N1029" s="1">
        <v>117</v>
      </c>
      <c r="O1029" s="1">
        <v>52</v>
      </c>
      <c r="P1029" s="1">
        <v>17</v>
      </c>
      <c r="Q1029" s="1">
        <v>26</v>
      </c>
    </row>
    <row r="1030" spans="1:17" ht="15.75" customHeight="1">
      <c r="A1030" s="1">
        <v>2021</v>
      </c>
      <c r="B1030" s="1">
        <v>110</v>
      </c>
      <c r="C1030" s="1" t="s">
        <v>169</v>
      </c>
      <c r="D1030" s="1">
        <v>4.8879999999999999</v>
      </c>
      <c r="E1030" s="1">
        <v>0.245</v>
      </c>
      <c r="F1030" s="1">
        <v>74</v>
      </c>
      <c r="G1030" s="1">
        <v>86</v>
      </c>
      <c r="H1030" s="1">
        <v>70</v>
      </c>
      <c r="I1030" s="1">
        <v>54</v>
      </c>
      <c r="J1030" s="1">
        <v>113</v>
      </c>
      <c r="K1030" s="1">
        <v>28</v>
      </c>
      <c r="L1030" s="1">
        <v>57</v>
      </c>
      <c r="M1030" s="1">
        <v>111</v>
      </c>
      <c r="N1030" s="1">
        <v>110</v>
      </c>
      <c r="O1030" s="1">
        <v>28</v>
      </c>
      <c r="P1030" s="1">
        <v>93</v>
      </c>
      <c r="Q1030" s="1">
        <v>57</v>
      </c>
    </row>
    <row r="1031" spans="1:17" ht="15.75" customHeight="1">
      <c r="A1031" s="1">
        <v>2021</v>
      </c>
      <c r="B1031" s="1">
        <v>111</v>
      </c>
      <c r="C1031" s="1" t="s">
        <v>197</v>
      </c>
      <c r="D1031" s="1">
        <v>4.8719999999999999</v>
      </c>
      <c r="E1031" s="1" t="s">
        <v>626</v>
      </c>
      <c r="F1031" s="1">
        <v>61</v>
      </c>
      <c r="G1031" s="1">
        <v>106</v>
      </c>
      <c r="H1031" s="1">
        <v>94</v>
      </c>
      <c r="I1031" s="1">
        <v>97</v>
      </c>
      <c r="J1031" s="1">
        <v>87</v>
      </c>
      <c r="K1031" s="1">
        <v>53</v>
      </c>
      <c r="L1031" s="1">
        <v>103</v>
      </c>
      <c r="M1031" s="1">
        <v>93</v>
      </c>
      <c r="N1031" s="1">
        <v>73</v>
      </c>
      <c r="O1031" s="1">
        <v>53</v>
      </c>
      <c r="P1031" s="1">
        <v>16</v>
      </c>
      <c r="Q1031" s="1">
        <v>71</v>
      </c>
    </row>
    <row r="1032" spans="1:17" ht="15.75" customHeight="1">
      <c r="A1032" s="1">
        <v>2021</v>
      </c>
      <c r="B1032" s="1">
        <v>112</v>
      </c>
      <c r="C1032" s="1" t="s">
        <v>136</v>
      </c>
      <c r="D1032" s="1">
        <v>4.7439999999999998</v>
      </c>
      <c r="E1032" s="1" t="s">
        <v>627</v>
      </c>
      <c r="F1032" s="1">
        <v>89</v>
      </c>
      <c r="G1032" s="1">
        <v>90</v>
      </c>
      <c r="H1032" s="1">
        <v>43</v>
      </c>
      <c r="I1032" s="1">
        <v>42</v>
      </c>
      <c r="J1032" s="1">
        <v>119</v>
      </c>
      <c r="K1032" s="1">
        <v>58</v>
      </c>
      <c r="L1032" s="1">
        <v>70</v>
      </c>
      <c r="M1032" s="1">
        <v>120</v>
      </c>
      <c r="N1032" s="1">
        <v>118</v>
      </c>
      <c r="O1032" s="1">
        <v>58</v>
      </c>
      <c r="P1032" s="1">
        <v>107</v>
      </c>
      <c r="Q1032" s="1">
        <v>16</v>
      </c>
    </row>
    <row r="1033" spans="1:17" ht="15.75" customHeight="1">
      <c r="A1033" s="1">
        <v>2021</v>
      </c>
      <c r="B1033" s="12">
        <v>113</v>
      </c>
      <c r="C1033" s="8" t="s">
        <v>628</v>
      </c>
      <c r="D1033" s="5">
        <v>4.67</v>
      </c>
      <c r="E1033" s="6">
        <v>0.41099999999999998</v>
      </c>
      <c r="F1033" s="6">
        <v>101</v>
      </c>
      <c r="G1033" s="6">
        <v>103</v>
      </c>
      <c r="H1033" s="6">
        <v>116</v>
      </c>
      <c r="I1033" s="7">
        <v>107</v>
      </c>
      <c r="J1033" s="6">
        <v>110</v>
      </c>
      <c r="K1033" s="6">
        <v>86</v>
      </c>
      <c r="L1033" s="6">
        <v>45</v>
      </c>
      <c r="M1033" s="6">
        <v>87</v>
      </c>
      <c r="N1033" s="6">
        <v>99</v>
      </c>
      <c r="O1033" s="6">
        <v>86</v>
      </c>
      <c r="P1033" s="6">
        <v>23</v>
      </c>
      <c r="Q1033" s="6">
        <v>72</v>
      </c>
    </row>
    <row r="1034" spans="1:17" ht="15.75" customHeight="1">
      <c r="A1034" s="1">
        <v>2021</v>
      </c>
      <c r="B1034" s="12">
        <v>114</v>
      </c>
      <c r="C1034" s="8" t="s">
        <v>629</v>
      </c>
      <c r="D1034" s="5">
        <v>4.6399999999999997</v>
      </c>
      <c r="E1034" s="6">
        <v>0.57299999999999995</v>
      </c>
      <c r="F1034" s="6">
        <v>68</v>
      </c>
      <c r="G1034" s="6">
        <v>93</v>
      </c>
      <c r="H1034" s="6">
        <v>96</v>
      </c>
      <c r="I1034" s="10">
        <v>86</v>
      </c>
      <c r="J1034" s="6">
        <v>1</v>
      </c>
      <c r="K1034" s="6">
        <v>87</v>
      </c>
      <c r="L1034" s="6">
        <v>84</v>
      </c>
      <c r="M1034" s="6">
        <v>18</v>
      </c>
      <c r="N1034" s="6">
        <v>104</v>
      </c>
      <c r="O1034" s="6">
        <v>87</v>
      </c>
      <c r="P1034" s="6">
        <v>116</v>
      </c>
      <c r="Q1034" s="6">
        <v>122</v>
      </c>
    </row>
    <row r="1035" spans="1:17" ht="15.75" customHeight="1">
      <c r="A1035" s="1">
        <v>2021</v>
      </c>
      <c r="B1035" s="1">
        <v>115</v>
      </c>
      <c r="C1035" s="1" t="s">
        <v>244</v>
      </c>
      <c r="D1035" s="1">
        <v>4.6230000000000002</v>
      </c>
      <c r="E1035" s="1">
        <v>1.095</v>
      </c>
      <c r="F1035" s="1">
        <v>103</v>
      </c>
      <c r="G1035" s="1">
        <v>122</v>
      </c>
      <c r="H1035" s="1">
        <v>111</v>
      </c>
      <c r="I1035" s="1">
        <v>103</v>
      </c>
      <c r="J1035" s="1">
        <v>90</v>
      </c>
      <c r="K1035" s="1">
        <v>100</v>
      </c>
      <c r="L1035" s="1">
        <v>23</v>
      </c>
      <c r="M1035" s="1">
        <v>91</v>
      </c>
      <c r="N1035" s="1">
        <v>113</v>
      </c>
      <c r="O1035" s="1">
        <v>100</v>
      </c>
      <c r="P1035" s="1">
        <v>57</v>
      </c>
      <c r="Q1035" s="1">
        <v>91</v>
      </c>
    </row>
    <row r="1036" spans="1:17" ht="15.75" customHeight="1">
      <c r="A1036" s="1">
        <v>2021</v>
      </c>
      <c r="B1036" s="1">
        <v>116</v>
      </c>
      <c r="C1036" s="1" t="s">
        <v>219</v>
      </c>
      <c r="D1036" s="1">
        <v>4.609</v>
      </c>
      <c r="E1036" s="1">
        <v>0.75800000000000001</v>
      </c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Q1036" s="1"/>
    </row>
    <row r="1037" spans="1:17" ht="15.75" customHeight="1">
      <c r="A1037" s="1">
        <v>2021</v>
      </c>
      <c r="B1037" s="1">
        <v>117</v>
      </c>
      <c r="C1037" s="1" t="s">
        <v>231</v>
      </c>
      <c r="D1037" s="1">
        <v>4.6029999999999998</v>
      </c>
      <c r="E1037" s="1">
        <v>0.16</v>
      </c>
      <c r="F1037" s="1">
        <v>110</v>
      </c>
      <c r="G1037" s="1">
        <v>80</v>
      </c>
      <c r="H1037" s="1">
        <v>114</v>
      </c>
      <c r="I1037" s="1">
        <v>99</v>
      </c>
      <c r="J1037" s="1">
        <v>95</v>
      </c>
      <c r="K1037" s="1">
        <v>81</v>
      </c>
      <c r="L1037" s="1">
        <v>80</v>
      </c>
      <c r="M1037" s="1">
        <v>44</v>
      </c>
      <c r="N1037" s="1">
        <v>97</v>
      </c>
      <c r="O1037" s="1">
        <v>81</v>
      </c>
      <c r="P1037" s="1">
        <v>12</v>
      </c>
      <c r="Q1037" s="1">
        <v>8</v>
      </c>
    </row>
    <row r="1038" spans="1:17" ht="15.75" customHeight="1">
      <c r="A1038" s="1">
        <v>2021</v>
      </c>
      <c r="B1038" s="1">
        <v>118</v>
      </c>
      <c r="C1038" s="1" t="s">
        <v>165</v>
      </c>
      <c r="D1038" s="1">
        <v>4.5519999999999996</v>
      </c>
      <c r="E1038" s="1" t="s">
        <v>630</v>
      </c>
      <c r="F1038" s="1">
        <v>78</v>
      </c>
      <c r="G1038" s="1">
        <v>89</v>
      </c>
      <c r="H1038" s="1">
        <v>100</v>
      </c>
      <c r="I1038" s="1">
        <v>104</v>
      </c>
      <c r="J1038" s="1">
        <v>89</v>
      </c>
      <c r="K1038" s="1">
        <v>76</v>
      </c>
      <c r="L1038" s="1">
        <v>112</v>
      </c>
      <c r="M1038" s="1">
        <v>62</v>
      </c>
      <c r="N1038" s="1">
        <v>13</v>
      </c>
      <c r="O1038" s="1">
        <v>76</v>
      </c>
      <c r="P1038" s="1">
        <v>13</v>
      </c>
      <c r="Q1038" s="1">
        <v>5</v>
      </c>
    </row>
    <row r="1039" spans="1:17" ht="15.75" customHeight="1">
      <c r="A1039" s="1">
        <v>2021</v>
      </c>
      <c r="B1039" s="1">
        <v>119</v>
      </c>
      <c r="C1039" s="1" t="s">
        <v>193</v>
      </c>
      <c r="D1039" s="1">
        <v>4.5430000000000001</v>
      </c>
      <c r="E1039" s="1">
        <v>0.14000000000000001</v>
      </c>
      <c r="F1039" s="1">
        <v>116</v>
      </c>
      <c r="G1039" s="1">
        <v>96</v>
      </c>
      <c r="H1039" s="1">
        <v>102</v>
      </c>
      <c r="I1039" s="1">
        <v>94</v>
      </c>
      <c r="J1039" s="1">
        <v>101</v>
      </c>
      <c r="K1039" s="1">
        <v>21</v>
      </c>
      <c r="L1039" s="1">
        <v>82</v>
      </c>
      <c r="M1039" s="1">
        <v>25</v>
      </c>
      <c r="N1039" s="1">
        <v>47</v>
      </c>
      <c r="O1039" s="1">
        <v>21</v>
      </c>
      <c r="P1039" s="1">
        <v>2</v>
      </c>
      <c r="Q1039" s="1">
        <v>7</v>
      </c>
    </row>
    <row r="1040" spans="1:17" ht="15.75" customHeight="1">
      <c r="A1040" s="1">
        <v>2021</v>
      </c>
      <c r="B1040" s="1">
        <v>120</v>
      </c>
      <c r="C1040" s="1" t="s">
        <v>159</v>
      </c>
      <c r="D1040" s="1">
        <v>4.516</v>
      </c>
      <c r="E1040" s="1" t="s">
        <v>62</v>
      </c>
      <c r="F1040" s="1">
        <v>63</v>
      </c>
      <c r="G1040" s="1">
        <v>94</v>
      </c>
      <c r="H1040" s="1">
        <v>78</v>
      </c>
      <c r="I1040" s="1">
        <v>62</v>
      </c>
      <c r="J1040" s="1">
        <v>116</v>
      </c>
      <c r="K1040" s="1">
        <v>118</v>
      </c>
      <c r="L1040" s="1">
        <v>116</v>
      </c>
      <c r="M1040" s="1">
        <v>117</v>
      </c>
      <c r="N1040" s="1">
        <v>89</v>
      </c>
      <c r="O1040" s="1">
        <v>118</v>
      </c>
      <c r="P1040" s="1">
        <v>101</v>
      </c>
      <c r="Q1040" s="1">
        <v>65</v>
      </c>
    </row>
    <row r="1041" spans="1:17" ht="15.75" customHeight="1">
      <c r="A1041" s="1">
        <v>2021</v>
      </c>
      <c r="B1041" s="1">
        <v>121</v>
      </c>
      <c r="C1041" s="1" t="s">
        <v>152</v>
      </c>
      <c r="D1041" s="1">
        <v>4.516</v>
      </c>
      <c r="E1041" s="1" t="s">
        <v>631</v>
      </c>
      <c r="F1041" s="1">
        <v>94</v>
      </c>
      <c r="G1041" s="1">
        <v>111</v>
      </c>
      <c r="H1041" s="1">
        <v>101</v>
      </c>
      <c r="I1041" s="1">
        <v>100</v>
      </c>
      <c r="J1041" s="1">
        <v>78</v>
      </c>
      <c r="K1041" s="1">
        <v>84</v>
      </c>
      <c r="L1041" s="1">
        <v>48</v>
      </c>
      <c r="M1041" s="1">
        <v>112</v>
      </c>
      <c r="N1041" s="1">
        <v>78</v>
      </c>
      <c r="O1041" s="1">
        <v>84</v>
      </c>
      <c r="P1041" s="1">
        <v>114</v>
      </c>
      <c r="Q1041" s="1">
        <v>97</v>
      </c>
    </row>
    <row r="1042" spans="1:17" ht="15.75" customHeight="1">
      <c r="A1042" s="1">
        <v>2021</v>
      </c>
      <c r="B1042" s="1">
        <v>122</v>
      </c>
      <c r="C1042" s="1" t="s">
        <v>173</v>
      </c>
      <c r="D1042" s="1">
        <v>4.4829999999999997</v>
      </c>
      <c r="E1042" s="1" t="s">
        <v>617</v>
      </c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Q1042" s="1"/>
    </row>
    <row r="1043" spans="1:17" ht="15.75" customHeight="1">
      <c r="A1043" s="1">
        <v>2021</v>
      </c>
      <c r="B1043" s="1">
        <v>123</v>
      </c>
      <c r="C1043" s="1" t="s">
        <v>311</v>
      </c>
      <c r="D1043" s="1">
        <v>4.4790000000000001</v>
      </c>
      <c r="E1043" s="1">
        <v>0.23200000000000001</v>
      </c>
      <c r="F1043" s="1">
        <v>112</v>
      </c>
      <c r="G1043" s="1">
        <v>113</v>
      </c>
      <c r="H1043" s="1">
        <v>117</v>
      </c>
      <c r="I1043" s="1">
        <v>109</v>
      </c>
      <c r="J1043" s="1">
        <v>103</v>
      </c>
      <c r="K1043" s="1">
        <v>107</v>
      </c>
      <c r="L1043" s="1">
        <v>109</v>
      </c>
      <c r="M1043" s="1">
        <v>75</v>
      </c>
      <c r="N1043" s="1">
        <v>114</v>
      </c>
      <c r="O1043" s="1">
        <v>107</v>
      </c>
      <c r="P1043" s="1">
        <v>24</v>
      </c>
      <c r="Q1043" s="1">
        <v>62</v>
      </c>
    </row>
    <row r="1044" spans="1:17" ht="15.75" customHeight="1">
      <c r="A1044" s="1">
        <v>2021</v>
      </c>
      <c r="B1044" s="1">
        <v>124</v>
      </c>
      <c r="C1044" s="1" t="s">
        <v>181</v>
      </c>
      <c r="D1044" s="1">
        <v>4.4589999999999996</v>
      </c>
      <c r="E1044" s="1">
        <v>99</v>
      </c>
      <c r="F1044" s="1">
        <v>74</v>
      </c>
      <c r="G1044" s="1">
        <v>83</v>
      </c>
      <c r="H1044" s="1">
        <v>109</v>
      </c>
      <c r="I1044" s="1">
        <v>113</v>
      </c>
      <c r="J1044" s="1">
        <v>115</v>
      </c>
      <c r="K1044" s="1">
        <v>77</v>
      </c>
      <c r="L1044" s="1">
        <v>72</v>
      </c>
      <c r="M1044" s="1">
        <v>32</v>
      </c>
      <c r="N1044" s="1">
        <v>115</v>
      </c>
      <c r="O1044" s="1">
        <v>63</v>
      </c>
      <c r="P1044" s="1">
        <v>42</v>
      </c>
      <c r="Q1044" s="1"/>
    </row>
    <row r="1045" spans="1:17" ht="15.75" customHeight="1">
      <c r="A1045" s="1">
        <v>2021</v>
      </c>
      <c r="B1045" s="1">
        <v>125</v>
      </c>
      <c r="C1045" s="1" t="s">
        <v>453</v>
      </c>
      <c r="D1045" s="1">
        <v>4.3959999999999999</v>
      </c>
      <c r="E1045" s="1" t="s">
        <v>632</v>
      </c>
      <c r="F1045" s="1"/>
      <c r="G1045" s="1"/>
      <c r="H1045" s="1"/>
      <c r="I1045" s="1"/>
      <c r="J1045" s="1"/>
      <c r="K1045" s="1"/>
      <c r="L1045" s="1"/>
      <c r="M1045" s="1"/>
      <c r="Q1045" s="1"/>
    </row>
    <row r="1046" spans="1:17" ht="15.75" customHeight="1">
      <c r="A1046" s="1">
        <v>2021</v>
      </c>
      <c r="B1046" s="1">
        <v>126</v>
      </c>
      <c r="C1046" s="1" t="s">
        <v>190</v>
      </c>
      <c r="D1046" s="1">
        <v>4.3940000000000001</v>
      </c>
      <c r="E1046" s="1" t="s">
        <v>633</v>
      </c>
      <c r="F1046" s="1">
        <v>80</v>
      </c>
      <c r="G1046" s="1">
        <v>83</v>
      </c>
      <c r="H1046" s="1">
        <v>103</v>
      </c>
      <c r="I1046" s="1">
        <v>91</v>
      </c>
      <c r="J1046" s="1">
        <v>111</v>
      </c>
      <c r="K1046" s="1">
        <v>2</v>
      </c>
      <c r="L1046" s="1">
        <v>31</v>
      </c>
      <c r="M1046" s="1">
        <v>78</v>
      </c>
      <c r="N1046" s="1">
        <v>57</v>
      </c>
      <c r="O1046" s="1">
        <v>2</v>
      </c>
      <c r="P1046" s="1">
        <v>36</v>
      </c>
      <c r="Q1046" s="1">
        <v>85</v>
      </c>
    </row>
    <row r="1047" spans="1:17" ht="15.75" customHeight="1">
      <c r="A1047" s="1">
        <v>2021</v>
      </c>
      <c r="B1047" s="1">
        <v>127</v>
      </c>
      <c r="C1047" s="1" t="s">
        <v>187</v>
      </c>
      <c r="D1047" s="1">
        <v>4.3620000000000001</v>
      </c>
      <c r="E1047" s="1">
        <v>0.21099999999999999</v>
      </c>
      <c r="F1047" s="1">
        <v>76</v>
      </c>
      <c r="G1047" s="1">
        <v>71</v>
      </c>
      <c r="H1047" s="1">
        <v>73</v>
      </c>
      <c r="I1047" s="1">
        <v>34</v>
      </c>
      <c r="J1047" s="1">
        <v>76</v>
      </c>
      <c r="K1047" s="1">
        <v>70</v>
      </c>
      <c r="L1047" s="1">
        <v>87</v>
      </c>
      <c r="M1047" s="1">
        <v>31</v>
      </c>
      <c r="N1047" s="1">
        <v>82</v>
      </c>
      <c r="O1047" s="1">
        <v>70</v>
      </c>
      <c r="P1047" s="1">
        <v>8</v>
      </c>
      <c r="Q1047" s="1">
        <v>45</v>
      </c>
    </row>
    <row r="1048" spans="1:17" ht="15.75" customHeight="1">
      <c r="A1048" s="1">
        <v>2021</v>
      </c>
      <c r="B1048" s="1">
        <v>128</v>
      </c>
      <c r="C1048" s="1" t="s">
        <v>235</v>
      </c>
      <c r="D1048" s="1">
        <v>4.3390000000000004</v>
      </c>
      <c r="E1048" s="1">
        <v>0.373</v>
      </c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Q1048" s="1"/>
    </row>
    <row r="1049" spans="1:17" ht="15.75" customHeight="1">
      <c r="A1049" s="1">
        <v>2021</v>
      </c>
      <c r="B1049" s="1">
        <v>129</v>
      </c>
      <c r="C1049" s="1" t="s">
        <v>191</v>
      </c>
      <c r="D1049" s="1">
        <v>4.2880000000000003</v>
      </c>
      <c r="E1049" s="1">
        <v>1.4999999999999999E-2</v>
      </c>
      <c r="F1049" s="1">
        <v>48</v>
      </c>
      <c r="G1049" s="1">
        <v>92</v>
      </c>
      <c r="H1049" s="1">
        <v>67</v>
      </c>
      <c r="I1049" s="1">
        <v>88</v>
      </c>
      <c r="J1049" s="1">
        <v>97</v>
      </c>
      <c r="K1049" s="1">
        <v>119</v>
      </c>
      <c r="L1049" s="1">
        <v>21</v>
      </c>
      <c r="M1049" s="1">
        <v>119</v>
      </c>
      <c r="N1049" s="1">
        <v>87</v>
      </c>
      <c r="O1049" s="1">
        <v>119</v>
      </c>
      <c r="P1049" s="1">
        <v>122</v>
      </c>
      <c r="Q1049" s="1">
        <v>83</v>
      </c>
    </row>
    <row r="1050" spans="1:17" ht="15.75" customHeight="1">
      <c r="A1050" s="1">
        <v>2021</v>
      </c>
      <c r="B1050" s="1">
        <v>130</v>
      </c>
      <c r="C1050" s="1" t="s">
        <v>227</v>
      </c>
      <c r="D1050" s="1">
        <v>4.2510000000000003</v>
      </c>
      <c r="E1050" s="1">
        <v>0.19500000000000001</v>
      </c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Q1050" s="1"/>
    </row>
    <row r="1051" spans="1:17" ht="15.75" customHeight="1">
      <c r="A1051" s="1">
        <v>2021</v>
      </c>
      <c r="B1051" s="1">
        <v>131</v>
      </c>
      <c r="C1051" s="1" t="s">
        <v>183</v>
      </c>
      <c r="D1051" s="1">
        <v>4.2409999999999997</v>
      </c>
      <c r="E1051" s="1" t="s">
        <v>305</v>
      </c>
      <c r="F1051" s="1"/>
      <c r="G1051" s="1"/>
      <c r="H1051" s="1"/>
      <c r="I1051" s="1"/>
      <c r="J1051" s="1"/>
      <c r="K1051" s="1"/>
      <c r="L1051" s="1"/>
      <c r="M1051" s="1"/>
      <c r="Q1051" s="1"/>
    </row>
    <row r="1052" spans="1:17" ht="15.75" customHeight="1">
      <c r="A1052" s="1">
        <v>2021</v>
      </c>
      <c r="B1052" s="12">
        <v>132</v>
      </c>
      <c r="C1052" s="8" t="s">
        <v>634</v>
      </c>
      <c r="D1052" s="5">
        <v>4.1970000000000001</v>
      </c>
      <c r="E1052" s="6">
        <v>0.14299999999999999</v>
      </c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</row>
    <row r="1053" spans="1:17" ht="15.75" customHeight="1">
      <c r="A1053" s="1">
        <v>2021</v>
      </c>
      <c r="B1053" s="1">
        <v>133</v>
      </c>
      <c r="C1053" s="1" t="s">
        <v>206</v>
      </c>
      <c r="D1053" s="1">
        <v>4.1529999999999996</v>
      </c>
      <c r="E1053" s="1" t="s">
        <v>635</v>
      </c>
      <c r="F1053" s="1"/>
      <c r="G1053" s="1"/>
      <c r="H1053" s="1"/>
      <c r="I1053" s="1"/>
      <c r="J1053" s="1"/>
      <c r="K1053" s="1"/>
      <c r="L1053" s="1"/>
      <c r="M1053" s="1"/>
      <c r="Q1053" s="1"/>
    </row>
    <row r="1054" spans="1:17" ht="15.75" customHeight="1">
      <c r="A1054" s="1">
        <v>2021</v>
      </c>
      <c r="B1054" s="1">
        <v>134</v>
      </c>
      <c r="C1054" s="1" t="s">
        <v>138</v>
      </c>
      <c r="D1054" s="1">
        <v>4.1520000000000001</v>
      </c>
      <c r="E1054" s="1" t="s">
        <v>636</v>
      </c>
      <c r="F1054" s="1">
        <v>107</v>
      </c>
      <c r="G1054" s="1">
        <v>95</v>
      </c>
      <c r="H1054" s="1">
        <v>87</v>
      </c>
      <c r="I1054" s="1">
        <v>43</v>
      </c>
      <c r="J1054" s="1">
        <v>75</v>
      </c>
      <c r="K1054" s="1">
        <v>114</v>
      </c>
      <c r="L1054" s="1">
        <v>25</v>
      </c>
      <c r="M1054" s="1">
        <v>116</v>
      </c>
      <c r="N1054" s="1">
        <v>112</v>
      </c>
      <c r="O1054" s="1">
        <v>114</v>
      </c>
      <c r="P1054" s="1">
        <v>119</v>
      </c>
      <c r="Q1054" s="1">
        <v>21</v>
      </c>
    </row>
    <row r="1055" spans="1:17" ht="15.75" customHeight="1">
      <c r="A1055" s="1">
        <v>2021</v>
      </c>
      <c r="B1055" s="1">
        <v>135</v>
      </c>
      <c r="C1055" s="1" t="s">
        <v>247</v>
      </c>
      <c r="D1055" s="1">
        <v>4.1120000000000001</v>
      </c>
      <c r="E1055" s="1">
        <v>1.1759999999999999</v>
      </c>
      <c r="F1055" s="1">
        <v>71</v>
      </c>
      <c r="G1055" s="1">
        <v>112</v>
      </c>
      <c r="H1055" s="1">
        <v>115</v>
      </c>
      <c r="I1055" s="1">
        <v>102</v>
      </c>
      <c r="J1055" s="1">
        <v>112</v>
      </c>
      <c r="K1055" s="1">
        <v>92</v>
      </c>
      <c r="L1055" s="1">
        <v>58</v>
      </c>
      <c r="M1055" s="1">
        <v>83</v>
      </c>
      <c r="N1055" s="1">
        <v>108</v>
      </c>
      <c r="O1055" s="1">
        <v>92</v>
      </c>
      <c r="P1055" s="1">
        <v>60</v>
      </c>
      <c r="Q1055" s="1">
        <v>82</v>
      </c>
    </row>
    <row r="1056" spans="1:17" ht="15.75" customHeight="1">
      <c r="A1056" s="1">
        <v>2021</v>
      </c>
      <c r="B1056" s="1">
        <v>136</v>
      </c>
      <c r="C1056" s="1" t="s">
        <v>188</v>
      </c>
      <c r="D1056" s="1">
        <v>3.7770000000000001</v>
      </c>
      <c r="E1056" s="1" t="s">
        <v>637</v>
      </c>
      <c r="F1056" s="1">
        <v>106</v>
      </c>
      <c r="G1056" s="1">
        <v>114</v>
      </c>
      <c r="H1056" s="1">
        <v>91</v>
      </c>
      <c r="I1056" s="1">
        <v>95</v>
      </c>
      <c r="J1056" s="1">
        <v>33</v>
      </c>
      <c r="K1056" s="1">
        <v>64</v>
      </c>
      <c r="L1056" s="1">
        <v>55</v>
      </c>
      <c r="M1056" s="1">
        <v>108</v>
      </c>
      <c r="N1056" s="1">
        <v>111</v>
      </c>
      <c r="O1056" s="1">
        <v>64</v>
      </c>
      <c r="P1056" s="1">
        <v>19</v>
      </c>
      <c r="Q1056" s="1">
        <v>84</v>
      </c>
    </row>
    <row r="1057" spans="1:17" ht="15.75" customHeight="1">
      <c r="A1057" s="1">
        <v>2021</v>
      </c>
      <c r="B1057" s="1">
        <v>137</v>
      </c>
      <c r="C1057" s="1" t="s">
        <v>170</v>
      </c>
      <c r="D1057" s="1">
        <v>3.76</v>
      </c>
      <c r="E1057" s="1" t="s">
        <v>638</v>
      </c>
      <c r="F1057" s="1">
        <v>117</v>
      </c>
      <c r="G1057" s="1">
        <v>108</v>
      </c>
      <c r="H1057" s="1">
        <v>109</v>
      </c>
      <c r="I1057" s="1">
        <v>112</v>
      </c>
      <c r="J1057" s="1">
        <v>49</v>
      </c>
      <c r="K1057" s="1">
        <v>55</v>
      </c>
      <c r="L1057" s="1">
        <v>76</v>
      </c>
      <c r="M1057" s="1">
        <v>67</v>
      </c>
      <c r="N1057" s="1">
        <v>95</v>
      </c>
      <c r="O1057" s="1">
        <v>55</v>
      </c>
      <c r="P1057" s="1">
        <v>4</v>
      </c>
      <c r="Q1057" s="1">
        <v>18</v>
      </c>
    </row>
    <row r="1058" spans="1:17" ht="15.75" customHeight="1">
      <c r="A1058" s="1">
        <v>2021</v>
      </c>
      <c r="B1058" s="1">
        <v>138</v>
      </c>
      <c r="C1058" s="1" t="s">
        <v>210</v>
      </c>
      <c r="D1058" s="1">
        <v>3.75</v>
      </c>
      <c r="E1058" s="1" t="s">
        <v>261</v>
      </c>
      <c r="F1058" s="1">
        <v>120</v>
      </c>
      <c r="G1058" s="1">
        <v>116</v>
      </c>
      <c r="H1058" s="1">
        <v>119</v>
      </c>
      <c r="I1058" s="1">
        <v>106</v>
      </c>
      <c r="J1058" s="1">
        <v>82</v>
      </c>
      <c r="K1058" s="1">
        <v>113</v>
      </c>
      <c r="L1058" s="1">
        <v>47</v>
      </c>
      <c r="M1058" s="1">
        <v>107</v>
      </c>
      <c r="N1058" s="1">
        <v>88</v>
      </c>
      <c r="O1058" s="1">
        <v>113</v>
      </c>
      <c r="P1058" s="1">
        <v>29</v>
      </c>
      <c r="Q1058" s="1">
        <v>20</v>
      </c>
    </row>
    <row r="1059" spans="1:17" ht="15.75" customHeight="1">
      <c r="A1059" s="1">
        <v>2021</v>
      </c>
      <c r="B1059" s="1">
        <v>139</v>
      </c>
      <c r="C1059" s="1" t="s">
        <v>236</v>
      </c>
      <c r="D1059" s="1">
        <v>3.702</v>
      </c>
      <c r="E1059" s="1" t="s">
        <v>639</v>
      </c>
      <c r="F1059" s="1">
        <v>114</v>
      </c>
      <c r="G1059" s="1">
        <v>109</v>
      </c>
      <c r="H1059" s="1">
        <v>110</v>
      </c>
      <c r="I1059" s="1">
        <v>96</v>
      </c>
      <c r="J1059" s="1">
        <v>52</v>
      </c>
      <c r="K1059" s="1">
        <v>68</v>
      </c>
      <c r="L1059" s="1">
        <v>19</v>
      </c>
      <c r="M1059" s="1">
        <v>70</v>
      </c>
      <c r="N1059" s="1">
        <v>42</v>
      </c>
      <c r="O1059" s="1">
        <v>68</v>
      </c>
      <c r="P1059" s="1">
        <v>97</v>
      </c>
      <c r="Q1059" s="1">
        <v>95</v>
      </c>
    </row>
    <row r="1060" spans="1:17" ht="15.75" customHeight="1">
      <c r="A1060" s="1">
        <v>2021</v>
      </c>
      <c r="B1060" s="1">
        <v>140</v>
      </c>
      <c r="C1060" s="1" t="s">
        <v>178</v>
      </c>
      <c r="D1060" s="1">
        <v>3.5739999999999998</v>
      </c>
      <c r="E1060" s="1" t="s">
        <v>462</v>
      </c>
      <c r="F1060" s="1">
        <v>121</v>
      </c>
      <c r="G1060" s="1">
        <v>110</v>
      </c>
      <c r="H1060" s="1">
        <v>113</v>
      </c>
      <c r="I1060" s="1">
        <v>111</v>
      </c>
      <c r="J1060" s="1">
        <v>108</v>
      </c>
      <c r="K1060" s="1">
        <v>80</v>
      </c>
      <c r="L1060" s="1">
        <v>90</v>
      </c>
      <c r="M1060" s="1">
        <v>109</v>
      </c>
      <c r="N1060" s="1">
        <v>116</v>
      </c>
      <c r="O1060" s="1">
        <v>80</v>
      </c>
      <c r="P1060" s="1">
        <v>3</v>
      </c>
      <c r="Q1060" s="1">
        <v>1</v>
      </c>
    </row>
    <row r="1061" spans="1:17" ht="15.75" customHeight="1">
      <c r="A1061" s="1">
        <v>2021</v>
      </c>
      <c r="B1061" s="1">
        <v>141</v>
      </c>
      <c r="C1061" s="1" t="s">
        <v>321</v>
      </c>
      <c r="D1061" s="1">
        <v>3.512</v>
      </c>
      <c r="E1061" s="1" t="s">
        <v>587</v>
      </c>
      <c r="F1061" s="1"/>
      <c r="G1061" s="1"/>
      <c r="H1061" s="1"/>
      <c r="I1061" s="1"/>
      <c r="J1061" s="1"/>
      <c r="K1061" s="1"/>
      <c r="L1061" s="1"/>
      <c r="M1061" s="1"/>
      <c r="Q1061" s="1"/>
    </row>
    <row r="1062" spans="1:17" ht="15.75" customHeight="1">
      <c r="A1062" s="1">
        <v>2021</v>
      </c>
      <c r="B1062" s="1">
        <v>142</v>
      </c>
      <c r="C1062" s="1" t="s">
        <v>218</v>
      </c>
      <c r="D1062" s="1">
        <v>3.4710000000000001</v>
      </c>
      <c r="E1062" s="1" t="s">
        <v>640</v>
      </c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Q1062" s="1"/>
    </row>
    <row r="1063" spans="1:17" ht="15.75" customHeight="1">
      <c r="A1063" s="1">
        <v>2021</v>
      </c>
      <c r="B1063" s="1">
        <v>143</v>
      </c>
      <c r="C1063" s="1" t="s">
        <v>242</v>
      </c>
      <c r="D1063" s="1">
        <v>3.2679999999999998</v>
      </c>
      <c r="E1063" s="1" t="s">
        <v>641</v>
      </c>
      <c r="F1063" s="1"/>
      <c r="G1063" s="1"/>
      <c r="H1063" s="1"/>
      <c r="I1063" s="1"/>
      <c r="J1063" s="1"/>
      <c r="K1063" s="1"/>
      <c r="L1063" s="1"/>
      <c r="M1063" s="1"/>
      <c r="Q1063" s="1"/>
    </row>
    <row r="1064" spans="1:17" ht="15.75" customHeight="1">
      <c r="A1064" s="1">
        <v>2021</v>
      </c>
      <c r="B1064" s="1">
        <v>144</v>
      </c>
      <c r="C1064" s="1" t="s">
        <v>208</v>
      </c>
      <c r="D1064" s="1">
        <v>2.9950000000000001</v>
      </c>
      <c r="E1064" s="1" t="s">
        <v>642</v>
      </c>
      <c r="F1064" s="1">
        <v>92</v>
      </c>
      <c r="G1064" s="1">
        <v>100</v>
      </c>
      <c r="H1064" s="1">
        <v>112</v>
      </c>
      <c r="I1064" s="1">
        <v>115</v>
      </c>
      <c r="J1064" s="1">
        <v>106</v>
      </c>
      <c r="K1064" s="1">
        <v>117</v>
      </c>
      <c r="L1064" s="1">
        <v>56</v>
      </c>
      <c r="M1064" s="1">
        <v>89</v>
      </c>
      <c r="N1064" s="1">
        <v>40</v>
      </c>
      <c r="O1064" s="1">
        <v>117</v>
      </c>
      <c r="P1064" s="1">
        <v>81</v>
      </c>
      <c r="Q1064" s="1">
        <v>64</v>
      </c>
    </row>
    <row r="1065" spans="1:17" ht="15.75" customHeight="1">
      <c r="A1065" s="1">
        <v>2021</v>
      </c>
      <c r="B1065" s="1">
        <v>145</v>
      </c>
      <c r="C1065" s="1" t="s">
        <v>154</v>
      </c>
      <c r="D1065" s="1">
        <v>2.9550000000000001</v>
      </c>
      <c r="E1065" s="1" t="s">
        <v>643</v>
      </c>
      <c r="F1065" s="1">
        <v>64</v>
      </c>
      <c r="G1065" s="1">
        <v>118</v>
      </c>
      <c r="H1065" s="1">
        <v>81</v>
      </c>
      <c r="I1065" s="1">
        <v>66</v>
      </c>
      <c r="J1065" s="1">
        <v>120</v>
      </c>
      <c r="K1065" s="1">
        <v>112</v>
      </c>
      <c r="L1065" s="1">
        <v>111</v>
      </c>
      <c r="M1065" s="1">
        <v>121</v>
      </c>
      <c r="N1065" s="1">
        <v>121</v>
      </c>
      <c r="O1065" s="1">
        <v>112</v>
      </c>
      <c r="P1065" s="1">
        <v>120</v>
      </c>
      <c r="Q1065" s="1">
        <v>109</v>
      </c>
    </row>
    <row r="1066" spans="1:17" ht="15.75" customHeight="1">
      <c r="A1066" s="1">
        <v>2021</v>
      </c>
      <c r="B1066" s="1">
        <v>146</v>
      </c>
      <c r="C1066" s="1" t="s">
        <v>245</v>
      </c>
      <c r="D1066" s="1">
        <v>2.4039999999999999</v>
      </c>
      <c r="E1066" s="1" t="s">
        <v>644</v>
      </c>
      <c r="F1066" s="1">
        <v>1</v>
      </c>
      <c r="G1066" s="1">
        <v>121</v>
      </c>
      <c r="H1066" s="1">
        <v>118</v>
      </c>
      <c r="I1066" s="1">
        <v>116</v>
      </c>
      <c r="J1066" s="1">
        <v>121</v>
      </c>
      <c r="K1066" s="1">
        <v>121</v>
      </c>
      <c r="L1066" s="1">
        <v>119</v>
      </c>
      <c r="M1066" s="1">
        <v>122</v>
      </c>
      <c r="N1066" s="1">
        <v>122</v>
      </c>
      <c r="O1066" s="1">
        <v>121</v>
      </c>
      <c r="P1066" s="1">
        <v>102</v>
      </c>
      <c r="Q1066" s="1">
        <v>115</v>
      </c>
    </row>
    <row r="1067" spans="1:17" ht="15.75" customHeight="1">
      <c r="A1067" s="1">
        <v>2022</v>
      </c>
      <c r="B1067" s="1">
        <v>1</v>
      </c>
      <c r="C1067" s="1" t="s">
        <v>37</v>
      </c>
      <c r="D1067" s="1">
        <v>7.8040000000000003</v>
      </c>
      <c r="E1067" s="1">
        <v>0.41499999999999998</v>
      </c>
      <c r="F1067" s="1">
        <v>4</v>
      </c>
      <c r="G1067" s="1">
        <v>2</v>
      </c>
      <c r="H1067" s="1">
        <v>19</v>
      </c>
      <c r="I1067" s="1">
        <v>18</v>
      </c>
      <c r="J1067" s="1">
        <v>4</v>
      </c>
      <c r="K1067" s="1">
        <v>32</v>
      </c>
      <c r="L1067" s="1">
        <v>1</v>
      </c>
      <c r="M1067" s="1">
        <v>32</v>
      </c>
      <c r="N1067" s="1">
        <v>20</v>
      </c>
      <c r="O1067" s="1">
        <v>32</v>
      </c>
      <c r="P1067" s="1">
        <v>61</v>
      </c>
      <c r="Q1067" s="1">
        <v>88</v>
      </c>
    </row>
    <row r="1068" spans="1:17" ht="15.75" customHeight="1">
      <c r="A1068" s="1">
        <v>2022</v>
      </c>
      <c r="B1068" s="1">
        <v>2</v>
      </c>
      <c r="C1068" s="1" t="s">
        <v>30</v>
      </c>
      <c r="D1068" s="1">
        <v>7.5860000000000003</v>
      </c>
      <c r="E1068" s="1" t="s">
        <v>456</v>
      </c>
      <c r="F1068" s="1">
        <v>11</v>
      </c>
      <c r="G1068" s="1">
        <v>3</v>
      </c>
      <c r="H1068" s="1">
        <v>8</v>
      </c>
      <c r="I1068" s="1">
        <v>15</v>
      </c>
      <c r="J1068" s="1">
        <v>14</v>
      </c>
      <c r="K1068" s="1">
        <v>7</v>
      </c>
      <c r="L1068" s="1">
        <v>2</v>
      </c>
      <c r="M1068" s="1">
        <v>12</v>
      </c>
      <c r="N1068" s="1">
        <v>28</v>
      </c>
      <c r="O1068" s="1">
        <v>7</v>
      </c>
      <c r="P1068" s="1">
        <v>60</v>
      </c>
      <c r="Q1068" s="1">
        <v>69</v>
      </c>
    </row>
    <row r="1069" spans="1:17" ht="15.75" customHeight="1">
      <c r="A1069" s="1">
        <v>2022</v>
      </c>
      <c r="B1069" s="1">
        <v>3</v>
      </c>
      <c r="C1069" s="1" t="s">
        <v>34</v>
      </c>
      <c r="D1069" s="1">
        <v>7.53</v>
      </c>
      <c r="E1069" s="1">
        <v>0.17499999999999999</v>
      </c>
      <c r="F1069" s="1">
        <v>8</v>
      </c>
      <c r="G1069" s="1">
        <v>1</v>
      </c>
      <c r="H1069" s="1">
        <v>11</v>
      </c>
      <c r="I1069" s="1">
        <v>4</v>
      </c>
      <c r="J1069" s="1">
        <v>11</v>
      </c>
      <c r="K1069" s="1">
        <v>9</v>
      </c>
      <c r="L1069" s="1">
        <v>39</v>
      </c>
      <c r="M1069" s="1">
        <v>19</v>
      </c>
      <c r="N1069" s="1">
        <v>13</v>
      </c>
      <c r="O1069" s="1">
        <v>9</v>
      </c>
      <c r="P1069" s="1">
        <v>86</v>
      </c>
      <c r="Q1069" s="1">
        <v>117</v>
      </c>
    </row>
    <row r="1070" spans="1:17" ht="15.75" customHeight="1">
      <c r="A1070" s="1">
        <v>2022</v>
      </c>
      <c r="B1070" s="1">
        <v>4</v>
      </c>
      <c r="C1070" s="1" t="s">
        <v>47</v>
      </c>
      <c r="D1070" s="1">
        <v>7.4729999999999999</v>
      </c>
      <c r="E1070" s="1">
        <v>0.17199999999999999</v>
      </c>
      <c r="F1070" s="1">
        <v>3</v>
      </c>
      <c r="G1070" s="1">
        <v>6</v>
      </c>
      <c r="H1070" s="1">
        <v>29</v>
      </c>
      <c r="I1070" s="1">
        <v>9</v>
      </c>
      <c r="J1070" s="1">
        <v>81</v>
      </c>
      <c r="K1070" s="1">
        <v>48</v>
      </c>
      <c r="L1070" s="1">
        <v>29</v>
      </c>
      <c r="M1070" s="1">
        <v>105</v>
      </c>
      <c r="N1070" s="1">
        <v>16</v>
      </c>
      <c r="O1070" s="1">
        <v>48</v>
      </c>
      <c r="P1070" s="1">
        <v>85</v>
      </c>
      <c r="Q1070" s="1">
        <v>102</v>
      </c>
    </row>
    <row r="1071" spans="1:17" ht="15.75" customHeight="1">
      <c r="A1071" s="1">
        <v>2022</v>
      </c>
      <c r="B1071" s="1">
        <v>5</v>
      </c>
      <c r="C1071" s="1" t="s">
        <v>40</v>
      </c>
      <c r="D1071" s="1">
        <v>7.4029999999999996</v>
      </c>
      <c r="E1071" s="1" t="s">
        <v>350</v>
      </c>
      <c r="F1071" s="1">
        <v>2</v>
      </c>
      <c r="G1071" s="1">
        <v>19</v>
      </c>
      <c r="H1071" s="1">
        <v>7</v>
      </c>
      <c r="I1071" s="1"/>
      <c r="J1071" s="1">
        <v>37</v>
      </c>
      <c r="K1071" s="1">
        <v>8</v>
      </c>
      <c r="L1071" s="1">
        <v>15</v>
      </c>
      <c r="M1071" s="1">
        <v>52</v>
      </c>
      <c r="N1071" s="1">
        <v>22</v>
      </c>
      <c r="O1071" s="1">
        <v>8</v>
      </c>
      <c r="P1071" s="1">
        <v>38</v>
      </c>
      <c r="Q1071" s="1">
        <v>123</v>
      </c>
    </row>
    <row r="1072" spans="1:17" ht="15.75" customHeight="1">
      <c r="A1072" s="1">
        <v>2022</v>
      </c>
      <c r="B1072" s="1">
        <v>6</v>
      </c>
      <c r="C1072" s="1" t="s">
        <v>45</v>
      </c>
      <c r="D1072" s="1">
        <v>7.3949999999999996</v>
      </c>
      <c r="E1072" s="1" t="s">
        <v>645</v>
      </c>
      <c r="F1072" s="1">
        <v>7</v>
      </c>
      <c r="G1072" s="1">
        <v>9</v>
      </c>
      <c r="H1072" s="1">
        <v>13</v>
      </c>
      <c r="I1072" s="1">
        <v>7</v>
      </c>
      <c r="J1072" s="1">
        <v>9</v>
      </c>
      <c r="K1072" s="1">
        <v>6</v>
      </c>
      <c r="L1072" s="1">
        <v>3</v>
      </c>
      <c r="M1072" s="1">
        <v>28</v>
      </c>
      <c r="N1072" s="1">
        <v>9</v>
      </c>
      <c r="O1072" s="1">
        <v>6</v>
      </c>
      <c r="P1072" s="1">
        <v>70</v>
      </c>
      <c r="Q1072" s="1">
        <v>94</v>
      </c>
    </row>
    <row r="1073" spans="1:17" ht="15.75" customHeight="1">
      <c r="A1073" s="1">
        <v>2022</v>
      </c>
      <c r="B1073" s="1">
        <v>7</v>
      </c>
      <c r="C1073" s="1" t="s">
        <v>35</v>
      </c>
      <c r="D1073" s="1">
        <v>7.3150000000000004</v>
      </c>
      <c r="E1073" s="1" t="s">
        <v>329</v>
      </c>
      <c r="F1073" s="1">
        <v>20</v>
      </c>
      <c r="G1073" s="1">
        <v>22</v>
      </c>
      <c r="H1073" s="1">
        <v>4</v>
      </c>
      <c r="I1073" s="1">
        <v>5</v>
      </c>
      <c r="J1073" s="1">
        <v>10</v>
      </c>
      <c r="K1073" s="1">
        <v>13</v>
      </c>
      <c r="L1073" s="1">
        <v>6</v>
      </c>
      <c r="M1073" s="1">
        <v>24</v>
      </c>
      <c r="N1073" s="1">
        <v>32</v>
      </c>
      <c r="O1073" s="1">
        <v>13</v>
      </c>
      <c r="P1073" s="1">
        <v>49</v>
      </c>
      <c r="Q1073" s="1">
        <v>77</v>
      </c>
    </row>
    <row r="1074" spans="1:17" ht="15.75" customHeight="1">
      <c r="A1074" s="1">
        <v>2022</v>
      </c>
      <c r="B1074" s="1">
        <v>8</v>
      </c>
      <c r="C1074" s="1" t="s">
        <v>32</v>
      </c>
      <c r="D1074" s="1">
        <v>7.24</v>
      </c>
      <c r="E1074" s="1" t="s">
        <v>279</v>
      </c>
      <c r="F1074" s="1">
        <v>36</v>
      </c>
      <c r="G1074" s="1">
        <v>45</v>
      </c>
      <c r="H1074" s="1">
        <v>5</v>
      </c>
      <c r="I1074" s="1">
        <v>6</v>
      </c>
      <c r="J1074" s="1">
        <v>49</v>
      </c>
      <c r="K1074" s="1">
        <v>20</v>
      </c>
      <c r="L1074" s="1">
        <v>4</v>
      </c>
      <c r="M1074" s="1">
        <v>54</v>
      </c>
      <c r="N1074" s="1">
        <v>14</v>
      </c>
      <c r="O1074" s="1">
        <v>20</v>
      </c>
      <c r="P1074" s="1">
        <v>51</v>
      </c>
      <c r="Q1074" s="1">
        <v>129</v>
      </c>
    </row>
    <row r="1075" spans="1:17" ht="15.75" customHeight="1">
      <c r="A1075" s="1">
        <v>2022</v>
      </c>
      <c r="B1075" s="1">
        <v>9</v>
      </c>
      <c r="C1075" s="1" t="s">
        <v>59</v>
      </c>
      <c r="D1075" s="1">
        <v>7.2279999999999998</v>
      </c>
      <c r="E1075" s="1">
        <v>0.17399999999999999</v>
      </c>
      <c r="F1075" s="1">
        <v>9</v>
      </c>
      <c r="G1075" s="1">
        <v>48</v>
      </c>
      <c r="H1075" s="1">
        <v>1</v>
      </c>
      <c r="I1075" s="1"/>
      <c r="J1075" s="1">
        <v>16</v>
      </c>
      <c r="K1075" s="1">
        <v>36</v>
      </c>
      <c r="L1075" s="1">
        <v>7</v>
      </c>
      <c r="M1075" s="1">
        <v>46</v>
      </c>
      <c r="N1075" s="1">
        <v>34</v>
      </c>
      <c r="O1075" s="1">
        <v>36</v>
      </c>
      <c r="P1075" s="1">
        <v>43</v>
      </c>
      <c r="Q1075" s="1">
        <v>128</v>
      </c>
    </row>
    <row r="1076" spans="1:17" ht="15.75" customHeight="1">
      <c r="A1076" s="1">
        <v>2022</v>
      </c>
      <c r="B1076" s="1">
        <v>10</v>
      </c>
      <c r="C1076" s="1" t="s">
        <v>42</v>
      </c>
      <c r="D1076" s="1">
        <v>7.1230000000000002</v>
      </c>
      <c r="E1076" s="1" t="s">
        <v>362</v>
      </c>
      <c r="F1076" s="1">
        <v>13</v>
      </c>
      <c r="G1076" s="1">
        <v>5</v>
      </c>
      <c r="H1076" s="1">
        <v>27</v>
      </c>
      <c r="I1076" s="1">
        <v>17</v>
      </c>
      <c r="J1076" s="1">
        <v>54</v>
      </c>
      <c r="K1076" s="1">
        <v>17</v>
      </c>
      <c r="L1076" s="1">
        <v>5</v>
      </c>
      <c r="M1076" s="1">
        <v>58</v>
      </c>
      <c r="N1076" s="1">
        <v>31</v>
      </c>
      <c r="O1076" s="1">
        <v>17</v>
      </c>
      <c r="P1076" s="1">
        <v>20</v>
      </c>
      <c r="Q1076" s="1">
        <v>54</v>
      </c>
    </row>
    <row r="1077" spans="1:17" ht="15.75" customHeight="1">
      <c r="A1077" s="1">
        <v>2022</v>
      </c>
      <c r="B1077" s="1">
        <v>11</v>
      </c>
      <c r="C1077" s="1" t="s">
        <v>49</v>
      </c>
      <c r="D1077" s="1">
        <v>7.0970000000000004</v>
      </c>
      <c r="E1077" s="1" t="s">
        <v>646</v>
      </c>
      <c r="F1077" s="1">
        <v>28</v>
      </c>
      <c r="G1077" s="1">
        <v>50</v>
      </c>
      <c r="H1077" s="1">
        <v>10</v>
      </c>
      <c r="I1077" s="1">
        <v>19</v>
      </c>
      <c r="J1077" s="1">
        <v>45</v>
      </c>
      <c r="K1077" s="1">
        <v>21</v>
      </c>
      <c r="L1077" s="1">
        <v>17</v>
      </c>
      <c r="M1077" s="1">
        <v>45</v>
      </c>
      <c r="N1077" s="1">
        <v>38</v>
      </c>
      <c r="O1077" s="1">
        <v>21</v>
      </c>
      <c r="P1077" s="1">
        <v>56</v>
      </c>
      <c r="Q1077" s="1">
        <v>111</v>
      </c>
    </row>
    <row r="1078" spans="1:17" ht="15.75" customHeight="1">
      <c r="A1078" s="1">
        <v>2022</v>
      </c>
      <c r="B1078" s="1">
        <v>12</v>
      </c>
      <c r="C1078" s="1" t="s">
        <v>43</v>
      </c>
      <c r="D1078" s="1">
        <v>7.0949999999999998</v>
      </c>
      <c r="E1078" s="1" t="s">
        <v>372</v>
      </c>
      <c r="F1078" s="1">
        <v>19</v>
      </c>
      <c r="G1078" s="1">
        <v>12</v>
      </c>
      <c r="H1078" s="1">
        <v>16</v>
      </c>
      <c r="I1078" s="1">
        <v>12</v>
      </c>
      <c r="J1078" s="1">
        <v>46</v>
      </c>
      <c r="K1078" s="1">
        <v>19</v>
      </c>
      <c r="L1078" s="1">
        <v>19</v>
      </c>
      <c r="M1078" s="1">
        <v>51</v>
      </c>
      <c r="N1078" s="1">
        <v>47</v>
      </c>
      <c r="O1078" s="1">
        <v>19</v>
      </c>
      <c r="P1078" s="1">
        <v>42</v>
      </c>
      <c r="Q1078" s="1">
        <v>56</v>
      </c>
    </row>
    <row r="1079" spans="1:17" ht="15.75" customHeight="1">
      <c r="A1079" s="1">
        <v>2022</v>
      </c>
      <c r="B1079" s="1">
        <v>13</v>
      </c>
      <c r="C1079" s="1" t="s">
        <v>38</v>
      </c>
      <c r="D1079" s="1">
        <v>6.9610000000000003</v>
      </c>
      <c r="E1079" s="1" t="s">
        <v>647</v>
      </c>
      <c r="F1079" s="1">
        <v>32</v>
      </c>
      <c r="G1079" s="1">
        <v>18</v>
      </c>
      <c r="H1079" s="1">
        <v>17</v>
      </c>
      <c r="I1079" s="1">
        <v>21</v>
      </c>
      <c r="J1079" s="1">
        <v>51</v>
      </c>
      <c r="K1079" s="1">
        <v>11</v>
      </c>
      <c r="L1079" s="1">
        <v>14</v>
      </c>
      <c r="M1079" s="1">
        <v>42</v>
      </c>
      <c r="N1079" s="1">
        <v>74</v>
      </c>
      <c r="O1079" s="1">
        <v>11</v>
      </c>
      <c r="P1079" s="1">
        <v>37</v>
      </c>
      <c r="Q1079" s="1">
        <v>47</v>
      </c>
    </row>
    <row r="1080" spans="1:17" ht="15.75" customHeight="1">
      <c r="A1080" s="1">
        <v>2022</v>
      </c>
      <c r="B1080" s="1">
        <v>14</v>
      </c>
      <c r="C1080" s="1" t="s">
        <v>57</v>
      </c>
      <c r="D1080" s="1">
        <v>6.9109999999999996</v>
      </c>
      <c r="E1080" s="1" t="s">
        <v>648</v>
      </c>
      <c r="F1080" s="1">
        <v>26</v>
      </c>
      <c r="G1080" s="1">
        <v>28</v>
      </c>
      <c r="H1080" s="1">
        <v>3</v>
      </c>
      <c r="I1080" s="1">
        <v>16</v>
      </c>
      <c r="J1080" s="1">
        <v>26</v>
      </c>
      <c r="K1080" s="1">
        <v>14</v>
      </c>
      <c r="L1080" s="1">
        <v>8</v>
      </c>
      <c r="M1080" s="1">
        <v>35</v>
      </c>
      <c r="N1080" s="1">
        <v>41</v>
      </c>
      <c r="O1080" s="1">
        <v>14</v>
      </c>
      <c r="P1080" s="1">
        <v>35</v>
      </c>
      <c r="Q1080" s="1">
        <v>91</v>
      </c>
    </row>
    <row r="1081" spans="1:17" ht="15.75" customHeight="1">
      <c r="A1081" s="1">
        <v>2022</v>
      </c>
      <c r="B1081" s="12">
        <v>15</v>
      </c>
      <c r="C1081" s="8" t="s">
        <v>649</v>
      </c>
      <c r="D1081" s="5">
        <v>6.8940000000000001</v>
      </c>
      <c r="E1081" s="9" t="s">
        <v>541</v>
      </c>
      <c r="F1081" s="6">
        <v>44</v>
      </c>
      <c r="G1081" s="6">
        <v>31</v>
      </c>
      <c r="H1081" s="6">
        <v>6</v>
      </c>
      <c r="I1081" s="10">
        <v>56</v>
      </c>
      <c r="J1081" s="6">
        <v>94</v>
      </c>
      <c r="K1081" s="6">
        <v>12</v>
      </c>
      <c r="L1081" s="6">
        <v>41</v>
      </c>
      <c r="M1081" s="6">
        <v>50</v>
      </c>
      <c r="N1081" s="6">
        <v>62</v>
      </c>
      <c r="O1081" s="6">
        <v>12</v>
      </c>
      <c r="P1081" s="6">
        <v>10</v>
      </c>
      <c r="Q1081" s="6">
        <v>9</v>
      </c>
    </row>
    <row r="1082" spans="1:17" ht="15.75" customHeight="1">
      <c r="A1082" s="1">
        <v>2022</v>
      </c>
      <c r="B1082" s="12">
        <v>16</v>
      </c>
      <c r="C1082" s="8" t="s">
        <v>650</v>
      </c>
      <c r="D1082" s="5">
        <v>6.8920000000000003</v>
      </c>
      <c r="E1082" s="6">
        <v>0.22</v>
      </c>
      <c r="F1082" s="6">
        <v>39</v>
      </c>
      <c r="G1082" s="6">
        <v>26</v>
      </c>
      <c r="H1082" s="6">
        <v>14</v>
      </c>
      <c r="I1082" s="7">
        <v>24</v>
      </c>
      <c r="J1082" s="6">
        <v>25</v>
      </c>
      <c r="K1082" s="6">
        <v>35</v>
      </c>
      <c r="L1082" s="6">
        <v>12</v>
      </c>
      <c r="M1082" s="6">
        <v>70</v>
      </c>
      <c r="N1082" s="6">
        <v>23</v>
      </c>
      <c r="O1082" s="6">
        <v>35</v>
      </c>
      <c r="P1082" s="6">
        <v>90</v>
      </c>
      <c r="Q1082" s="6">
        <v>59</v>
      </c>
    </row>
    <row r="1083" spans="1:17" ht="15.75" customHeight="1">
      <c r="A1083" s="1">
        <v>2022</v>
      </c>
      <c r="B1083" s="12">
        <v>17</v>
      </c>
      <c r="C1083" s="8" t="s">
        <v>651</v>
      </c>
      <c r="D1083" s="5">
        <v>6.859</v>
      </c>
      <c r="E1083" s="9" t="s">
        <v>622</v>
      </c>
      <c r="F1083" s="6">
        <v>10</v>
      </c>
      <c r="G1083" s="6">
        <v>24</v>
      </c>
      <c r="H1083" s="6">
        <v>15</v>
      </c>
      <c r="I1083" s="10">
        <v>20</v>
      </c>
      <c r="J1083" s="6">
        <v>29</v>
      </c>
      <c r="K1083" s="6">
        <v>33</v>
      </c>
      <c r="L1083" s="6">
        <v>16</v>
      </c>
      <c r="M1083" s="6">
        <v>44</v>
      </c>
      <c r="N1083" s="6">
        <v>42</v>
      </c>
      <c r="O1083" s="6">
        <v>33</v>
      </c>
      <c r="P1083" s="6">
        <v>68</v>
      </c>
      <c r="Q1083" s="6">
        <v>109</v>
      </c>
    </row>
    <row r="1084" spans="1:17" ht="15.75" customHeight="1">
      <c r="A1084" s="1">
        <v>2022</v>
      </c>
      <c r="B1084" s="1">
        <v>18</v>
      </c>
      <c r="C1084" s="1" t="s">
        <v>70</v>
      </c>
      <c r="D1084" s="1">
        <v>6.8449999999999998</v>
      </c>
      <c r="E1084" s="1">
        <v>0.55500000000000005</v>
      </c>
      <c r="F1084" s="1">
        <v>30</v>
      </c>
      <c r="G1084" s="1">
        <v>10</v>
      </c>
      <c r="H1084" s="1">
        <v>28</v>
      </c>
      <c r="I1084" s="1">
        <v>36</v>
      </c>
      <c r="J1084" s="1">
        <v>20</v>
      </c>
      <c r="K1084" s="1">
        <v>37</v>
      </c>
      <c r="L1084" s="1">
        <v>89</v>
      </c>
      <c r="M1084" s="1">
        <v>30</v>
      </c>
      <c r="N1084" s="1">
        <v>48</v>
      </c>
      <c r="O1084" s="1">
        <v>37</v>
      </c>
      <c r="P1084" s="1">
        <v>75</v>
      </c>
      <c r="Q1084" s="1">
        <v>62</v>
      </c>
    </row>
    <row r="1085" spans="1:17" ht="15.75" customHeight="1">
      <c r="A1085" s="1">
        <v>2022</v>
      </c>
      <c r="B1085" s="12">
        <v>19</v>
      </c>
      <c r="C1085" s="5">
        <v>6.859</v>
      </c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</row>
    <row r="1086" spans="1:17" ht="15.75" customHeight="1">
      <c r="A1086" s="1">
        <v>2022</v>
      </c>
      <c r="B1086" s="1">
        <v>20</v>
      </c>
      <c r="C1086" s="1" t="s">
        <v>114</v>
      </c>
      <c r="D1086" s="1">
        <v>6.7629999999999999</v>
      </c>
      <c r="E1086" s="1">
        <v>1.337</v>
      </c>
      <c r="F1086" s="1">
        <v>12</v>
      </c>
      <c r="G1086" s="1">
        <v>13</v>
      </c>
      <c r="H1086" s="1">
        <v>32</v>
      </c>
      <c r="I1086" s="1">
        <v>52</v>
      </c>
      <c r="J1086" s="1">
        <v>107</v>
      </c>
      <c r="K1086" s="1">
        <v>105</v>
      </c>
      <c r="L1086" s="1">
        <v>37</v>
      </c>
      <c r="M1086" s="1">
        <v>133</v>
      </c>
      <c r="N1086" s="1">
        <v>3</v>
      </c>
      <c r="O1086" s="1">
        <v>105</v>
      </c>
      <c r="P1086" s="1">
        <v>116</v>
      </c>
      <c r="Q1086" s="1">
        <v>131</v>
      </c>
    </row>
    <row r="1087" spans="1:17" ht="15.75" customHeight="1">
      <c r="A1087" s="1">
        <v>2022</v>
      </c>
      <c r="B1087" s="1">
        <v>21</v>
      </c>
      <c r="C1087" s="1" t="s">
        <v>76</v>
      </c>
      <c r="D1087" s="1">
        <v>6.6609999999999996</v>
      </c>
      <c r="E1087" s="1" t="s">
        <v>475</v>
      </c>
      <c r="F1087" s="1">
        <v>29</v>
      </c>
      <c r="G1087" s="1">
        <v>59</v>
      </c>
      <c r="H1087" s="1">
        <v>21</v>
      </c>
      <c r="I1087" s="1">
        <v>14</v>
      </c>
      <c r="J1087" s="1">
        <v>67</v>
      </c>
      <c r="K1087" s="1">
        <v>55</v>
      </c>
      <c r="L1087" s="1">
        <v>18</v>
      </c>
      <c r="M1087" s="1">
        <v>61</v>
      </c>
      <c r="N1087" s="1">
        <v>49</v>
      </c>
      <c r="O1087" s="1">
        <v>55</v>
      </c>
      <c r="P1087" s="1">
        <v>30</v>
      </c>
      <c r="Q1087" s="1">
        <v>133</v>
      </c>
    </row>
    <row r="1088" spans="1:17" ht="15.75" customHeight="1">
      <c r="A1088" s="1">
        <v>2022</v>
      </c>
      <c r="B1088" s="1">
        <v>22</v>
      </c>
      <c r="C1088" s="1" t="s">
        <v>116</v>
      </c>
      <c r="D1088" s="1">
        <v>6.65</v>
      </c>
      <c r="E1088" s="1">
        <v>0.59</v>
      </c>
      <c r="F1088" s="1">
        <v>31</v>
      </c>
      <c r="G1088" s="1">
        <v>11</v>
      </c>
      <c r="H1088" s="1">
        <v>30</v>
      </c>
      <c r="I1088" s="1">
        <v>23</v>
      </c>
      <c r="J1088" s="1">
        <v>13</v>
      </c>
      <c r="K1088" s="1">
        <v>34</v>
      </c>
      <c r="L1088" s="1">
        <v>65</v>
      </c>
      <c r="M1088" s="1">
        <v>89</v>
      </c>
      <c r="N1088" s="1">
        <v>46</v>
      </c>
      <c r="O1088" s="1">
        <v>34</v>
      </c>
      <c r="P1088" s="1">
        <v>52</v>
      </c>
      <c r="Q1088" s="1">
        <v>115</v>
      </c>
    </row>
    <row r="1089" spans="1:17" ht="15.75" customHeight="1">
      <c r="A1089" s="1">
        <v>2022</v>
      </c>
      <c r="B1089" s="1">
        <v>23</v>
      </c>
      <c r="C1089" s="1" t="s">
        <v>52</v>
      </c>
      <c r="D1089" s="1">
        <v>6.609</v>
      </c>
      <c r="E1089" s="1" t="s">
        <v>652</v>
      </c>
      <c r="F1089" s="1">
        <v>55</v>
      </c>
      <c r="G1089" s="1">
        <v>30</v>
      </c>
      <c r="H1089" s="1">
        <v>53</v>
      </c>
      <c r="I1089" s="1">
        <v>29</v>
      </c>
      <c r="J1089" s="1">
        <v>19</v>
      </c>
      <c r="K1089" s="1">
        <v>73</v>
      </c>
      <c r="L1089" s="1">
        <v>58</v>
      </c>
      <c r="M1089" s="1">
        <v>9</v>
      </c>
      <c r="N1089" s="1">
        <v>67</v>
      </c>
      <c r="O1089" s="1">
        <v>73</v>
      </c>
      <c r="P1089" s="1">
        <v>83</v>
      </c>
      <c r="Q1089" s="1">
        <v>22</v>
      </c>
    </row>
    <row r="1090" spans="1:17" ht="15.75" customHeight="1">
      <c r="A1090" s="1">
        <v>2022</v>
      </c>
      <c r="B1090" s="1">
        <v>24</v>
      </c>
      <c r="C1090" s="1" t="s">
        <v>128</v>
      </c>
      <c r="D1090" s="1">
        <v>6.5890000000000004</v>
      </c>
      <c r="E1090" s="1">
        <v>1.556</v>
      </c>
      <c r="F1090" s="1">
        <v>71</v>
      </c>
      <c r="G1090" s="1">
        <v>71</v>
      </c>
      <c r="H1090" s="1">
        <v>39</v>
      </c>
      <c r="I1090" s="1">
        <v>58</v>
      </c>
      <c r="J1090" s="1">
        <v>53</v>
      </c>
      <c r="K1090" s="1">
        <v>102</v>
      </c>
      <c r="L1090" s="1">
        <v>134</v>
      </c>
      <c r="M1090" s="1">
        <v>93</v>
      </c>
      <c r="N1090" s="1">
        <v>55</v>
      </c>
      <c r="O1090" s="1">
        <v>102</v>
      </c>
      <c r="P1090" s="1">
        <v>121</v>
      </c>
      <c r="Q1090" s="1">
        <v>92</v>
      </c>
    </row>
    <row r="1091" spans="1:17" ht="15.75" customHeight="1">
      <c r="A1091" s="1">
        <v>2022</v>
      </c>
      <c r="B1091" s="1">
        <v>25</v>
      </c>
      <c r="C1091" s="1" t="s">
        <v>63</v>
      </c>
      <c r="D1091" s="1">
        <v>6.5869999999999997</v>
      </c>
      <c r="E1091" s="1">
        <v>4.1000000000000002E-2</v>
      </c>
      <c r="F1091" s="1">
        <v>21</v>
      </c>
      <c r="G1091" s="1">
        <v>67</v>
      </c>
      <c r="H1091" s="1">
        <v>2</v>
      </c>
      <c r="I1091" s="1">
        <v>1</v>
      </c>
      <c r="J1091" s="1">
        <v>36</v>
      </c>
      <c r="K1091" s="1">
        <v>22</v>
      </c>
      <c r="L1091" s="1">
        <v>60</v>
      </c>
      <c r="M1091" s="1">
        <v>30</v>
      </c>
      <c r="N1091" s="1">
        <v>22</v>
      </c>
      <c r="O1091" s="1">
        <v>66</v>
      </c>
      <c r="P1091" s="1">
        <v>44</v>
      </c>
      <c r="Q1091" s="1"/>
    </row>
    <row r="1092" spans="1:17" ht="15.75" customHeight="1">
      <c r="A1092" s="1">
        <v>2022</v>
      </c>
      <c r="B1092" s="1">
        <v>26</v>
      </c>
      <c r="C1092" s="1" t="s">
        <v>71</v>
      </c>
      <c r="D1092" s="1">
        <v>6.5709999999999997</v>
      </c>
      <c r="E1092" s="1" t="s">
        <v>653</v>
      </c>
      <c r="F1092" s="1">
        <v>69</v>
      </c>
      <c r="G1092" s="1">
        <v>89</v>
      </c>
      <c r="H1092" s="1">
        <v>9</v>
      </c>
      <c r="I1092" s="1">
        <v>30</v>
      </c>
      <c r="J1092" s="1">
        <v>12</v>
      </c>
      <c r="K1092" s="1">
        <v>15</v>
      </c>
      <c r="L1092" s="1">
        <v>49</v>
      </c>
      <c r="M1092" s="1">
        <v>45</v>
      </c>
      <c r="N1092" s="1">
        <v>15</v>
      </c>
      <c r="O1092" s="1">
        <v>25</v>
      </c>
      <c r="P1092" s="1">
        <v>68</v>
      </c>
      <c r="Q1092" s="1"/>
    </row>
    <row r="1093" spans="1:17" ht="15.75" customHeight="1">
      <c r="A1093" s="1">
        <v>2022</v>
      </c>
      <c r="B1093" s="1">
        <v>27</v>
      </c>
      <c r="C1093" s="1" t="s">
        <v>81</v>
      </c>
      <c r="D1093" s="1">
        <v>6.5350000000000001</v>
      </c>
      <c r="E1093" s="1">
        <v>0.314</v>
      </c>
      <c r="F1093" s="1">
        <v>18</v>
      </c>
      <c r="G1093" s="1">
        <v>44</v>
      </c>
      <c r="H1093" s="1">
        <v>64</v>
      </c>
      <c r="I1093" s="1"/>
      <c r="J1093" s="1">
        <v>52</v>
      </c>
      <c r="K1093" s="1">
        <v>33</v>
      </c>
      <c r="L1093" s="1">
        <v>47</v>
      </c>
      <c r="M1093" s="1">
        <v>1</v>
      </c>
      <c r="N1093" s="1">
        <v>52</v>
      </c>
      <c r="O1093" s="1">
        <v>117</v>
      </c>
      <c r="P1093" s="1">
        <v>95</v>
      </c>
      <c r="Q1093" s="1"/>
    </row>
    <row r="1094" spans="1:17" ht="15.75" customHeight="1">
      <c r="A1094" s="1">
        <v>2022</v>
      </c>
      <c r="B1094" s="1">
        <v>28</v>
      </c>
      <c r="C1094" s="1" t="s">
        <v>73</v>
      </c>
      <c r="D1094" s="1">
        <v>6.4939999999999998</v>
      </c>
      <c r="E1094" s="1">
        <v>0.13900000000000001</v>
      </c>
      <c r="F1094" s="1">
        <v>54</v>
      </c>
      <c r="G1094" s="1">
        <v>29</v>
      </c>
      <c r="H1094" s="1">
        <v>49</v>
      </c>
      <c r="I1094" s="1">
        <v>45</v>
      </c>
      <c r="J1094" s="1">
        <v>34</v>
      </c>
      <c r="K1094" s="1">
        <v>71</v>
      </c>
      <c r="L1094" s="1">
        <v>27</v>
      </c>
      <c r="M1094" s="1">
        <v>14</v>
      </c>
      <c r="N1094" s="1">
        <v>63</v>
      </c>
      <c r="O1094" s="1">
        <v>71</v>
      </c>
      <c r="P1094" s="1">
        <v>72</v>
      </c>
      <c r="Q1094" s="1">
        <v>24</v>
      </c>
    </row>
    <row r="1095" spans="1:17" ht="15.75" customHeight="1">
      <c r="A1095" s="1">
        <v>2022</v>
      </c>
      <c r="B1095" s="1">
        <v>29</v>
      </c>
      <c r="C1095" s="1" t="s">
        <v>95</v>
      </c>
      <c r="D1095" s="1">
        <v>6.4690000000000003</v>
      </c>
      <c r="E1095" s="1">
        <v>0.5</v>
      </c>
      <c r="F1095" s="1">
        <v>17</v>
      </c>
      <c r="G1095" s="1">
        <v>4</v>
      </c>
      <c r="H1095" s="1">
        <v>40</v>
      </c>
      <c r="I1095" s="1">
        <v>47</v>
      </c>
      <c r="J1095" s="1">
        <v>96</v>
      </c>
      <c r="K1095" s="1">
        <v>83</v>
      </c>
      <c r="L1095" s="1">
        <v>97</v>
      </c>
      <c r="M1095" s="1">
        <v>71</v>
      </c>
      <c r="N1095" s="1">
        <v>59</v>
      </c>
      <c r="O1095" s="1">
        <v>83</v>
      </c>
      <c r="P1095" s="1">
        <v>99</v>
      </c>
      <c r="Q1095" s="1">
        <v>120</v>
      </c>
    </row>
    <row r="1096" spans="1:17" ht="15.75" customHeight="1">
      <c r="A1096" s="1">
        <v>2022</v>
      </c>
      <c r="B1096" s="1">
        <v>30</v>
      </c>
      <c r="C1096" s="1" t="s">
        <v>79</v>
      </c>
      <c r="D1096" s="1">
        <v>6.4630000000000001</v>
      </c>
      <c r="E1096" s="1" t="s">
        <v>654</v>
      </c>
      <c r="F1096" s="1">
        <v>67</v>
      </c>
      <c r="G1096" s="1">
        <v>32</v>
      </c>
      <c r="H1096" s="1">
        <v>20</v>
      </c>
      <c r="I1096" s="1">
        <v>38</v>
      </c>
      <c r="J1096" s="1">
        <v>54</v>
      </c>
      <c r="K1096" s="1">
        <v>64</v>
      </c>
      <c r="L1096" s="1">
        <v>26</v>
      </c>
      <c r="M1096" s="1">
        <v>54</v>
      </c>
      <c r="N1096" s="1">
        <v>102</v>
      </c>
      <c r="O1096" s="1">
        <v>46</v>
      </c>
      <c r="Q1096" s="1"/>
    </row>
    <row r="1097" spans="1:17" ht="15.75" customHeight="1">
      <c r="A1097" s="1">
        <v>2022</v>
      </c>
      <c r="B1097" s="1">
        <v>31</v>
      </c>
      <c r="C1097" s="1" t="s">
        <v>129</v>
      </c>
      <c r="D1097" s="1">
        <v>6.4550000000000001</v>
      </c>
      <c r="E1097" s="1">
        <v>1.0289999999999999</v>
      </c>
      <c r="F1097" s="1">
        <v>16</v>
      </c>
      <c r="G1097" s="1">
        <v>16</v>
      </c>
      <c r="H1097" s="1">
        <v>34</v>
      </c>
      <c r="I1097" s="1">
        <v>32</v>
      </c>
      <c r="J1097" s="1">
        <v>21</v>
      </c>
      <c r="K1097" s="1">
        <v>28</v>
      </c>
      <c r="L1097" s="1">
        <v>10</v>
      </c>
      <c r="M1097" s="1">
        <v>20</v>
      </c>
      <c r="N1097" s="1">
        <v>17</v>
      </c>
      <c r="O1097" s="1">
        <v>28</v>
      </c>
      <c r="P1097" s="1">
        <v>78</v>
      </c>
      <c r="Q1097" s="1">
        <v>83</v>
      </c>
    </row>
    <row r="1098" spans="1:17" ht="15.75" customHeight="1">
      <c r="A1098" s="1">
        <v>2022</v>
      </c>
      <c r="B1098" s="1">
        <v>32</v>
      </c>
      <c r="C1098" s="1" t="s">
        <v>274</v>
      </c>
      <c r="D1098" s="1">
        <v>6.4359999999999999</v>
      </c>
      <c r="E1098" s="1">
        <v>0.114</v>
      </c>
      <c r="F1098" s="1">
        <v>27</v>
      </c>
      <c r="G1098" s="1">
        <v>15</v>
      </c>
      <c r="H1098" s="1">
        <v>31</v>
      </c>
      <c r="I1098" s="1">
        <v>8</v>
      </c>
      <c r="J1098" s="1">
        <v>76</v>
      </c>
      <c r="K1098" s="1">
        <v>49</v>
      </c>
      <c r="L1098" s="1">
        <v>36</v>
      </c>
      <c r="M1098" s="1">
        <v>82</v>
      </c>
      <c r="N1098" s="1">
        <v>92</v>
      </c>
      <c r="O1098" s="1">
        <v>49</v>
      </c>
      <c r="P1098" s="1">
        <v>96</v>
      </c>
      <c r="Q1098" s="1">
        <v>96</v>
      </c>
    </row>
    <row r="1099" spans="1:17" ht="15.75" customHeight="1">
      <c r="A1099" s="1">
        <v>2022</v>
      </c>
      <c r="B1099" s="1">
        <v>33</v>
      </c>
      <c r="C1099" s="1" t="s">
        <v>100</v>
      </c>
      <c r="D1099" s="1">
        <v>6.4050000000000002</v>
      </c>
      <c r="E1099" s="1">
        <v>0.38400000000000001</v>
      </c>
      <c r="F1099" s="1">
        <v>22</v>
      </c>
      <c r="G1099" s="1">
        <v>55</v>
      </c>
      <c r="H1099" s="1">
        <v>23</v>
      </c>
      <c r="I1099" s="1">
        <v>13</v>
      </c>
      <c r="J1099" s="1">
        <v>106</v>
      </c>
      <c r="K1099" s="1">
        <v>40</v>
      </c>
      <c r="L1099" s="1">
        <v>86</v>
      </c>
      <c r="M1099" s="1">
        <v>90</v>
      </c>
      <c r="N1099" s="1">
        <v>83</v>
      </c>
      <c r="O1099" s="1">
        <v>40</v>
      </c>
      <c r="P1099" s="1">
        <v>104</v>
      </c>
      <c r="Q1099" s="1">
        <v>103</v>
      </c>
    </row>
    <row r="1100" spans="1:17" ht="15.75" customHeight="1">
      <c r="A1100" s="1">
        <v>2022</v>
      </c>
      <c r="B1100" s="1">
        <v>34</v>
      </c>
      <c r="C1100" s="1" t="s">
        <v>135</v>
      </c>
      <c r="D1100" s="1">
        <v>6.3680000000000003</v>
      </c>
      <c r="E1100" s="1">
        <v>1.1459999999999999</v>
      </c>
      <c r="F1100" s="1">
        <v>80</v>
      </c>
      <c r="G1100" s="1">
        <v>39</v>
      </c>
      <c r="H1100" s="1">
        <v>82</v>
      </c>
      <c r="I1100" s="1"/>
      <c r="J1100" s="1">
        <v>39</v>
      </c>
      <c r="K1100" s="1">
        <v>31</v>
      </c>
      <c r="L1100" s="1">
        <v>100</v>
      </c>
      <c r="M1100" s="1">
        <v>117</v>
      </c>
      <c r="N1100" s="1">
        <v>31</v>
      </c>
      <c r="O1100" s="1">
        <v>128</v>
      </c>
      <c r="P1100" s="1">
        <v>63</v>
      </c>
    </row>
    <row r="1101" spans="1:17" ht="15.75" customHeight="1">
      <c r="A1101" s="1">
        <v>2022</v>
      </c>
      <c r="B1101" s="1">
        <v>35</v>
      </c>
      <c r="C1101" s="1" t="s">
        <v>66</v>
      </c>
      <c r="D1101" s="1">
        <v>6.3339999999999996</v>
      </c>
      <c r="E1101" s="1" t="s">
        <v>369</v>
      </c>
      <c r="F1101" s="1">
        <v>41</v>
      </c>
      <c r="G1101" s="1">
        <v>41</v>
      </c>
      <c r="H1101" s="1">
        <v>50</v>
      </c>
      <c r="I1101" s="1">
        <v>28</v>
      </c>
      <c r="J1101" s="1">
        <v>70</v>
      </c>
      <c r="K1101" s="1">
        <v>62</v>
      </c>
      <c r="L1101" s="1">
        <v>77</v>
      </c>
      <c r="M1101" s="1">
        <v>15</v>
      </c>
      <c r="N1101" s="1">
        <v>51</v>
      </c>
      <c r="O1101" s="1">
        <v>62</v>
      </c>
      <c r="P1101" s="1">
        <v>97</v>
      </c>
      <c r="Q1101" s="1">
        <v>36</v>
      </c>
    </row>
    <row r="1102" spans="1:17" ht="15.75" customHeight="1">
      <c r="A1102" s="1">
        <v>2022</v>
      </c>
      <c r="B1102" s="12">
        <v>36</v>
      </c>
      <c r="C1102" s="8" t="s">
        <v>655</v>
      </c>
      <c r="D1102" s="5">
        <v>6.33</v>
      </c>
      <c r="E1102" s="9" t="s">
        <v>656</v>
      </c>
      <c r="F1102" s="6">
        <v>53</v>
      </c>
      <c r="G1102" s="6">
        <v>65</v>
      </c>
      <c r="H1102" s="6">
        <v>58</v>
      </c>
      <c r="I1102" s="10">
        <v>79</v>
      </c>
      <c r="J1102" s="6">
        <v>41</v>
      </c>
      <c r="K1102" s="6">
        <v>97</v>
      </c>
      <c r="L1102" s="6">
        <v>73</v>
      </c>
      <c r="M1102" s="6">
        <v>6</v>
      </c>
      <c r="N1102" s="6">
        <v>27</v>
      </c>
      <c r="O1102" s="6">
        <v>97</v>
      </c>
      <c r="P1102" s="6">
        <v>89</v>
      </c>
      <c r="Q1102" s="6">
        <v>72</v>
      </c>
    </row>
    <row r="1103" spans="1:17" ht="15.75" customHeight="1">
      <c r="A1103" s="1">
        <v>2022</v>
      </c>
      <c r="B1103" s="12">
        <v>37</v>
      </c>
      <c r="C1103" s="8" t="s">
        <v>657</v>
      </c>
      <c r="D1103" s="5">
        <v>6.3</v>
      </c>
      <c r="E1103" s="6">
        <v>0.33600000000000002</v>
      </c>
      <c r="F1103" s="6">
        <v>40</v>
      </c>
      <c r="G1103" s="6">
        <v>17</v>
      </c>
      <c r="H1103" s="6">
        <v>18</v>
      </c>
      <c r="I1103" s="7">
        <v>11</v>
      </c>
      <c r="J1103" s="6">
        <v>52</v>
      </c>
      <c r="K1103" s="6">
        <v>5</v>
      </c>
      <c r="L1103" s="6">
        <v>62</v>
      </c>
      <c r="M1103" s="6">
        <v>67</v>
      </c>
      <c r="N1103" s="6">
        <v>109</v>
      </c>
      <c r="O1103" s="6">
        <v>5</v>
      </c>
      <c r="P1103" s="6">
        <v>62</v>
      </c>
      <c r="Q1103" s="6">
        <v>90</v>
      </c>
    </row>
    <row r="1104" spans="1:17" ht="15.75" customHeight="1">
      <c r="A1104" s="1">
        <v>2022</v>
      </c>
      <c r="B1104" s="1">
        <v>38</v>
      </c>
      <c r="C1104" s="1" t="s">
        <v>67</v>
      </c>
      <c r="D1104" s="1">
        <v>6.2649999999999997</v>
      </c>
      <c r="E1104" s="1" t="s">
        <v>658</v>
      </c>
      <c r="F1104" s="1">
        <v>116</v>
      </c>
      <c r="G1104" s="1">
        <v>38</v>
      </c>
      <c r="H1104" s="1">
        <v>44</v>
      </c>
      <c r="I1104" s="1">
        <v>33</v>
      </c>
      <c r="J1104" s="1">
        <v>24</v>
      </c>
      <c r="K1104" s="1">
        <v>82</v>
      </c>
      <c r="L1104" s="1">
        <v>123</v>
      </c>
      <c r="M1104" s="1">
        <v>5</v>
      </c>
      <c r="N1104" s="1">
        <v>57</v>
      </c>
      <c r="O1104" s="1">
        <v>82</v>
      </c>
      <c r="P1104" s="1">
        <v>32</v>
      </c>
      <c r="Q1104" s="1">
        <v>39</v>
      </c>
    </row>
    <row r="1105" spans="1:17" ht="15.75" customHeight="1">
      <c r="A1105" s="1">
        <v>2022</v>
      </c>
      <c r="B1105" s="1">
        <v>39</v>
      </c>
      <c r="C1105" s="1" t="s">
        <v>109</v>
      </c>
      <c r="D1105" s="1">
        <v>6.26</v>
      </c>
      <c r="E1105" s="1">
        <v>0.438</v>
      </c>
      <c r="F1105" s="1">
        <v>5</v>
      </c>
      <c r="G1105" s="1">
        <v>43</v>
      </c>
      <c r="H1105" s="1">
        <v>35</v>
      </c>
      <c r="I1105" s="1">
        <v>40</v>
      </c>
      <c r="J1105" s="1">
        <v>65</v>
      </c>
      <c r="K1105" s="1">
        <v>113</v>
      </c>
      <c r="L1105" s="1">
        <v>34</v>
      </c>
      <c r="M1105" s="1">
        <v>98</v>
      </c>
      <c r="N1105" s="1">
        <v>5</v>
      </c>
      <c r="O1105" s="1">
        <v>113</v>
      </c>
      <c r="P1105" s="1">
        <v>139</v>
      </c>
      <c r="Q1105" s="1">
        <v>139</v>
      </c>
    </row>
    <row r="1106" spans="1:17" ht="15.75" customHeight="1">
      <c r="A1106" s="1">
        <v>2022</v>
      </c>
      <c r="B1106" s="1">
        <v>40</v>
      </c>
      <c r="C1106" s="1" t="s">
        <v>98</v>
      </c>
      <c r="D1106" s="1">
        <v>6.2590000000000003</v>
      </c>
      <c r="E1106" s="1">
        <v>0.752</v>
      </c>
      <c r="F1106" s="1">
        <v>130</v>
      </c>
      <c r="G1106" s="1">
        <v>69</v>
      </c>
      <c r="H1106" s="1">
        <v>100</v>
      </c>
      <c r="I1106" s="1">
        <v>50</v>
      </c>
      <c r="J1106" s="1">
        <v>18</v>
      </c>
      <c r="K1106" s="1">
        <v>84</v>
      </c>
      <c r="L1106" s="1">
        <v>20</v>
      </c>
      <c r="M1106" s="1">
        <v>11</v>
      </c>
      <c r="N1106" s="1">
        <v>97</v>
      </c>
      <c r="O1106" s="1">
        <v>84</v>
      </c>
      <c r="P1106" s="1">
        <v>46</v>
      </c>
      <c r="Q1106" s="1">
        <v>66</v>
      </c>
    </row>
    <row r="1107" spans="1:17" ht="15.75" customHeight="1">
      <c r="A1107" s="1">
        <v>2022</v>
      </c>
      <c r="B1107" s="1">
        <v>41</v>
      </c>
      <c r="C1107" s="1" t="s">
        <v>123</v>
      </c>
      <c r="D1107" s="1">
        <v>6.2130000000000001</v>
      </c>
      <c r="E1107" s="1">
        <v>1.167</v>
      </c>
      <c r="F1107" s="1">
        <v>24</v>
      </c>
      <c r="G1107" s="1">
        <v>20</v>
      </c>
      <c r="H1107" s="1">
        <v>42</v>
      </c>
      <c r="I1107" s="1">
        <v>59</v>
      </c>
      <c r="J1107" s="1">
        <v>61</v>
      </c>
      <c r="K1107" s="1">
        <v>47</v>
      </c>
      <c r="L1107" s="1">
        <v>98</v>
      </c>
      <c r="M1107" s="1">
        <v>83</v>
      </c>
      <c r="N1107" s="1">
        <v>8</v>
      </c>
      <c r="O1107" s="1">
        <v>47</v>
      </c>
      <c r="P1107" s="1">
        <v>108</v>
      </c>
      <c r="Q1107" s="1">
        <v>86</v>
      </c>
    </row>
    <row r="1108" spans="1:17" ht="15.75" customHeight="1">
      <c r="A1108" s="1">
        <v>2022</v>
      </c>
      <c r="B1108" s="1">
        <v>42</v>
      </c>
      <c r="C1108" s="1" t="s">
        <v>90</v>
      </c>
      <c r="D1108" s="1">
        <v>6.173</v>
      </c>
      <c r="E1108" s="1">
        <v>0.86099999999999999</v>
      </c>
      <c r="F1108" s="1"/>
      <c r="G1108" s="1"/>
      <c r="H1108" s="1"/>
      <c r="I1108" s="1"/>
      <c r="J1108" s="1"/>
      <c r="K1108" s="1"/>
      <c r="L1108" s="1"/>
      <c r="M1108" s="1"/>
      <c r="Q1108" s="1"/>
    </row>
    <row r="1109" spans="1:17" ht="15.75" customHeight="1">
      <c r="A1109" s="1">
        <v>2022</v>
      </c>
      <c r="B1109" s="1">
        <v>43</v>
      </c>
      <c r="C1109" s="1" t="s">
        <v>86</v>
      </c>
      <c r="D1109" s="1">
        <v>6.15</v>
      </c>
      <c r="E1109" s="1">
        <v>0.185</v>
      </c>
      <c r="F1109" s="1">
        <v>110</v>
      </c>
      <c r="G1109" s="1">
        <v>86</v>
      </c>
      <c r="H1109" s="1">
        <v>85</v>
      </c>
      <c r="I1109" s="1"/>
      <c r="J1109" s="1">
        <v>43</v>
      </c>
      <c r="K1109" s="1">
        <v>95</v>
      </c>
      <c r="L1109" s="1">
        <v>91</v>
      </c>
      <c r="M1109" s="1">
        <v>1</v>
      </c>
      <c r="N1109" s="1">
        <v>60</v>
      </c>
      <c r="O1109" s="1">
        <v>95</v>
      </c>
      <c r="P1109" s="1">
        <v>27</v>
      </c>
      <c r="Q1109" s="1">
        <v>71</v>
      </c>
    </row>
    <row r="1110" spans="1:17" ht="15.75" customHeight="1">
      <c r="A1110" s="1">
        <v>2022</v>
      </c>
      <c r="B1110" s="1">
        <v>44</v>
      </c>
      <c r="C1110" s="1" t="s">
        <v>106</v>
      </c>
      <c r="D1110" s="1">
        <v>6.1440000000000001</v>
      </c>
      <c r="E1110" s="1">
        <v>0.47299999999999998</v>
      </c>
      <c r="F1110" s="1">
        <v>38</v>
      </c>
      <c r="G1110" s="1">
        <v>23</v>
      </c>
      <c r="H1110" s="1">
        <v>45</v>
      </c>
      <c r="I1110" s="1">
        <v>77</v>
      </c>
      <c r="J1110" s="1">
        <v>32</v>
      </c>
      <c r="K1110" s="1">
        <v>51</v>
      </c>
      <c r="L1110" s="1">
        <v>48</v>
      </c>
      <c r="M1110" s="1">
        <v>77</v>
      </c>
      <c r="N1110" s="1">
        <v>4</v>
      </c>
      <c r="O1110" s="1">
        <v>51</v>
      </c>
      <c r="P1110" s="1">
        <v>109</v>
      </c>
      <c r="Q1110" s="1">
        <v>118</v>
      </c>
    </row>
    <row r="1111" spans="1:17" ht="15.75" customHeight="1">
      <c r="A1111" s="1">
        <v>2022</v>
      </c>
      <c r="B1111" s="1">
        <v>45</v>
      </c>
      <c r="C1111" s="1" t="s">
        <v>145</v>
      </c>
      <c r="D1111" s="1">
        <v>6.1440000000000001</v>
      </c>
      <c r="E1111" s="1">
        <v>1.331</v>
      </c>
      <c r="F1111" s="1">
        <v>60</v>
      </c>
      <c r="G1111" s="1">
        <v>36</v>
      </c>
      <c r="H1111" s="1">
        <v>55</v>
      </c>
      <c r="I1111" s="1">
        <v>57</v>
      </c>
      <c r="J1111" s="1">
        <v>75</v>
      </c>
      <c r="K1111" s="1">
        <v>41</v>
      </c>
      <c r="L1111" s="1">
        <v>79</v>
      </c>
      <c r="M1111" s="1">
        <v>127</v>
      </c>
      <c r="N1111" s="1">
        <v>68</v>
      </c>
      <c r="O1111" s="1">
        <v>41</v>
      </c>
      <c r="P1111" s="1">
        <v>136</v>
      </c>
      <c r="Q1111" s="1">
        <v>134</v>
      </c>
    </row>
    <row r="1112" spans="1:17" ht="15.75" customHeight="1">
      <c r="A1112" s="1">
        <v>2022</v>
      </c>
      <c r="B1112" s="1">
        <v>46</v>
      </c>
      <c r="C1112" s="1" t="s">
        <v>124</v>
      </c>
      <c r="D1112" s="1">
        <v>6.13</v>
      </c>
      <c r="E1112" s="1" t="s">
        <v>659</v>
      </c>
      <c r="F1112" s="1">
        <v>58</v>
      </c>
      <c r="G1112" s="1">
        <v>78</v>
      </c>
      <c r="H1112" s="1">
        <v>24</v>
      </c>
      <c r="I1112" s="1">
        <v>10</v>
      </c>
      <c r="J1112" s="1">
        <v>111</v>
      </c>
      <c r="K1112" s="1">
        <v>43</v>
      </c>
      <c r="L1112" s="1">
        <v>124</v>
      </c>
      <c r="M1112" s="1">
        <v>75</v>
      </c>
      <c r="N1112" s="1">
        <v>82</v>
      </c>
      <c r="O1112" s="1">
        <v>43</v>
      </c>
      <c r="P1112" s="1">
        <v>67</v>
      </c>
      <c r="Q1112" s="1">
        <v>64</v>
      </c>
    </row>
    <row r="1113" spans="1:17" ht="15.75" customHeight="1">
      <c r="A1113" s="1">
        <v>2022</v>
      </c>
      <c r="B1113" s="1">
        <v>47</v>
      </c>
      <c r="C1113" s="1" t="s">
        <v>104</v>
      </c>
      <c r="D1113" s="1">
        <v>6.1289999999999996</v>
      </c>
      <c r="E1113" s="1">
        <v>6.5000000000000002E-2</v>
      </c>
      <c r="F1113" s="1">
        <v>42</v>
      </c>
      <c r="G1113" s="1">
        <v>35</v>
      </c>
      <c r="H1113" s="1">
        <v>33</v>
      </c>
      <c r="I1113" s="1">
        <v>2</v>
      </c>
      <c r="J1113" s="1">
        <v>73</v>
      </c>
      <c r="K1113" s="1">
        <v>122</v>
      </c>
      <c r="L1113" s="1">
        <v>28</v>
      </c>
      <c r="M1113" s="1">
        <v>68</v>
      </c>
      <c r="N1113" s="1">
        <v>10</v>
      </c>
      <c r="O1113" s="1">
        <v>122</v>
      </c>
      <c r="P1113" s="1">
        <v>100</v>
      </c>
      <c r="Q1113" s="1">
        <v>140</v>
      </c>
    </row>
    <row r="1114" spans="1:17" ht="15.75" customHeight="1">
      <c r="A1114" s="1">
        <v>2022</v>
      </c>
      <c r="B1114" s="1">
        <v>48</v>
      </c>
      <c r="C1114" s="1" t="s">
        <v>131</v>
      </c>
      <c r="D1114" s="1">
        <v>6.125</v>
      </c>
      <c r="E1114" s="1">
        <v>0.46400000000000002</v>
      </c>
      <c r="F1114" s="1">
        <v>47</v>
      </c>
      <c r="G1114" s="1">
        <v>27</v>
      </c>
      <c r="H1114" s="1">
        <v>38</v>
      </c>
      <c r="I1114" s="1">
        <v>31</v>
      </c>
      <c r="J1114" s="1">
        <v>128</v>
      </c>
      <c r="K1114" s="1">
        <v>118</v>
      </c>
      <c r="L1114" s="1">
        <v>116</v>
      </c>
      <c r="M1114" s="1">
        <v>109</v>
      </c>
      <c r="N1114" s="1">
        <v>61</v>
      </c>
      <c r="O1114" s="1">
        <v>118</v>
      </c>
      <c r="P1114" s="1">
        <v>134</v>
      </c>
      <c r="Q1114" s="1">
        <v>137</v>
      </c>
    </row>
    <row r="1115" spans="1:17" ht="15.75" customHeight="1">
      <c r="A1115" s="1">
        <v>2022</v>
      </c>
      <c r="B1115" s="1">
        <v>49</v>
      </c>
      <c r="C1115" s="1" t="s">
        <v>54</v>
      </c>
      <c r="D1115" s="1">
        <v>6.125</v>
      </c>
      <c r="E1115" s="1" t="s">
        <v>660</v>
      </c>
      <c r="F1115" s="1">
        <v>94</v>
      </c>
      <c r="G1115" s="1">
        <v>58</v>
      </c>
      <c r="H1115" s="1">
        <v>65</v>
      </c>
      <c r="I1115" s="1">
        <v>75</v>
      </c>
      <c r="J1115" s="1">
        <v>55</v>
      </c>
      <c r="K1115" s="1">
        <v>78</v>
      </c>
      <c r="L1115" s="1">
        <v>54</v>
      </c>
      <c r="M1115" s="1">
        <v>63</v>
      </c>
      <c r="N1115" s="1">
        <v>98</v>
      </c>
      <c r="O1115" s="1">
        <v>78</v>
      </c>
      <c r="P1115" s="1">
        <v>80</v>
      </c>
      <c r="Q1115" s="1">
        <v>58</v>
      </c>
    </row>
    <row r="1116" spans="1:17" ht="15.75" customHeight="1">
      <c r="A1116" s="1">
        <v>2022</v>
      </c>
      <c r="B1116" s="1">
        <v>50</v>
      </c>
      <c r="C1116" s="1" t="s">
        <v>96</v>
      </c>
      <c r="D1116" s="1">
        <v>6.1219999999999999</v>
      </c>
      <c r="E1116" s="1">
        <v>0.313</v>
      </c>
      <c r="F1116" s="1">
        <v>105</v>
      </c>
      <c r="G1116" s="1">
        <v>96</v>
      </c>
      <c r="H1116" s="1">
        <v>88</v>
      </c>
      <c r="I1116" s="1">
        <v>73</v>
      </c>
      <c r="J1116" s="1">
        <v>17</v>
      </c>
      <c r="K1116" s="1">
        <v>114</v>
      </c>
      <c r="L1116" s="1">
        <v>26</v>
      </c>
      <c r="M1116" s="1">
        <v>3</v>
      </c>
      <c r="N1116" s="1">
        <v>81</v>
      </c>
      <c r="O1116" s="1">
        <v>114</v>
      </c>
      <c r="P1116" s="1">
        <v>55</v>
      </c>
      <c r="Q1116" s="1">
        <v>55</v>
      </c>
    </row>
    <row r="1117" spans="1:17" ht="15.75" customHeight="1">
      <c r="A1117" s="1">
        <v>2022</v>
      </c>
      <c r="B1117" s="1">
        <v>51</v>
      </c>
      <c r="C1117" s="1" t="s">
        <v>151</v>
      </c>
      <c r="D1117" s="1">
        <v>6.0410000000000004</v>
      </c>
      <c r="E1117" s="1">
        <v>1.266</v>
      </c>
      <c r="F1117" s="1">
        <v>37</v>
      </c>
      <c r="G1117" s="1">
        <v>14</v>
      </c>
      <c r="H1117" s="1">
        <v>37</v>
      </c>
      <c r="I1117" s="1">
        <v>48</v>
      </c>
      <c r="J1117" s="1">
        <v>80</v>
      </c>
      <c r="K1117" s="1">
        <v>56</v>
      </c>
      <c r="L1117" s="1">
        <v>102</v>
      </c>
      <c r="M1117" s="1">
        <v>87</v>
      </c>
      <c r="N1117" s="1">
        <v>50</v>
      </c>
      <c r="O1117" s="1">
        <v>56</v>
      </c>
      <c r="P1117" s="1">
        <v>115</v>
      </c>
      <c r="Q1117" s="1">
        <v>15</v>
      </c>
    </row>
    <row r="1118" spans="1:17" ht="15.75" customHeight="1">
      <c r="A1118" s="1">
        <v>2022</v>
      </c>
      <c r="B1118" s="1">
        <v>52</v>
      </c>
      <c r="C1118" s="1" t="s">
        <v>69</v>
      </c>
      <c r="D1118" s="1">
        <v>6.024</v>
      </c>
      <c r="E1118" s="1" t="s">
        <v>661</v>
      </c>
      <c r="F1118" s="1">
        <v>68</v>
      </c>
      <c r="G1118" s="1">
        <v>37</v>
      </c>
      <c r="H1118" s="1">
        <v>51</v>
      </c>
      <c r="I1118" s="1">
        <v>49</v>
      </c>
      <c r="J1118" s="1">
        <v>58</v>
      </c>
      <c r="K1118" s="1">
        <v>96</v>
      </c>
      <c r="L1118" s="1">
        <v>84</v>
      </c>
      <c r="M1118" s="1">
        <v>38</v>
      </c>
      <c r="N1118" s="1">
        <v>72</v>
      </c>
      <c r="O1118" s="1">
        <v>96</v>
      </c>
      <c r="P1118" s="1">
        <v>79</v>
      </c>
      <c r="Q1118" s="1">
        <v>51</v>
      </c>
    </row>
    <row r="1119" spans="1:17" ht="15.75" customHeight="1">
      <c r="A1119" s="1">
        <v>2022</v>
      </c>
      <c r="B1119" s="1">
        <v>53</v>
      </c>
      <c r="C1119" s="1" t="s">
        <v>167</v>
      </c>
      <c r="D1119" s="1">
        <v>6.0229999999999997</v>
      </c>
      <c r="E1119" s="1">
        <v>0.88100000000000001</v>
      </c>
      <c r="F1119" s="1">
        <v>132</v>
      </c>
      <c r="G1119" s="1">
        <v>105</v>
      </c>
      <c r="H1119" s="1">
        <v>103</v>
      </c>
      <c r="I1119" s="1">
        <v>90</v>
      </c>
      <c r="J1119" s="1">
        <v>48</v>
      </c>
      <c r="K1119" s="1">
        <v>65</v>
      </c>
      <c r="L1119" s="1">
        <v>90</v>
      </c>
      <c r="M1119" s="1">
        <v>16</v>
      </c>
      <c r="N1119" s="1">
        <v>78</v>
      </c>
      <c r="O1119" s="1">
        <v>65</v>
      </c>
      <c r="P1119" s="1">
        <v>21</v>
      </c>
      <c r="Q1119" s="1">
        <v>40</v>
      </c>
    </row>
    <row r="1120" spans="1:17" ht="15.75" customHeight="1">
      <c r="A1120" s="1">
        <v>2022</v>
      </c>
      <c r="B1120" s="1">
        <v>54</v>
      </c>
      <c r="C1120" s="1" t="s">
        <v>99</v>
      </c>
      <c r="D1120" s="1">
        <v>6.0140000000000002</v>
      </c>
      <c r="E1120" s="1">
        <v>0.39100000000000001</v>
      </c>
      <c r="F1120" s="1">
        <v>84</v>
      </c>
      <c r="G1120" s="1">
        <v>46</v>
      </c>
      <c r="H1120" s="1">
        <v>93</v>
      </c>
      <c r="I1120" s="1">
        <v>65</v>
      </c>
      <c r="J1120" s="1">
        <v>3</v>
      </c>
      <c r="K1120" s="1">
        <v>16</v>
      </c>
      <c r="L1120" s="1">
        <v>24</v>
      </c>
      <c r="M1120" s="1">
        <v>31</v>
      </c>
      <c r="N1120" s="1">
        <v>37</v>
      </c>
      <c r="O1120" s="1">
        <v>16</v>
      </c>
      <c r="P1120" s="1">
        <v>92</v>
      </c>
      <c r="Q1120" s="1">
        <v>79</v>
      </c>
    </row>
    <row r="1121" spans="1:17" ht="15.75" customHeight="1">
      <c r="A1121" s="1">
        <v>2022</v>
      </c>
      <c r="B1121" s="12">
        <v>55</v>
      </c>
      <c r="C1121" s="8" t="s">
        <v>662</v>
      </c>
      <c r="D1121" s="5">
        <v>6.0119999999999996</v>
      </c>
      <c r="E1121" s="6">
        <v>0.252</v>
      </c>
      <c r="F1121" s="6">
        <v>50</v>
      </c>
      <c r="G1121" s="6">
        <v>81</v>
      </c>
      <c r="H1121" s="6">
        <v>47</v>
      </c>
      <c r="I1121" s="7">
        <v>55</v>
      </c>
      <c r="J1121" s="6">
        <v>5</v>
      </c>
      <c r="K1121" s="6">
        <v>18</v>
      </c>
      <c r="L1121" s="6">
        <v>75</v>
      </c>
      <c r="M1121" s="6">
        <v>21</v>
      </c>
      <c r="N1121" s="6">
        <v>18</v>
      </c>
      <c r="O1121" s="6">
        <v>18</v>
      </c>
      <c r="P1121" s="6">
        <v>59</v>
      </c>
      <c r="Q1121" s="6">
        <v>93</v>
      </c>
    </row>
    <row r="1122" spans="1:17" ht="15.75" customHeight="1">
      <c r="A1122" s="1">
        <v>2022</v>
      </c>
      <c r="B1122" s="12">
        <v>56</v>
      </c>
      <c r="C1122" s="8" t="s">
        <v>663</v>
      </c>
      <c r="D1122" s="5">
        <v>5.968</v>
      </c>
      <c r="E1122" s="6">
        <v>0.86699999999999999</v>
      </c>
      <c r="F1122" s="6">
        <v>65</v>
      </c>
      <c r="G1122" s="6">
        <v>63</v>
      </c>
      <c r="H1122" s="6">
        <v>36</v>
      </c>
      <c r="I1122" s="10">
        <v>22</v>
      </c>
      <c r="J1122" s="6">
        <v>23</v>
      </c>
      <c r="K1122" s="6">
        <v>86</v>
      </c>
      <c r="L1122" s="6">
        <v>125</v>
      </c>
      <c r="M1122" s="6">
        <v>80</v>
      </c>
      <c r="N1122" s="6">
        <v>90</v>
      </c>
      <c r="O1122" s="6">
        <v>86</v>
      </c>
      <c r="P1122" s="6">
        <v>106</v>
      </c>
      <c r="Q1122" s="6">
        <v>106</v>
      </c>
    </row>
    <row r="1123" spans="1:17" ht="15.75" customHeight="1">
      <c r="A1123" s="1">
        <v>2022</v>
      </c>
      <c r="B1123" s="1">
        <v>57</v>
      </c>
      <c r="C1123" s="1" t="s">
        <v>110</v>
      </c>
      <c r="D1123" s="1">
        <v>5.9509999999999996</v>
      </c>
      <c r="E1123" s="1" t="s">
        <v>664</v>
      </c>
      <c r="F1123" s="1">
        <v>56</v>
      </c>
      <c r="G1123" s="1">
        <v>84</v>
      </c>
      <c r="H1123" s="1">
        <v>26</v>
      </c>
      <c r="I1123" s="1">
        <v>3</v>
      </c>
      <c r="J1123" s="1">
        <v>99</v>
      </c>
      <c r="K1123" s="1">
        <v>44</v>
      </c>
      <c r="L1123" s="1">
        <v>57</v>
      </c>
      <c r="M1123" s="1">
        <v>102</v>
      </c>
      <c r="N1123" s="1">
        <v>39</v>
      </c>
      <c r="O1123" s="1">
        <v>44</v>
      </c>
      <c r="P1123" s="1">
        <v>95</v>
      </c>
      <c r="Q1123" s="1">
        <v>89</v>
      </c>
    </row>
    <row r="1124" spans="1:17" ht="15.75" customHeight="1">
      <c r="A1124" s="1">
        <v>2022</v>
      </c>
      <c r="B1124" s="1">
        <v>58</v>
      </c>
      <c r="C1124" s="1" t="s">
        <v>160</v>
      </c>
      <c r="D1124" s="1">
        <v>5.931</v>
      </c>
      <c r="E1124" s="1">
        <v>0.496</v>
      </c>
      <c r="F1124" s="1">
        <v>23</v>
      </c>
      <c r="G1124" s="1">
        <v>52</v>
      </c>
      <c r="H1124" s="1">
        <v>43</v>
      </c>
      <c r="I1124" s="1">
        <v>27</v>
      </c>
      <c r="J1124" s="1">
        <v>130</v>
      </c>
      <c r="K1124" s="1">
        <v>138</v>
      </c>
      <c r="L1124" s="1">
        <v>115</v>
      </c>
      <c r="M1124" s="1">
        <v>99</v>
      </c>
      <c r="N1124" s="1">
        <v>15</v>
      </c>
      <c r="O1124" s="1">
        <v>138</v>
      </c>
      <c r="P1124" s="1">
        <v>137</v>
      </c>
      <c r="Q1124" s="1">
        <v>127</v>
      </c>
    </row>
    <row r="1125" spans="1:17" ht="15.75" customHeight="1">
      <c r="A1125" s="1">
        <v>2022</v>
      </c>
      <c r="B1125" s="1">
        <v>59</v>
      </c>
      <c r="C1125" s="1" t="s">
        <v>121</v>
      </c>
      <c r="D1125" s="1">
        <v>5.9020000000000001</v>
      </c>
      <c r="E1125" s="1">
        <v>0.42499999999999999</v>
      </c>
      <c r="F1125" s="1">
        <v>73</v>
      </c>
      <c r="G1125" s="1">
        <v>40</v>
      </c>
      <c r="H1125" s="1">
        <v>54</v>
      </c>
      <c r="I1125" s="1">
        <v>61</v>
      </c>
      <c r="J1125" s="1">
        <v>68</v>
      </c>
      <c r="K1125" s="1">
        <v>69</v>
      </c>
      <c r="L1125" s="1">
        <v>69</v>
      </c>
      <c r="M1125" s="1">
        <v>37</v>
      </c>
      <c r="N1125" s="1">
        <v>12</v>
      </c>
      <c r="O1125" s="1">
        <v>69</v>
      </c>
      <c r="P1125" s="1">
        <v>36</v>
      </c>
      <c r="Q1125" s="1">
        <v>119</v>
      </c>
    </row>
    <row r="1126" spans="1:17" ht="15.75" customHeight="1">
      <c r="A1126" s="1">
        <v>2022</v>
      </c>
      <c r="B1126" s="1">
        <v>60</v>
      </c>
      <c r="C1126" s="1" t="s">
        <v>78</v>
      </c>
      <c r="D1126" s="1">
        <v>5.843</v>
      </c>
      <c r="E1126" s="1" t="s">
        <v>665</v>
      </c>
      <c r="F1126" s="1">
        <v>62</v>
      </c>
      <c r="G1126" s="1">
        <v>57</v>
      </c>
      <c r="H1126" s="1">
        <v>61</v>
      </c>
      <c r="I1126" s="1">
        <v>37</v>
      </c>
      <c r="J1126" s="1">
        <v>33</v>
      </c>
      <c r="K1126" s="1">
        <v>10</v>
      </c>
      <c r="L1126" s="1">
        <v>114</v>
      </c>
      <c r="M1126" s="1">
        <v>18</v>
      </c>
      <c r="N1126" s="1">
        <v>35</v>
      </c>
      <c r="O1126" s="1">
        <v>10</v>
      </c>
      <c r="P1126" s="1">
        <v>87</v>
      </c>
      <c r="Q1126" s="1">
        <v>107</v>
      </c>
    </row>
    <row r="1127" spans="1:17" ht="15.75" customHeight="1">
      <c r="A1127" s="1">
        <v>2022</v>
      </c>
      <c r="B1127" s="1">
        <v>61</v>
      </c>
      <c r="C1127" s="1" t="s">
        <v>163</v>
      </c>
      <c r="D1127" s="1">
        <v>5.84</v>
      </c>
      <c r="E1127" s="1">
        <v>1.006</v>
      </c>
      <c r="F1127" s="1">
        <v>63</v>
      </c>
      <c r="G1127" s="1">
        <v>8</v>
      </c>
      <c r="H1127" s="1">
        <v>72</v>
      </c>
      <c r="I1127" s="1">
        <v>80</v>
      </c>
      <c r="J1127" s="1">
        <v>102</v>
      </c>
      <c r="K1127" s="1">
        <v>30</v>
      </c>
      <c r="L1127" s="1">
        <v>101</v>
      </c>
      <c r="M1127" s="1">
        <v>116</v>
      </c>
      <c r="N1127" s="1">
        <v>29</v>
      </c>
      <c r="O1127" s="1">
        <v>30</v>
      </c>
      <c r="P1127" s="1">
        <v>18</v>
      </c>
      <c r="Q1127" s="1">
        <v>113</v>
      </c>
    </row>
    <row r="1128" spans="1:17" ht="15.75" customHeight="1">
      <c r="A1128" s="1">
        <v>2022</v>
      </c>
      <c r="B1128" s="1">
        <v>62</v>
      </c>
      <c r="C1128" s="1" t="s">
        <v>144</v>
      </c>
      <c r="D1128" s="1">
        <v>5.8250000000000002</v>
      </c>
      <c r="E1128" s="1">
        <v>0.78300000000000003</v>
      </c>
      <c r="F1128" s="1">
        <v>33</v>
      </c>
      <c r="G1128" s="1">
        <v>21</v>
      </c>
      <c r="H1128" s="1">
        <v>106</v>
      </c>
      <c r="I1128" s="1">
        <v>64</v>
      </c>
      <c r="J1128" s="1">
        <v>7</v>
      </c>
      <c r="K1128" s="1">
        <v>38</v>
      </c>
      <c r="L1128" s="1">
        <v>117</v>
      </c>
      <c r="M1128" s="1">
        <v>78</v>
      </c>
      <c r="N1128" s="1">
        <v>25</v>
      </c>
      <c r="O1128" s="1">
        <v>38</v>
      </c>
      <c r="P1128" s="1">
        <v>76</v>
      </c>
      <c r="Q1128" s="1">
        <v>45</v>
      </c>
    </row>
    <row r="1129" spans="1:17" ht="15.75" customHeight="1">
      <c r="A1129" s="1">
        <v>2022</v>
      </c>
      <c r="B1129" s="1">
        <v>63</v>
      </c>
      <c r="C1129" s="1" t="s">
        <v>285</v>
      </c>
      <c r="D1129" s="1">
        <v>5.819</v>
      </c>
      <c r="E1129" s="1">
        <v>2.8000000000000001E-2</v>
      </c>
      <c r="F1129" s="1">
        <v>75</v>
      </c>
      <c r="G1129" s="1">
        <v>80</v>
      </c>
      <c r="H1129" s="1">
        <v>73</v>
      </c>
      <c r="I1129" s="1">
        <v>81</v>
      </c>
      <c r="J1129" s="1">
        <v>57</v>
      </c>
      <c r="K1129" s="1">
        <v>94</v>
      </c>
      <c r="L1129" s="1">
        <v>122</v>
      </c>
      <c r="M1129" s="1">
        <v>115</v>
      </c>
      <c r="N1129" s="1">
        <v>69</v>
      </c>
      <c r="O1129" s="1">
        <v>94</v>
      </c>
      <c r="P1129" s="1">
        <v>111</v>
      </c>
      <c r="Q1129" s="1">
        <v>43</v>
      </c>
    </row>
    <row r="1130" spans="1:17" ht="15.75" customHeight="1">
      <c r="A1130" s="1">
        <v>2022</v>
      </c>
      <c r="B1130" s="1">
        <v>64</v>
      </c>
      <c r="C1130" s="1" t="s">
        <v>142</v>
      </c>
      <c r="D1130" s="1">
        <v>5.8179999999999996</v>
      </c>
      <c r="E1130" s="1">
        <v>0.84</v>
      </c>
      <c r="F1130" s="1"/>
      <c r="G1130" s="1"/>
      <c r="H1130" s="1"/>
      <c r="I1130" s="1">
        <v>26</v>
      </c>
      <c r="J1130" s="1"/>
      <c r="K1130" s="1"/>
      <c r="L1130" s="1"/>
      <c r="M1130" s="1"/>
      <c r="Q1130" s="1"/>
    </row>
    <row r="1131" spans="1:17" ht="15.75" customHeight="1">
      <c r="A1131" s="1">
        <v>2022</v>
      </c>
      <c r="B1131" s="1">
        <v>65</v>
      </c>
      <c r="C1131" s="1" t="s">
        <v>157</v>
      </c>
      <c r="D1131" s="1">
        <v>5.7629999999999999</v>
      </c>
      <c r="E1131" s="1">
        <v>0.23</v>
      </c>
      <c r="F1131" s="1">
        <v>6</v>
      </c>
      <c r="G1131" s="1">
        <v>47</v>
      </c>
      <c r="H1131" s="1">
        <v>83</v>
      </c>
      <c r="I1131" s="1">
        <v>41</v>
      </c>
      <c r="J1131" s="1">
        <v>1</v>
      </c>
      <c r="K1131" s="1">
        <v>129</v>
      </c>
      <c r="L1131" s="1">
        <v>42</v>
      </c>
      <c r="M1131" s="1">
        <v>17</v>
      </c>
      <c r="N1131" s="1">
        <v>2</v>
      </c>
      <c r="O1131" s="1">
        <v>129</v>
      </c>
      <c r="P1131" s="1">
        <v>118</v>
      </c>
      <c r="Q1131" s="1">
        <v>121</v>
      </c>
    </row>
    <row r="1132" spans="1:17" ht="15.75" customHeight="1">
      <c r="A1132" s="1">
        <v>2022</v>
      </c>
      <c r="B1132" s="1">
        <v>66</v>
      </c>
      <c r="C1132" s="1" t="s">
        <v>126</v>
      </c>
      <c r="D1132" s="1">
        <v>5.7380000000000004</v>
      </c>
      <c r="E1132" s="1" t="s">
        <v>666</v>
      </c>
      <c r="F1132" s="1">
        <v>91</v>
      </c>
      <c r="G1132" s="1">
        <v>33</v>
      </c>
      <c r="H1132" s="1">
        <v>74</v>
      </c>
      <c r="I1132" s="1">
        <v>84</v>
      </c>
      <c r="J1132" s="1">
        <v>15</v>
      </c>
      <c r="K1132" s="1">
        <v>72</v>
      </c>
      <c r="L1132" s="1">
        <v>95</v>
      </c>
      <c r="M1132" s="1">
        <v>4</v>
      </c>
      <c r="N1132" s="1">
        <v>43</v>
      </c>
      <c r="O1132" s="1">
        <v>72</v>
      </c>
      <c r="P1132" s="1">
        <v>33</v>
      </c>
      <c r="Q1132" s="1">
        <v>27</v>
      </c>
    </row>
    <row r="1133" spans="1:17" ht="15.75" customHeight="1">
      <c r="A1133" s="1">
        <v>2022</v>
      </c>
      <c r="B1133" s="1">
        <v>67</v>
      </c>
      <c r="C1133" s="1" t="s">
        <v>147</v>
      </c>
      <c r="D1133" s="1">
        <v>5.7220000000000004</v>
      </c>
      <c r="E1133" s="1">
        <v>0.42299999999999999</v>
      </c>
      <c r="F1133" s="1">
        <v>43</v>
      </c>
      <c r="G1133" s="1">
        <v>51</v>
      </c>
      <c r="H1133" s="1">
        <v>52</v>
      </c>
      <c r="I1133" s="1"/>
      <c r="J1133" s="1">
        <v>77</v>
      </c>
      <c r="K1133" s="1">
        <v>67</v>
      </c>
      <c r="L1133" s="1">
        <v>81</v>
      </c>
      <c r="M1133" s="1">
        <v>131</v>
      </c>
      <c r="N1133" s="1">
        <v>91</v>
      </c>
      <c r="O1133" s="1">
        <v>67</v>
      </c>
      <c r="P1133" s="1">
        <v>122</v>
      </c>
      <c r="Q1133" s="1">
        <v>135</v>
      </c>
    </row>
    <row r="1134" spans="1:17" ht="15.75" customHeight="1">
      <c r="A1134" s="1">
        <v>2022</v>
      </c>
      <c r="B1134" s="1">
        <v>68</v>
      </c>
      <c r="C1134" s="1" t="s">
        <v>130</v>
      </c>
      <c r="D1134" s="1">
        <v>5.7030000000000003</v>
      </c>
      <c r="E1134" s="1">
        <v>0.32900000000000001</v>
      </c>
      <c r="F1134" s="1">
        <v>128</v>
      </c>
      <c r="G1134" s="1">
        <v>56</v>
      </c>
      <c r="H1134" s="1">
        <v>89</v>
      </c>
      <c r="I1134" s="1">
        <v>76</v>
      </c>
      <c r="J1134" s="1">
        <v>35</v>
      </c>
      <c r="K1134" s="1">
        <v>103</v>
      </c>
      <c r="L1134" s="1">
        <v>130</v>
      </c>
      <c r="M1134" s="1">
        <v>43</v>
      </c>
      <c r="N1134" s="1">
        <v>65</v>
      </c>
      <c r="O1134" s="1">
        <v>103</v>
      </c>
      <c r="P1134" s="1">
        <v>8</v>
      </c>
      <c r="Q1134" s="1">
        <v>1</v>
      </c>
    </row>
    <row r="1135" spans="1:17" ht="15.75" customHeight="1">
      <c r="A1135" s="1">
        <v>2022</v>
      </c>
      <c r="B1135" s="1">
        <v>69</v>
      </c>
      <c r="C1135" s="1" t="s">
        <v>112</v>
      </c>
      <c r="D1135" s="1">
        <v>5.6840000000000002</v>
      </c>
      <c r="E1135" s="1" t="s">
        <v>41</v>
      </c>
      <c r="F1135" s="1">
        <v>78</v>
      </c>
      <c r="G1135" s="1">
        <v>75</v>
      </c>
      <c r="H1135" s="1">
        <v>92</v>
      </c>
      <c r="I1135" s="1">
        <v>98</v>
      </c>
      <c r="J1135" s="1">
        <v>38</v>
      </c>
      <c r="K1135" s="1">
        <v>106</v>
      </c>
      <c r="L1135" s="1">
        <v>96</v>
      </c>
      <c r="M1135" s="1">
        <v>34</v>
      </c>
      <c r="N1135" s="1">
        <v>123</v>
      </c>
      <c r="O1135" s="1">
        <v>106</v>
      </c>
      <c r="P1135" s="1">
        <v>50</v>
      </c>
      <c r="Q1135" s="1">
        <v>34</v>
      </c>
    </row>
    <row r="1136" spans="1:17" ht="15.75" customHeight="1">
      <c r="A1136" s="1">
        <v>2022</v>
      </c>
      <c r="B1136" s="1">
        <v>70</v>
      </c>
      <c r="C1136" s="1" t="s">
        <v>108</v>
      </c>
      <c r="D1136" s="1">
        <v>5.6609999999999996</v>
      </c>
      <c r="E1136" s="1">
        <v>0.19700000000000001</v>
      </c>
      <c r="F1136" s="1">
        <v>49</v>
      </c>
      <c r="G1136" s="1">
        <v>25</v>
      </c>
      <c r="H1136" s="1">
        <v>41</v>
      </c>
      <c r="I1136" s="1">
        <v>83</v>
      </c>
      <c r="J1136" s="1">
        <v>78</v>
      </c>
      <c r="K1136" s="1">
        <v>75</v>
      </c>
      <c r="L1136" s="1">
        <v>67</v>
      </c>
      <c r="M1136" s="1">
        <v>94</v>
      </c>
      <c r="N1136" s="1">
        <v>33</v>
      </c>
      <c r="O1136" s="1">
        <v>75</v>
      </c>
      <c r="P1136" s="1">
        <v>101</v>
      </c>
      <c r="Q1136" s="1">
        <v>84</v>
      </c>
    </row>
    <row r="1137" spans="1:17" ht="15.75" customHeight="1">
      <c r="A1137" s="1">
        <v>2022</v>
      </c>
      <c r="B1137" s="1">
        <v>71</v>
      </c>
      <c r="C1137" s="1" t="s">
        <v>146</v>
      </c>
      <c r="D1137" s="1">
        <v>5.633</v>
      </c>
      <c r="E1137" s="1">
        <v>0.82</v>
      </c>
      <c r="F1137" s="1">
        <v>52</v>
      </c>
      <c r="G1137" s="1">
        <v>66</v>
      </c>
      <c r="H1137" s="1">
        <v>62</v>
      </c>
      <c r="I1137" s="1">
        <v>46</v>
      </c>
      <c r="J1137" s="1">
        <v>90</v>
      </c>
      <c r="K1137" s="1">
        <v>29</v>
      </c>
      <c r="L1137" s="1">
        <v>131</v>
      </c>
      <c r="M1137" s="1">
        <v>120</v>
      </c>
      <c r="N1137" s="1">
        <v>73</v>
      </c>
      <c r="O1137" s="1">
        <v>29</v>
      </c>
      <c r="P1137" s="1">
        <v>126</v>
      </c>
      <c r="Q1137" s="1">
        <v>100</v>
      </c>
    </row>
    <row r="1138" spans="1:17" ht="15.75" customHeight="1">
      <c r="A1138" s="1">
        <v>2022</v>
      </c>
      <c r="B1138" s="1">
        <v>72</v>
      </c>
      <c r="C1138" s="1" t="s">
        <v>75</v>
      </c>
      <c r="D1138" s="1">
        <v>5.63</v>
      </c>
      <c r="E1138" s="1" t="s">
        <v>667</v>
      </c>
      <c r="F1138" s="1">
        <v>108</v>
      </c>
      <c r="G1138" s="1">
        <v>49</v>
      </c>
      <c r="H1138" s="1">
        <v>66</v>
      </c>
      <c r="I1138" s="1">
        <v>44</v>
      </c>
      <c r="J1138" s="1">
        <v>66</v>
      </c>
      <c r="K1138" s="1">
        <v>120</v>
      </c>
      <c r="L1138" s="1">
        <v>111</v>
      </c>
      <c r="M1138" s="1">
        <v>22</v>
      </c>
      <c r="N1138" s="1">
        <v>86</v>
      </c>
      <c r="O1138" s="1">
        <v>120</v>
      </c>
      <c r="P1138" s="1">
        <v>81</v>
      </c>
      <c r="Q1138" s="1">
        <v>50</v>
      </c>
    </row>
    <row r="1139" spans="1:17" ht="15.75" customHeight="1">
      <c r="A1139" s="1">
        <v>2022</v>
      </c>
      <c r="B1139" s="1">
        <v>73</v>
      </c>
      <c r="C1139" s="1" t="s">
        <v>149</v>
      </c>
      <c r="D1139" s="1">
        <v>5.569</v>
      </c>
      <c r="E1139" s="1">
        <v>0.60599999999999998</v>
      </c>
      <c r="F1139" s="1">
        <v>136</v>
      </c>
      <c r="G1139" s="1">
        <v>77</v>
      </c>
      <c r="H1139" s="1">
        <v>57</v>
      </c>
      <c r="I1139" s="1">
        <v>63</v>
      </c>
      <c r="J1139" s="1">
        <v>47</v>
      </c>
      <c r="K1139" s="1">
        <v>80</v>
      </c>
      <c r="L1139" s="1">
        <v>31</v>
      </c>
      <c r="M1139" s="1">
        <v>39</v>
      </c>
      <c r="N1139" s="1">
        <v>87</v>
      </c>
      <c r="O1139" s="1">
        <v>80</v>
      </c>
      <c r="P1139" s="1">
        <v>19</v>
      </c>
      <c r="Q1139" s="1">
        <v>14</v>
      </c>
    </row>
    <row r="1140" spans="1:17" ht="15.75" customHeight="1">
      <c r="A1140" s="1">
        <v>2022</v>
      </c>
      <c r="B1140" s="1">
        <v>74</v>
      </c>
      <c r="C1140" s="1" t="s">
        <v>102</v>
      </c>
      <c r="D1140" s="1">
        <v>5.5590000000000002</v>
      </c>
      <c r="E1140" s="1" t="s">
        <v>200</v>
      </c>
      <c r="F1140" s="1">
        <v>95</v>
      </c>
      <c r="G1140" s="1">
        <v>74</v>
      </c>
      <c r="H1140" s="1">
        <v>76</v>
      </c>
      <c r="I1140" s="1">
        <v>51</v>
      </c>
      <c r="J1140" s="1">
        <v>86</v>
      </c>
      <c r="K1140" s="1">
        <v>99</v>
      </c>
      <c r="L1140" s="1">
        <v>113</v>
      </c>
      <c r="M1140" s="1">
        <v>13</v>
      </c>
      <c r="N1140" s="1">
        <v>104</v>
      </c>
      <c r="O1140" s="1">
        <v>99</v>
      </c>
      <c r="P1140" s="1">
        <v>64</v>
      </c>
      <c r="Q1140" s="1">
        <v>53</v>
      </c>
    </row>
    <row r="1141" spans="1:17" ht="15.75" customHeight="1">
      <c r="A1141" s="1">
        <v>2022</v>
      </c>
      <c r="B1141" s="12">
        <v>75</v>
      </c>
      <c r="C1141" s="8" t="s">
        <v>668</v>
      </c>
      <c r="D1141" s="5">
        <v>5.5259999999999998</v>
      </c>
      <c r="E1141" s="9" t="s">
        <v>50</v>
      </c>
      <c r="F1141" s="6">
        <v>86</v>
      </c>
      <c r="G1141" s="6">
        <v>76</v>
      </c>
      <c r="H1141" s="6">
        <v>70</v>
      </c>
      <c r="I1141" s="7">
        <v>69</v>
      </c>
      <c r="J1141" s="6">
        <v>83</v>
      </c>
      <c r="K1141" s="6">
        <v>127</v>
      </c>
      <c r="L1141" s="6">
        <v>121</v>
      </c>
      <c r="M1141" s="6">
        <v>26</v>
      </c>
      <c r="N1141" s="6">
        <v>110</v>
      </c>
      <c r="O1141" s="6">
        <v>127</v>
      </c>
      <c r="P1141" s="6">
        <v>91</v>
      </c>
      <c r="Q1141" s="6">
        <v>60</v>
      </c>
    </row>
    <row r="1142" spans="1:17" ht="15.75" customHeight="1">
      <c r="A1142" s="1">
        <v>2022</v>
      </c>
      <c r="B1142" s="1">
        <v>76</v>
      </c>
      <c r="C1142" s="1" t="s">
        <v>141</v>
      </c>
      <c r="D1142" s="1">
        <v>5.5229999999999997</v>
      </c>
      <c r="E1142" s="1">
        <v>0.53800000000000003</v>
      </c>
      <c r="F1142" s="1">
        <v>99</v>
      </c>
      <c r="G1142" s="1">
        <v>79</v>
      </c>
      <c r="H1142" s="1">
        <v>94</v>
      </c>
      <c r="I1142" s="1">
        <v>93</v>
      </c>
      <c r="J1142" s="1">
        <v>6</v>
      </c>
      <c r="K1142" s="1">
        <v>128</v>
      </c>
      <c r="L1142" s="1">
        <v>61</v>
      </c>
      <c r="M1142" s="1">
        <v>2</v>
      </c>
      <c r="N1142" s="1">
        <v>84</v>
      </c>
      <c r="O1142" s="1">
        <v>128</v>
      </c>
      <c r="P1142" s="1">
        <v>23</v>
      </c>
      <c r="Q1142" s="1">
        <v>87</v>
      </c>
    </row>
    <row r="1143" spans="1:17" ht="15.75" customHeight="1">
      <c r="A1143" s="1">
        <v>2022</v>
      </c>
      <c r="B1143" s="1">
        <v>77</v>
      </c>
      <c r="C1143" s="1" t="s">
        <v>205</v>
      </c>
      <c r="D1143" s="1">
        <v>5.4660000000000002</v>
      </c>
      <c r="E1143" s="1">
        <v>1.4850000000000001</v>
      </c>
      <c r="F1143" s="1">
        <v>46</v>
      </c>
      <c r="G1143" s="1">
        <v>7</v>
      </c>
      <c r="H1143" s="1">
        <v>48</v>
      </c>
      <c r="I1143" s="1">
        <v>71</v>
      </c>
      <c r="J1143" s="1">
        <v>91</v>
      </c>
      <c r="K1143" s="1">
        <v>100</v>
      </c>
      <c r="L1143" s="1">
        <v>135</v>
      </c>
      <c r="M1143" s="1">
        <v>107</v>
      </c>
      <c r="N1143" s="1">
        <v>11</v>
      </c>
      <c r="O1143" s="1">
        <v>100</v>
      </c>
      <c r="P1143" s="1">
        <v>138</v>
      </c>
      <c r="Q1143" s="1">
        <v>125</v>
      </c>
    </row>
    <row r="1144" spans="1:17" ht="15.75" customHeight="1">
      <c r="A1144" s="1">
        <v>2022</v>
      </c>
      <c r="B1144" s="1">
        <v>78</v>
      </c>
      <c r="C1144" s="1" t="s">
        <v>172</v>
      </c>
      <c r="D1144" s="1">
        <v>5.36</v>
      </c>
      <c r="E1144" s="1">
        <v>1.204</v>
      </c>
      <c r="F1144" s="1">
        <v>125</v>
      </c>
      <c r="G1144" s="1">
        <v>100</v>
      </c>
      <c r="H1144" s="1">
        <v>113</v>
      </c>
      <c r="I1144" s="1">
        <v>89</v>
      </c>
      <c r="J1144" s="1">
        <v>50</v>
      </c>
      <c r="K1144" s="1">
        <v>53</v>
      </c>
      <c r="L1144" s="1">
        <v>64</v>
      </c>
      <c r="M1144" s="1">
        <v>132</v>
      </c>
      <c r="N1144" s="1">
        <v>99</v>
      </c>
      <c r="O1144" s="1">
        <v>53</v>
      </c>
      <c r="P1144" s="1">
        <v>16</v>
      </c>
      <c r="Q1144" s="1">
        <v>116</v>
      </c>
    </row>
    <row r="1145" spans="1:17" ht="15.75" customHeight="1">
      <c r="A1145" s="1">
        <v>2022</v>
      </c>
      <c r="B1145" s="1">
        <v>79</v>
      </c>
      <c r="C1145" s="1" t="s">
        <v>192</v>
      </c>
      <c r="D1145" s="1">
        <v>5.3419999999999996</v>
      </c>
      <c r="E1145" s="1">
        <v>1.026</v>
      </c>
      <c r="F1145" s="1">
        <v>70</v>
      </c>
      <c r="G1145" s="1">
        <v>83</v>
      </c>
      <c r="H1145" s="1">
        <v>67</v>
      </c>
      <c r="I1145" s="1">
        <v>53</v>
      </c>
      <c r="J1145" s="1">
        <v>72</v>
      </c>
      <c r="K1145" s="1">
        <v>117</v>
      </c>
      <c r="L1145" s="1">
        <v>43</v>
      </c>
      <c r="M1145" s="1">
        <v>123</v>
      </c>
      <c r="N1145" s="1">
        <v>139</v>
      </c>
      <c r="O1145" s="1">
        <v>117</v>
      </c>
      <c r="P1145" s="1">
        <v>120</v>
      </c>
      <c r="Q1145" s="1">
        <v>81</v>
      </c>
    </row>
    <row r="1146" spans="1:17" ht="15.75" customHeight="1">
      <c r="A1146" s="1">
        <v>2022</v>
      </c>
      <c r="B1146" s="1">
        <v>80</v>
      </c>
      <c r="C1146" s="1" t="s">
        <v>162</v>
      </c>
      <c r="D1146" s="1">
        <v>5.33</v>
      </c>
      <c r="E1146" s="1">
        <v>0.95</v>
      </c>
      <c r="F1146" s="1">
        <v>14</v>
      </c>
      <c r="G1146" s="1">
        <v>60</v>
      </c>
      <c r="H1146" s="1">
        <v>115</v>
      </c>
      <c r="I1146" s="1">
        <v>67</v>
      </c>
      <c r="J1146" s="1">
        <v>93</v>
      </c>
      <c r="K1146" s="1">
        <v>11</v>
      </c>
      <c r="L1146" s="1">
        <v>53</v>
      </c>
      <c r="M1146" s="1">
        <v>36</v>
      </c>
      <c r="N1146" s="1">
        <v>93</v>
      </c>
      <c r="O1146" s="1">
        <v>3</v>
      </c>
      <c r="P1146" s="1">
        <v>30</v>
      </c>
    </row>
    <row r="1147" spans="1:17" ht="15.75" customHeight="1">
      <c r="A1147" s="1">
        <v>2022</v>
      </c>
      <c r="B1147" s="1">
        <v>81</v>
      </c>
      <c r="C1147" s="1" t="s">
        <v>85</v>
      </c>
      <c r="D1147" s="1">
        <v>5.3289999999999997</v>
      </c>
      <c r="E1147" s="1" t="s">
        <v>366</v>
      </c>
      <c r="F1147" s="1">
        <v>15</v>
      </c>
      <c r="G1147" s="1">
        <v>92</v>
      </c>
      <c r="H1147" s="1">
        <v>75</v>
      </c>
      <c r="I1147" s="1">
        <v>39</v>
      </c>
      <c r="J1147" s="1">
        <v>137</v>
      </c>
      <c r="K1147" s="1">
        <v>79</v>
      </c>
      <c r="L1147" s="1">
        <v>23</v>
      </c>
      <c r="M1147" s="1">
        <v>106</v>
      </c>
      <c r="N1147" s="1">
        <v>56</v>
      </c>
      <c r="O1147" s="1">
        <v>79</v>
      </c>
      <c r="P1147" s="1">
        <v>88</v>
      </c>
      <c r="Q1147" s="1">
        <v>105</v>
      </c>
    </row>
    <row r="1148" spans="1:17" ht="15.75" customHeight="1">
      <c r="A1148" s="1">
        <v>2022</v>
      </c>
      <c r="B1148" s="1">
        <v>82</v>
      </c>
      <c r="C1148" s="1" t="s">
        <v>132</v>
      </c>
      <c r="D1148" s="1">
        <v>5.3079999999999998</v>
      </c>
      <c r="E1148" s="1" t="s">
        <v>669</v>
      </c>
      <c r="F1148" s="1">
        <v>25</v>
      </c>
      <c r="G1148" s="1">
        <v>87</v>
      </c>
      <c r="H1148" s="1">
        <v>12</v>
      </c>
      <c r="I1148" s="1"/>
      <c r="J1148" s="1">
        <v>113</v>
      </c>
      <c r="K1148" s="1">
        <v>39</v>
      </c>
      <c r="L1148" s="1">
        <v>9</v>
      </c>
      <c r="M1148" s="1">
        <v>118</v>
      </c>
      <c r="N1148" s="1">
        <v>24</v>
      </c>
      <c r="O1148" s="1">
        <v>39</v>
      </c>
      <c r="P1148" s="1">
        <v>103</v>
      </c>
      <c r="Q1148" s="1">
        <v>97</v>
      </c>
    </row>
    <row r="1149" spans="1:17" ht="15.75" customHeight="1">
      <c r="A1149" s="1">
        <v>2022</v>
      </c>
      <c r="B1149" s="1">
        <v>83</v>
      </c>
      <c r="C1149" s="1" t="s">
        <v>174</v>
      </c>
      <c r="D1149" s="1">
        <v>5.2770000000000001</v>
      </c>
      <c r="E1149" s="1" t="s">
        <v>670</v>
      </c>
      <c r="F1149" s="1">
        <v>106</v>
      </c>
      <c r="G1149" s="1">
        <v>106</v>
      </c>
      <c r="H1149" s="1">
        <v>68</v>
      </c>
      <c r="I1149" s="1">
        <v>35</v>
      </c>
      <c r="J1149" s="1">
        <v>62</v>
      </c>
      <c r="K1149" s="1">
        <v>81</v>
      </c>
      <c r="L1149" s="1">
        <v>99</v>
      </c>
      <c r="M1149" s="1">
        <v>119</v>
      </c>
      <c r="N1149" s="1">
        <v>53</v>
      </c>
      <c r="O1149" s="1">
        <v>81</v>
      </c>
      <c r="P1149" s="1">
        <v>129</v>
      </c>
      <c r="Q1149" s="1">
        <v>108</v>
      </c>
    </row>
    <row r="1150" spans="1:17" ht="15.75" customHeight="1">
      <c r="A1150" s="1">
        <v>2022</v>
      </c>
      <c r="B1150" s="1">
        <v>84</v>
      </c>
      <c r="C1150" s="1" t="s">
        <v>137</v>
      </c>
      <c r="D1150" s="1">
        <v>5.2770000000000001</v>
      </c>
      <c r="E1150" s="1" t="s">
        <v>335</v>
      </c>
      <c r="F1150" s="1">
        <v>76</v>
      </c>
      <c r="G1150" s="1">
        <v>70</v>
      </c>
      <c r="H1150" s="1">
        <v>80</v>
      </c>
      <c r="I1150" s="1">
        <v>85</v>
      </c>
      <c r="J1150" s="1">
        <v>22</v>
      </c>
      <c r="K1150" s="1">
        <v>2</v>
      </c>
      <c r="L1150" s="1">
        <v>109</v>
      </c>
      <c r="M1150" s="1">
        <v>7</v>
      </c>
      <c r="N1150" s="1">
        <v>64</v>
      </c>
      <c r="O1150" s="1">
        <v>2</v>
      </c>
      <c r="P1150" s="1">
        <v>2</v>
      </c>
      <c r="Q1150" s="1">
        <v>75</v>
      </c>
    </row>
    <row r="1151" spans="1:17" ht="15.75" customHeight="1">
      <c r="A1151" s="1">
        <v>2022</v>
      </c>
      <c r="B1151" s="1">
        <v>85</v>
      </c>
      <c r="C1151" s="1" t="s">
        <v>185</v>
      </c>
      <c r="D1151" s="1">
        <v>5.2750000000000004</v>
      </c>
      <c r="E1151" s="1">
        <v>0.312</v>
      </c>
      <c r="F1151" s="1">
        <v>93</v>
      </c>
      <c r="G1151" s="1">
        <v>42</v>
      </c>
      <c r="H1151" s="1">
        <v>78</v>
      </c>
      <c r="I1151" s="1">
        <v>114</v>
      </c>
      <c r="J1151" s="1">
        <v>105</v>
      </c>
      <c r="K1151" s="1">
        <v>88</v>
      </c>
      <c r="L1151" s="1">
        <v>127</v>
      </c>
      <c r="M1151" s="1">
        <v>29</v>
      </c>
      <c r="N1151" s="1">
        <v>44</v>
      </c>
      <c r="O1151" s="1">
        <v>88</v>
      </c>
      <c r="P1151" s="1">
        <v>45</v>
      </c>
      <c r="Q1151" s="1">
        <v>21</v>
      </c>
    </row>
    <row r="1152" spans="1:17" ht="15.75" customHeight="1">
      <c r="A1152" s="1">
        <v>2022</v>
      </c>
      <c r="B1152" s="1">
        <v>86</v>
      </c>
      <c r="C1152" s="1" t="s">
        <v>202</v>
      </c>
      <c r="D1152" s="1">
        <v>5.2670000000000003</v>
      </c>
      <c r="E1152" s="1">
        <v>0.97</v>
      </c>
      <c r="F1152" s="1">
        <v>139</v>
      </c>
      <c r="G1152" s="1">
        <v>118</v>
      </c>
      <c r="H1152" s="1">
        <v>105</v>
      </c>
      <c r="I1152" s="1">
        <v>105</v>
      </c>
      <c r="J1152" s="1">
        <v>112</v>
      </c>
      <c r="K1152" s="1">
        <v>90</v>
      </c>
      <c r="L1152" s="1">
        <v>63</v>
      </c>
      <c r="M1152" s="1">
        <v>104</v>
      </c>
      <c r="N1152" s="1">
        <v>134</v>
      </c>
      <c r="O1152" s="1">
        <v>90</v>
      </c>
      <c r="P1152" s="1">
        <v>39</v>
      </c>
      <c r="Q1152" s="1">
        <v>13</v>
      </c>
    </row>
    <row r="1153" spans="1:17" ht="15.75" customHeight="1">
      <c r="A1153" s="1">
        <v>2022</v>
      </c>
      <c r="B1153" s="1">
        <v>87</v>
      </c>
      <c r="C1153" s="1" t="s">
        <v>156</v>
      </c>
      <c r="D1153" s="1">
        <v>5.2539999999999996</v>
      </c>
      <c r="E1153" s="1">
        <v>0.68</v>
      </c>
      <c r="F1153" s="1">
        <v>74</v>
      </c>
      <c r="G1153" s="1">
        <v>68</v>
      </c>
      <c r="H1153" s="1">
        <v>56</v>
      </c>
      <c r="I1153" s="1">
        <v>60</v>
      </c>
      <c r="J1153" s="1">
        <v>100</v>
      </c>
      <c r="K1153" s="1">
        <v>45</v>
      </c>
      <c r="L1153" s="1">
        <v>133</v>
      </c>
      <c r="M1153" s="1">
        <v>114</v>
      </c>
      <c r="N1153" s="1">
        <v>70</v>
      </c>
      <c r="O1153" s="1">
        <v>45</v>
      </c>
      <c r="P1153" s="1">
        <v>127</v>
      </c>
      <c r="Q1153" s="1">
        <v>114</v>
      </c>
    </row>
    <row r="1154" spans="1:17" ht="15.75" customHeight="1">
      <c r="A1154" s="1">
        <v>2022</v>
      </c>
      <c r="B1154" s="1">
        <v>88</v>
      </c>
      <c r="C1154" s="1" t="s">
        <v>93</v>
      </c>
      <c r="D1154" s="1">
        <v>5.2110000000000003</v>
      </c>
      <c r="E1154" s="1" t="s">
        <v>671</v>
      </c>
      <c r="F1154" s="1">
        <v>103</v>
      </c>
      <c r="G1154" s="1">
        <v>34</v>
      </c>
      <c r="H1154" s="1">
        <v>82</v>
      </c>
      <c r="I1154" s="1">
        <v>74</v>
      </c>
      <c r="J1154" s="1">
        <v>123</v>
      </c>
      <c r="K1154" s="1">
        <v>78</v>
      </c>
      <c r="L1154" s="1">
        <v>27</v>
      </c>
      <c r="M1154" s="1">
        <v>80</v>
      </c>
      <c r="N1154" s="1">
        <v>123</v>
      </c>
      <c r="O1154" s="1">
        <v>44</v>
      </c>
      <c r="P1154" s="1">
        <v>11</v>
      </c>
    </row>
    <row r="1155" spans="1:17" ht="15.75" customHeight="1">
      <c r="A1155" s="1">
        <v>2022</v>
      </c>
      <c r="B1155" s="1">
        <v>89</v>
      </c>
      <c r="C1155" s="1" t="s">
        <v>164</v>
      </c>
      <c r="D1155" s="1">
        <v>5.1109999999999998</v>
      </c>
      <c r="E1155" s="1">
        <v>0.32400000000000001</v>
      </c>
      <c r="F1155" s="1">
        <v>83</v>
      </c>
      <c r="G1155" s="1">
        <v>115</v>
      </c>
      <c r="H1155" s="1">
        <v>98</v>
      </c>
      <c r="I1155" s="1">
        <v>87</v>
      </c>
      <c r="J1155" s="1">
        <v>28</v>
      </c>
      <c r="K1155" s="1">
        <v>58</v>
      </c>
      <c r="L1155" s="1">
        <v>44</v>
      </c>
      <c r="M1155" s="1">
        <v>66</v>
      </c>
      <c r="N1155" s="1">
        <v>95</v>
      </c>
      <c r="O1155" s="1">
        <v>58</v>
      </c>
      <c r="P1155" s="1">
        <v>93</v>
      </c>
      <c r="Q1155" s="1">
        <v>132</v>
      </c>
    </row>
    <row r="1156" spans="1:17" ht="15.75" customHeight="1">
      <c r="A1156" s="1">
        <v>2022</v>
      </c>
      <c r="B1156" s="1">
        <v>90</v>
      </c>
      <c r="C1156" s="1" t="s">
        <v>201</v>
      </c>
      <c r="D1156" s="1">
        <v>5.109</v>
      </c>
      <c r="E1156" s="1">
        <v>0.92200000000000004</v>
      </c>
      <c r="F1156" s="1">
        <v>66</v>
      </c>
      <c r="G1156" s="1">
        <v>99</v>
      </c>
      <c r="H1156" s="1">
        <v>60</v>
      </c>
      <c r="I1156" s="1">
        <v>70</v>
      </c>
      <c r="J1156" s="1">
        <v>59</v>
      </c>
      <c r="K1156" s="1">
        <v>135</v>
      </c>
      <c r="L1156" s="1">
        <v>30</v>
      </c>
      <c r="M1156" s="1">
        <v>128</v>
      </c>
      <c r="N1156" s="1">
        <v>40</v>
      </c>
      <c r="O1156" s="1">
        <v>135</v>
      </c>
      <c r="P1156" s="1">
        <v>74</v>
      </c>
      <c r="Q1156" s="1">
        <v>19</v>
      </c>
    </row>
    <row r="1157" spans="1:17" ht="15.75" customHeight="1">
      <c r="A1157" s="1">
        <v>2022</v>
      </c>
      <c r="B1157" s="1">
        <v>91</v>
      </c>
      <c r="C1157" s="1" t="s">
        <v>240</v>
      </c>
      <c r="D1157" s="1">
        <v>5.0720000000000001</v>
      </c>
      <c r="E1157" s="1">
        <v>1.2250000000000001</v>
      </c>
      <c r="F1157" s="1">
        <v>122</v>
      </c>
      <c r="G1157" s="1">
        <v>130</v>
      </c>
      <c r="H1157" s="1">
        <v>116</v>
      </c>
      <c r="I1157" s="1">
        <v>110</v>
      </c>
      <c r="J1157" s="1">
        <v>98</v>
      </c>
      <c r="K1157" s="1">
        <v>64</v>
      </c>
      <c r="L1157" s="1">
        <v>70</v>
      </c>
      <c r="M1157" s="1">
        <v>59</v>
      </c>
      <c r="N1157" s="1">
        <v>135</v>
      </c>
      <c r="O1157" s="1">
        <v>64</v>
      </c>
      <c r="P1157" s="1">
        <v>11</v>
      </c>
      <c r="Q1157" s="1">
        <v>35</v>
      </c>
    </row>
    <row r="1158" spans="1:17" ht="15.75" customHeight="1">
      <c r="A1158" s="1">
        <v>2022</v>
      </c>
      <c r="B1158" s="1">
        <v>92</v>
      </c>
      <c r="C1158" s="1" t="s">
        <v>195</v>
      </c>
      <c r="D1158" s="1">
        <v>5.0709999999999997</v>
      </c>
      <c r="E1158" s="1">
        <v>1.4E-2</v>
      </c>
      <c r="F1158" s="1">
        <v>79</v>
      </c>
      <c r="G1158" s="1">
        <v>62</v>
      </c>
      <c r="H1158" s="1">
        <v>77</v>
      </c>
      <c r="I1158" s="1">
        <v>78</v>
      </c>
      <c r="J1158" s="1">
        <v>56</v>
      </c>
      <c r="K1158" s="1">
        <v>4</v>
      </c>
      <c r="L1158" s="1">
        <v>105</v>
      </c>
      <c r="M1158" s="1">
        <v>124</v>
      </c>
      <c r="N1158" s="1">
        <v>114</v>
      </c>
      <c r="O1158" s="1">
        <v>4</v>
      </c>
      <c r="P1158" s="1">
        <v>12</v>
      </c>
      <c r="Q1158" s="1">
        <v>6</v>
      </c>
    </row>
    <row r="1159" spans="1:17" ht="15.75" customHeight="1">
      <c r="A1159" s="1">
        <v>2022</v>
      </c>
      <c r="B1159" s="1">
        <v>93</v>
      </c>
      <c r="C1159" s="1" t="s">
        <v>220</v>
      </c>
      <c r="D1159" s="1">
        <v>5.0529999999999999</v>
      </c>
      <c r="E1159" s="1">
        <v>123</v>
      </c>
      <c r="F1159" s="1">
        <v>133</v>
      </c>
      <c r="G1159" s="1">
        <v>104</v>
      </c>
      <c r="H1159" s="1">
        <v>104</v>
      </c>
      <c r="I1159" s="1"/>
      <c r="J1159" s="1">
        <v>89</v>
      </c>
      <c r="K1159" s="1">
        <v>55</v>
      </c>
      <c r="L1159" s="1">
        <v>85</v>
      </c>
      <c r="M1159" s="1">
        <v>117</v>
      </c>
      <c r="N1159" s="1">
        <v>89</v>
      </c>
      <c r="O1159" s="1">
        <v>77</v>
      </c>
      <c r="P1159" s="1">
        <v>33</v>
      </c>
      <c r="Q1159" s="1"/>
    </row>
    <row r="1160" spans="1:17" ht="15.75" customHeight="1">
      <c r="A1160" s="1">
        <v>2022</v>
      </c>
      <c r="B1160" s="12">
        <v>94</v>
      </c>
      <c r="C1160" s="8" t="s">
        <v>672</v>
      </c>
      <c r="D1160" s="5">
        <v>5.0350000000000001</v>
      </c>
      <c r="E1160" s="6">
        <v>0.92100000000000004</v>
      </c>
      <c r="F1160" s="6">
        <v>119</v>
      </c>
      <c r="G1160" s="6">
        <v>94</v>
      </c>
      <c r="H1160" s="6">
        <v>63</v>
      </c>
      <c r="I1160" s="10">
        <v>101</v>
      </c>
      <c r="J1160" s="6">
        <v>110</v>
      </c>
      <c r="K1160" s="6">
        <v>124</v>
      </c>
      <c r="L1160" s="6">
        <v>82</v>
      </c>
      <c r="M1160" s="6">
        <v>73</v>
      </c>
      <c r="N1160" s="6">
        <v>120</v>
      </c>
      <c r="O1160" s="6">
        <v>124</v>
      </c>
      <c r="P1160" s="6">
        <v>107</v>
      </c>
      <c r="Q1160" s="6">
        <v>28</v>
      </c>
    </row>
    <row r="1161" spans="1:17" ht="15.75" customHeight="1">
      <c r="A1161" s="1">
        <v>2022</v>
      </c>
      <c r="B1161" s="12">
        <v>95</v>
      </c>
      <c r="C1161" s="8" t="s">
        <v>673</v>
      </c>
      <c r="D1161" s="5">
        <v>4.9809999999999999</v>
      </c>
      <c r="E1161" s="9" t="s">
        <v>514</v>
      </c>
      <c r="F1161" s="6">
        <v>96</v>
      </c>
      <c r="G1161" s="6">
        <v>90</v>
      </c>
      <c r="H1161" s="6">
        <v>108</v>
      </c>
      <c r="I1161" s="7">
        <v>104</v>
      </c>
      <c r="J1161" s="6">
        <v>79</v>
      </c>
      <c r="K1161" s="6">
        <v>42</v>
      </c>
      <c r="L1161" s="6">
        <v>132</v>
      </c>
      <c r="M1161" s="6">
        <v>23</v>
      </c>
      <c r="N1161" s="6">
        <v>52</v>
      </c>
      <c r="O1161" s="6">
        <v>42</v>
      </c>
      <c r="P1161" s="6">
        <v>13</v>
      </c>
      <c r="Q1161" s="6">
        <v>4</v>
      </c>
    </row>
    <row r="1162" spans="1:17" ht="15.75" customHeight="1">
      <c r="A1162" s="1">
        <v>2022</v>
      </c>
      <c r="B1162" s="1">
        <v>96</v>
      </c>
      <c r="C1162" s="1" t="s">
        <v>182</v>
      </c>
      <c r="D1162" s="1">
        <v>4.9729999999999999</v>
      </c>
      <c r="E1162" s="1">
        <v>0.55300000000000005</v>
      </c>
      <c r="F1162" s="1">
        <v>115</v>
      </c>
      <c r="G1162" s="1">
        <v>121</v>
      </c>
      <c r="H1162" s="1">
        <v>112</v>
      </c>
      <c r="I1162" s="1">
        <v>108</v>
      </c>
      <c r="J1162" s="1">
        <v>118</v>
      </c>
      <c r="K1162" s="1">
        <v>87</v>
      </c>
      <c r="L1162" s="1">
        <v>104</v>
      </c>
      <c r="M1162" s="1">
        <v>101</v>
      </c>
      <c r="N1162" s="1">
        <v>106</v>
      </c>
      <c r="O1162" s="1">
        <v>87</v>
      </c>
      <c r="P1162" s="1">
        <v>54</v>
      </c>
      <c r="Q1162" s="1">
        <v>20</v>
      </c>
    </row>
    <row r="1163" spans="1:17" ht="15.75" customHeight="1">
      <c r="A1163" s="1">
        <v>2022</v>
      </c>
      <c r="B1163" s="1">
        <v>97</v>
      </c>
      <c r="C1163" s="1" t="s">
        <v>252</v>
      </c>
      <c r="D1163" s="1">
        <v>4.9539999999999997</v>
      </c>
      <c r="E1163" s="1" t="s">
        <v>654</v>
      </c>
      <c r="F1163" s="1">
        <v>138</v>
      </c>
      <c r="G1163" s="1">
        <v>110</v>
      </c>
      <c r="H1163" s="1">
        <v>135</v>
      </c>
      <c r="I1163" s="1">
        <v>117</v>
      </c>
      <c r="J1163" s="1">
        <v>31</v>
      </c>
      <c r="K1163" s="1">
        <v>109</v>
      </c>
      <c r="L1163" s="1">
        <v>38</v>
      </c>
      <c r="M1163" s="1">
        <v>86</v>
      </c>
      <c r="N1163" s="1">
        <v>101</v>
      </c>
      <c r="O1163" s="1">
        <v>109</v>
      </c>
      <c r="P1163" s="1">
        <v>47</v>
      </c>
      <c r="Q1163" s="1">
        <v>104</v>
      </c>
    </row>
    <row r="1164" spans="1:17" ht="15.75" customHeight="1">
      <c r="A1164" s="1">
        <v>2022</v>
      </c>
      <c r="B1164" s="1">
        <v>98</v>
      </c>
      <c r="C1164" s="1" t="s">
        <v>179</v>
      </c>
      <c r="D1164" s="1">
        <v>4.9409999999999998</v>
      </c>
      <c r="E1164" s="1">
        <v>0.124</v>
      </c>
      <c r="F1164" s="1">
        <v>112</v>
      </c>
      <c r="G1164" s="1">
        <v>101</v>
      </c>
      <c r="H1164" s="1">
        <v>79</v>
      </c>
      <c r="I1164" s="1">
        <v>82</v>
      </c>
      <c r="J1164" s="1">
        <v>121</v>
      </c>
      <c r="K1164" s="1">
        <v>60</v>
      </c>
      <c r="L1164" s="1">
        <v>107</v>
      </c>
      <c r="M1164" s="1">
        <v>111</v>
      </c>
      <c r="N1164" s="1">
        <v>137</v>
      </c>
      <c r="O1164" s="1">
        <v>60</v>
      </c>
      <c r="P1164" s="1">
        <v>98</v>
      </c>
      <c r="Q1164" s="1">
        <v>12</v>
      </c>
    </row>
    <row r="1165" spans="1:17" ht="15.75" customHeight="1">
      <c r="A1165" s="1">
        <v>2022</v>
      </c>
      <c r="B1165" s="1">
        <v>99</v>
      </c>
      <c r="C1165" s="1" t="s">
        <v>173</v>
      </c>
      <c r="D1165" s="1">
        <v>4.9080000000000004</v>
      </c>
      <c r="E1165" s="1">
        <v>0.20799999999999999</v>
      </c>
      <c r="F1165" s="1">
        <v>101</v>
      </c>
      <c r="G1165" s="1">
        <v>64</v>
      </c>
      <c r="H1165" s="1">
        <v>115</v>
      </c>
      <c r="I1165" s="1"/>
      <c r="J1165" s="1">
        <v>130</v>
      </c>
      <c r="K1165" s="1">
        <v>94</v>
      </c>
      <c r="L1165" s="1">
        <v>103</v>
      </c>
      <c r="M1165" s="1">
        <v>130</v>
      </c>
      <c r="N1165" s="1">
        <v>125</v>
      </c>
      <c r="O1165" s="1">
        <v>74</v>
      </c>
      <c r="P1165" s="1"/>
      <c r="Q1165" s="1"/>
    </row>
    <row r="1166" spans="1:17" ht="15.75" customHeight="1">
      <c r="A1166" s="1">
        <v>2022</v>
      </c>
      <c r="B1166" s="1">
        <v>100</v>
      </c>
      <c r="C1166" s="1" t="s">
        <v>150</v>
      </c>
      <c r="D1166" s="1">
        <v>4.9029999999999996</v>
      </c>
      <c r="E1166" s="1">
        <v>1.7999999999999999E-2</v>
      </c>
      <c r="F1166" s="1">
        <v>102</v>
      </c>
      <c r="G1166" s="1">
        <v>132</v>
      </c>
      <c r="H1166" s="1">
        <v>96</v>
      </c>
      <c r="I1166" s="1">
        <v>72</v>
      </c>
      <c r="J1166" s="1">
        <v>69</v>
      </c>
      <c r="K1166" s="1">
        <v>140</v>
      </c>
      <c r="L1166" s="1">
        <v>80</v>
      </c>
      <c r="M1166" s="1">
        <v>108</v>
      </c>
      <c r="N1166" s="1">
        <v>121</v>
      </c>
      <c r="O1166" s="1">
        <v>140</v>
      </c>
      <c r="P1166" s="1">
        <v>130</v>
      </c>
      <c r="Q1166" s="1">
        <v>26</v>
      </c>
    </row>
    <row r="1167" spans="1:17" ht="15.75" customHeight="1">
      <c r="A1167" s="1">
        <v>2022</v>
      </c>
      <c r="B1167" s="1">
        <v>101</v>
      </c>
      <c r="C1167" s="1" t="s">
        <v>169</v>
      </c>
      <c r="D1167" s="1">
        <v>4.8760000000000003</v>
      </c>
      <c r="E1167" s="1">
        <v>0.23300000000000001</v>
      </c>
      <c r="F1167" s="1">
        <v>72</v>
      </c>
      <c r="G1167" s="1">
        <v>88</v>
      </c>
      <c r="H1167" s="1">
        <v>71</v>
      </c>
      <c r="I1167" s="1">
        <v>54</v>
      </c>
      <c r="J1167" s="1">
        <v>129</v>
      </c>
      <c r="K1167" s="1">
        <v>27</v>
      </c>
      <c r="L1167" s="1">
        <v>66</v>
      </c>
      <c r="M1167" s="1">
        <v>125</v>
      </c>
      <c r="N1167" s="1">
        <v>133</v>
      </c>
      <c r="O1167" s="1">
        <v>27</v>
      </c>
      <c r="P1167" s="1">
        <v>110</v>
      </c>
      <c r="Q1167" s="1">
        <v>42</v>
      </c>
    </row>
    <row r="1168" spans="1:17" ht="15.75" customHeight="1">
      <c r="A1168" s="1">
        <v>2022</v>
      </c>
      <c r="B1168" s="1">
        <v>102</v>
      </c>
      <c r="C1168" s="1" t="s">
        <v>204</v>
      </c>
      <c r="D1168" s="1">
        <v>4.8550000000000004</v>
      </c>
      <c r="E1168" s="1">
        <v>0.89600000000000002</v>
      </c>
      <c r="F1168" s="1">
        <v>129</v>
      </c>
      <c r="G1168" s="1">
        <v>123</v>
      </c>
      <c r="H1168" s="1">
        <v>114</v>
      </c>
      <c r="I1168" s="1">
        <v>92</v>
      </c>
      <c r="J1168" s="1">
        <v>87</v>
      </c>
      <c r="K1168" s="1">
        <v>76</v>
      </c>
      <c r="L1168" s="1">
        <v>106</v>
      </c>
      <c r="M1168" s="1">
        <v>8</v>
      </c>
      <c r="N1168" s="1">
        <v>75</v>
      </c>
      <c r="O1168" s="1">
        <v>76</v>
      </c>
      <c r="P1168" s="1">
        <v>31</v>
      </c>
      <c r="Q1168" s="1">
        <v>7</v>
      </c>
    </row>
    <row r="1169" spans="1:17" ht="15.75" customHeight="1">
      <c r="A1169" s="1">
        <v>2022</v>
      </c>
      <c r="B1169" s="1">
        <v>103</v>
      </c>
      <c r="C1169" s="1" t="s">
        <v>206</v>
      </c>
      <c r="D1169" s="1">
        <v>4.7240000000000002</v>
      </c>
      <c r="E1169" s="1" t="s">
        <v>48</v>
      </c>
      <c r="F1169" s="1">
        <v>137</v>
      </c>
      <c r="G1169" s="1">
        <v>117</v>
      </c>
      <c r="H1169" s="1">
        <v>107</v>
      </c>
      <c r="I1169" s="1"/>
      <c r="J1169" s="1">
        <v>125</v>
      </c>
      <c r="K1169" s="1">
        <v>91</v>
      </c>
      <c r="L1169" s="1">
        <v>32</v>
      </c>
      <c r="M1169" s="1">
        <v>84</v>
      </c>
      <c r="N1169" s="1">
        <v>112</v>
      </c>
      <c r="O1169" s="1">
        <v>91</v>
      </c>
      <c r="P1169" s="1">
        <v>22</v>
      </c>
      <c r="Q1169" s="1">
        <v>67</v>
      </c>
    </row>
    <row r="1170" spans="1:17" ht="15.75" customHeight="1">
      <c r="A1170" s="1">
        <v>2022</v>
      </c>
      <c r="B1170" s="1">
        <v>104</v>
      </c>
      <c r="C1170" s="1" t="s">
        <v>229</v>
      </c>
      <c r="D1170" s="1">
        <v>4.6379999999999999</v>
      </c>
      <c r="E1170" s="1">
        <v>0.379</v>
      </c>
      <c r="F1170" s="1"/>
      <c r="G1170" s="1"/>
      <c r="H1170" s="1"/>
      <c r="I1170" s="1">
        <v>107</v>
      </c>
      <c r="J1170" s="1"/>
      <c r="K1170" s="1"/>
      <c r="L1170" s="1"/>
      <c r="M1170" s="1"/>
      <c r="Q1170" s="1"/>
    </row>
    <row r="1171" spans="1:17" ht="15.75" customHeight="1">
      <c r="A1171" s="1">
        <v>2022</v>
      </c>
      <c r="B1171" s="1">
        <v>105</v>
      </c>
      <c r="C1171" s="1" t="s">
        <v>181</v>
      </c>
      <c r="D1171" s="1">
        <v>4.6310000000000002</v>
      </c>
      <c r="E1171" s="1">
        <v>104</v>
      </c>
      <c r="F1171" s="1">
        <v>85</v>
      </c>
      <c r="G1171" s="1">
        <v>90</v>
      </c>
      <c r="H1171" s="1">
        <v>116</v>
      </c>
      <c r="I1171" s="1">
        <v>113</v>
      </c>
      <c r="J1171" s="1">
        <v>119</v>
      </c>
      <c r="K1171" s="1">
        <v>103</v>
      </c>
      <c r="L1171" s="1">
        <v>65</v>
      </c>
      <c r="M1171" s="1">
        <v>58</v>
      </c>
      <c r="N1171" s="1">
        <v>119</v>
      </c>
      <c r="O1171" s="1">
        <v>58</v>
      </c>
      <c r="P1171" s="1">
        <v>18</v>
      </c>
      <c r="Q1171" s="1"/>
    </row>
    <row r="1172" spans="1:17" ht="15.75" customHeight="1">
      <c r="A1172" s="1">
        <v>2022</v>
      </c>
      <c r="B1172" s="1">
        <v>106</v>
      </c>
      <c r="C1172" s="1" t="s">
        <v>136</v>
      </c>
      <c r="D1172" s="1">
        <v>4.6139999999999999</v>
      </c>
      <c r="E1172" s="1" t="s">
        <v>674</v>
      </c>
      <c r="F1172" s="1">
        <v>61</v>
      </c>
      <c r="G1172" s="1">
        <v>72</v>
      </c>
      <c r="H1172" s="1">
        <v>46</v>
      </c>
      <c r="I1172" s="1">
        <v>42</v>
      </c>
      <c r="J1172" s="1">
        <v>135</v>
      </c>
      <c r="K1172" s="1">
        <v>110</v>
      </c>
      <c r="L1172" s="1">
        <v>68</v>
      </c>
      <c r="M1172" s="1">
        <v>138</v>
      </c>
      <c r="N1172" s="1">
        <v>113</v>
      </c>
      <c r="O1172" s="1">
        <v>110</v>
      </c>
      <c r="P1172" s="1">
        <v>123</v>
      </c>
      <c r="Q1172" s="1">
        <v>99</v>
      </c>
    </row>
    <row r="1173" spans="1:17" ht="15.75" customHeight="1">
      <c r="A1173" s="1">
        <v>2022</v>
      </c>
      <c r="B1173" s="1">
        <v>107</v>
      </c>
      <c r="C1173" s="1" t="s">
        <v>197</v>
      </c>
      <c r="D1173" s="1">
        <v>4.6050000000000004</v>
      </c>
      <c r="E1173" s="1" t="s">
        <v>675</v>
      </c>
      <c r="F1173" s="1">
        <v>100</v>
      </c>
      <c r="G1173" s="1">
        <v>122</v>
      </c>
      <c r="H1173" s="1">
        <v>101</v>
      </c>
      <c r="I1173" s="1">
        <v>97</v>
      </c>
      <c r="J1173" s="1">
        <v>74</v>
      </c>
      <c r="K1173" s="1">
        <v>59</v>
      </c>
      <c r="L1173" s="1">
        <v>129</v>
      </c>
      <c r="M1173" s="1">
        <v>92</v>
      </c>
      <c r="N1173" s="1">
        <v>79</v>
      </c>
      <c r="O1173" s="1">
        <v>59</v>
      </c>
      <c r="P1173" s="1">
        <v>26</v>
      </c>
      <c r="Q1173" s="1">
        <v>41</v>
      </c>
    </row>
    <row r="1174" spans="1:17" ht="15.75" customHeight="1">
      <c r="A1174" s="1">
        <v>2022</v>
      </c>
      <c r="B1174" s="1">
        <v>108</v>
      </c>
      <c r="C1174" s="1" t="s">
        <v>152</v>
      </c>
      <c r="D1174" s="1">
        <v>4.5549999999999997</v>
      </c>
      <c r="E1174" s="1" t="s">
        <v>676</v>
      </c>
      <c r="F1174" s="1">
        <v>97</v>
      </c>
      <c r="G1174" s="1">
        <v>127</v>
      </c>
      <c r="H1174" s="1">
        <v>109</v>
      </c>
      <c r="I1174" s="1">
        <v>100</v>
      </c>
      <c r="J1174" s="1">
        <v>88</v>
      </c>
      <c r="K1174" s="1">
        <v>85</v>
      </c>
      <c r="L1174" s="1">
        <v>112</v>
      </c>
      <c r="M1174" s="1">
        <v>134</v>
      </c>
      <c r="N1174" s="1">
        <v>108</v>
      </c>
      <c r="O1174" s="1">
        <v>85</v>
      </c>
      <c r="P1174" s="1">
        <v>112</v>
      </c>
      <c r="Q1174" s="1">
        <v>136</v>
      </c>
    </row>
    <row r="1175" spans="1:17" ht="15.75" customHeight="1">
      <c r="A1175" s="1">
        <v>2022</v>
      </c>
      <c r="B1175" s="1">
        <v>109</v>
      </c>
      <c r="C1175" s="1" t="s">
        <v>224</v>
      </c>
      <c r="D1175" s="1">
        <v>4.5010000000000003</v>
      </c>
      <c r="E1175" s="1">
        <v>0.34899999999999998</v>
      </c>
      <c r="F1175" s="1">
        <v>114</v>
      </c>
      <c r="G1175" s="1">
        <v>129</v>
      </c>
      <c r="H1175" s="1">
        <v>130</v>
      </c>
      <c r="I1175" s="1"/>
      <c r="J1175" s="1">
        <v>71</v>
      </c>
      <c r="K1175" s="1">
        <v>116</v>
      </c>
      <c r="L1175" s="1">
        <v>52</v>
      </c>
      <c r="M1175" s="1">
        <v>10</v>
      </c>
      <c r="N1175" s="1">
        <v>107</v>
      </c>
      <c r="O1175" s="1">
        <v>116</v>
      </c>
      <c r="P1175" s="1">
        <v>73</v>
      </c>
      <c r="Q1175" s="1">
        <v>49</v>
      </c>
    </row>
    <row r="1176" spans="1:17" ht="15.75" customHeight="1">
      <c r="A1176" s="1">
        <v>2022</v>
      </c>
      <c r="B1176" s="1">
        <v>110</v>
      </c>
      <c r="C1176" s="1" t="s">
        <v>159</v>
      </c>
      <c r="D1176" s="1">
        <v>4.4969999999999999</v>
      </c>
      <c r="E1176" s="1" t="s">
        <v>677</v>
      </c>
      <c r="F1176" s="1">
        <v>35</v>
      </c>
      <c r="G1176" s="1">
        <v>98</v>
      </c>
      <c r="H1176" s="1">
        <v>84</v>
      </c>
      <c r="I1176" s="1">
        <v>62</v>
      </c>
      <c r="J1176" s="1">
        <v>134</v>
      </c>
      <c r="K1176" s="1">
        <v>137</v>
      </c>
      <c r="L1176" s="1">
        <v>128</v>
      </c>
      <c r="M1176" s="1">
        <v>136</v>
      </c>
      <c r="N1176" s="1">
        <v>85</v>
      </c>
      <c r="O1176" s="1">
        <v>137</v>
      </c>
      <c r="P1176" s="1">
        <v>124</v>
      </c>
      <c r="Q1176" s="1">
        <v>85</v>
      </c>
    </row>
    <row r="1177" spans="1:17" ht="15.75" customHeight="1">
      <c r="A1177" s="1">
        <v>2022</v>
      </c>
      <c r="B1177" s="1">
        <v>111</v>
      </c>
      <c r="C1177" s="1" t="s">
        <v>193</v>
      </c>
      <c r="D1177" s="1">
        <v>4.4870000000000001</v>
      </c>
      <c r="E1177" s="1">
        <v>8.4000000000000005E-2</v>
      </c>
      <c r="F1177" s="1">
        <v>113</v>
      </c>
      <c r="G1177" s="1">
        <v>111</v>
      </c>
      <c r="H1177" s="1">
        <v>110</v>
      </c>
      <c r="I1177" s="1">
        <v>94</v>
      </c>
      <c r="J1177" s="1">
        <v>109</v>
      </c>
      <c r="K1177" s="1">
        <v>26</v>
      </c>
      <c r="L1177" s="1">
        <v>118</v>
      </c>
      <c r="M1177" s="1">
        <v>36</v>
      </c>
      <c r="N1177" s="1">
        <v>71</v>
      </c>
      <c r="O1177" s="1">
        <v>26</v>
      </c>
      <c r="P1177" s="1">
        <v>4</v>
      </c>
      <c r="Q1177" s="1">
        <v>8</v>
      </c>
    </row>
    <row r="1178" spans="1:17" ht="15.75" customHeight="1">
      <c r="A1178" s="1">
        <v>2022</v>
      </c>
      <c r="B1178" s="1">
        <v>112</v>
      </c>
      <c r="C1178" s="1" t="s">
        <v>187</v>
      </c>
      <c r="D1178" s="1">
        <v>4.4420000000000002</v>
      </c>
      <c r="E1178" s="1">
        <v>0.29099999999999998</v>
      </c>
      <c r="F1178" s="1">
        <v>92</v>
      </c>
      <c r="G1178" s="1">
        <v>73</v>
      </c>
      <c r="H1178" s="1">
        <v>81</v>
      </c>
      <c r="I1178" s="1">
        <v>34</v>
      </c>
      <c r="J1178" s="1">
        <v>92</v>
      </c>
      <c r="K1178" s="1">
        <v>63</v>
      </c>
      <c r="L1178" s="1">
        <v>126</v>
      </c>
      <c r="M1178" s="1">
        <v>48</v>
      </c>
      <c r="N1178" s="1">
        <v>93</v>
      </c>
      <c r="O1178" s="1">
        <v>63</v>
      </c>
      <c r="P1178" s="1">
        <v>5</v>
      </c>
      <c r="Q1178" s="1">
        <v>31</v>
      </c>
    </row>
    <row r="1179" spans="1:17" ht="15.75" customHeight="1">
      <c r="A1179" s="1">
        <v>2022</v>
      </c>
      <c r="B1179" s="12">
        <v>113</v>
      </c>
      <c r="C1179" s="8" t="s">
        <v>678</v>
      </c>
      <c r="D1179" s="5">
        <v>4.4320000000000004</v>
      </c>
      <c r="E1179" s="9" t="s">
        <v>512</v>
      </c>
      <c r="F1179" s="6">
        <v>133</v>
      </c>
      <c r="G1179" s="6">
        <v>93</v>
      </c>
      <c r="H1179" s="6">
        <v>124</v>
      </c>
      <c r="I1179" s="7">
        <v>99</v>
      </c>
      <c r="J1179" s="6">
        <v>101</v>
      </c>
      <c r="K1179" s="6">
        <v>68</v>
      </c>
      <c r="L1179" s="6">
        <v>93</v>
      </c>
      <c r="M1179" s="6">
        <v>56</v>
      </c>
      <c r="N1179" s="6">
        <v>129</v>
      </c>
      <c r="O1179" s="6">
        <v>68</v>
      </c>
      <c r="P1179" s="6">
        <v>17</v>
      </c>
      <c r="Q1179" s="6">
        <v>25</v>
      </c>
    </row>
    <row r="1180" spans="1:17" ht="15.75" customHeight="1">
      <c r="A1180" s="1">
        <v>2022</v>
      </c>
      <c r="B1180" s="12">
        <v>114</v>
      </c>
      <c r="C1180" s="8" t="s">
        <v>679</v>
      </c>
      <c r="D1180" s="5">
        <v>4.3970000000000002</v>
      </c>
      <c r="E1180" s="6">
        <v>0.34100000000000003</v>
      </c>
      <c r="F1180" s="6">
        <v>121</v>
      </c>
      <c r="G1180" s="6">
        <v>107</v>
      </c>
      <c r="H1180" s="6">
        <v>131</v>
      </c>
      <c r="I1180" s="10"/>
      <c r="J1180" s="6">
        <v>117</v>
      </c>
      <c r="K1180" s="6">
        <v>57</v>
      </c>
      <c r="L1180" s="6">
        <v>83</v>
      </c>
      <c r="M1180" s="6">
        <v>100</v>
      </c>
      <c r="N1180" s="6">
        <v>136</v>
      </c>
      <c r="O1180" s="6">
        <v>57</v>
      </c>
      <c r="P1180" s="6">
        <v>9</v>
      </c>
      <c r="Q1180" s="6">
        <v>38</v>
      </c>
    </row>
    <row r="1181" spans="1:17" ht="15.75" customHeight="1">
      <c r="A1181" s="1">
        <v>2022</v>
      </c>
      <c r="B1181" s="1">
        <v>115</v>
      </c>
      <c r="C1181" s="1" t="s">
        <v>221</v>
      </c>
      <c r="D1181" s="1">
        <v>4.3929999999999998</v>
      </c>
      <c r="E1181" s="1">
        <v>0.32600000000000001</v>
      </c>
      <c r="F1181" s="1">
        <v>64</v>
      </c>
      <c r="G1181" s="1">
        <v>91</v>
      </c>
      <c r="H1181" s="1">
        <v>102</v>
      </c>
      <c r="I1181" s="1">
        <v>86</v>
      </c>
      <c r="J1181" s="1">
        <v>8</v>
      </c>
      <c r="K1181" s="1">
        <v>50</v>
      </c>
      <c r="L1181" s="1">
        <v>108</v>
      </c>
      <c r="M1181" s="1">
        <v>25</v>
      </c>
      <c r="N1181" s="1">
        <v>111</v>
      </c>
      <c r="O1181" s="1">
        <v>50</v>
      </c>
      <c r="P1181" s="1">
        <v>133</v>
      </c>
      <c r="Q1181" s="1">
        <v>138</v>
      </c>
    </row>
    <row r="1182" spans="1:17" ht="15.75" customHeight="1">
      <c r="A1182" s="1">
        <v>2022</v>
      </c>
      <c r="B1182" s="1">
        <v>116</v>
      </c>
      <c r="C1182" s="1" t="s">
        <v>244</v>
      </c>
      <c r="D1182" s="1">
        <v>4.3739999999999997</v>
      </c>
      <c r="E1182" s="1">
        <v>0.84599999999999997</v>
      </c>
      <c r="F1182" s="1">
        <v>127</v>
      </c>
      <c r="G1182" s="1">
        <v>139</v>
      </c>
      <c r="H1182" s="1">
        <v>117</v>
      </c>
      <c r="I1182" s="1">
        <v>103</v>
      </c>
      <c r="J1182" s="1">
        <v>103</v>
      </c>
      <c r="K1182" s="1">
        <v>111</v>
      </c>
      <c r="L1182" s="1">
        <v>21</v>
      </c>
      <c r="M1182" s="1">
        <v>110</v>
      </c>
      <c r="N1182" s="1">
        <v>130</v>
      </c>
      <c r="O1182" s="1">
        <v>111</v>
      </c>
      <c r="P1182" s="1">
        <v>94</v>
      </c>
      <c r="Q1182" s="1">
        <v>112</v>
      </c>
    </row>
    <row r="1183" spans="1:17" ht="15.75" customHeight="1">
      <c r="A1183" s="1">
        <v>2022</v>
      </c>
      <c r="B1183" s="1">
        <v>117</v>
      </c>
      <c r="C1183" s="1" t="s">
        <v>190</v>
      </c>
      <c r="D1183" s="1">
        <v>4.3719999999999999</v>
      </c>
      <c r="E1183" s="1" t="s">
        <v>680</v>
      </c>
      <c r="F1183" s="1">
        <v>77</v>
      </c>
      <c r="G1183" s="1">
        <v>103</v>
      </c>
      <c r="H1183" s="1">
        <v>111</v>
      </c>
      <c r="I1183" s="1">
        <v>91</v>
      </c>
      <c r="J1183" s="1">
        <v>124</v>
      </c>
      <c r="K1183" s="1">
        <v>1</v>
      </c>
      <c r="L1183" s="1">
        <v>49</v>
      </c>
      <c r="M1183" s="1">
        <v>69</v>
      </c>
      <c r="N1183" s="1">
        <v>103</v>
      </c>
      <c r="O1183" s="1">
        <v>1</v>
      </c>
      <c r="P1183" s="1">
        <v>24</v>
      </c>
      <c r="Q1183" s="1">
        <v>98</v>
      </c>
    </row>
    <row r="1184" spans="1:17" ht="15.75" customHeight="1">
      <c r="A1184" s="1">
        <v>2022</v>
      </c>
      <c r="B1184" s="1">
        <v>118</v>
      </c>
      <c r="C1184" s="1" t="s">
        <v>176</v>
      </c>
      <c r="D1184" s="1">
        <v>4.282</v>
      </c>
      <c r="E1184" s="1" t="s">
        <v>681</v>
      </c>
      <c r="F1184" s="1">
        <v>87</v>
      </c>
      <c r="G1184" s="1">
        <v>138</v>
      </c>
      <c r="H1184" s="1">
        <v>99</v>
      </c>
      <c r="I1184" s="1">
        <v>68</v>
      </c>
      <c r="J1184" s="1">
        <v>40</v>
      </c>
      <c r="K1184" s="1">
        <v>104</v>
      </c>
      <c r="L1184" s="1">
        <v>25</v>
      </c>
      <c r="M1184" s="1">
        <v>137</v>
      </c>
      <c r="N1184" s="1">
        <v>131</v>
      </c>
      <c r="O1184" s="1">
        <v>104</v>
      </c>
      <c r="P1184" s="1">
        <v>113</v>
      </c>
      <c r="Q1184" s="1">
        <v>37</v>
      </c>
    </row>
    <row r="1185" spans="1:17" ht="15.75" customHeight="1">
      <c r="A1185" s="1">
        <v>2022</v>
      </c>
      <c r="B1185" s="1">
        <v>119</v>
      </c>
      <c r="C1185" s="1" t="s">
        <v>403</v>
      </c>
      <c r="D1185" s="1">
        <v>4.2789999999999999</v>
      </c>
      <c r="E1185" s="1">
        <v>111</v>
      </c>
      <c r="F1185" s="1">
        <v>128</v>
      </c>
      <c r="G1185" s="1">
        <v>123</v>
      </c>
      <c r="H1185" s="1">
        <v>127</v>
      </c>
      <c r="I1185" s="1"/>
      <c r="J1185" s="1">
        <v>25</v>
      </c>
      <c r="K1185" s="1">
        <v>120</v>
      </c>
      <c r="L1185" s="1">
        <v>41</v>
      </c>
      <c r="M1185" s="1">
        <v>127</v>
      </c>
      <c r="N1185" s="1">
        <v>25</v>
      </c>
      <c r="O1185" s="1">
        <v>28</v>
      </c>
      <c r="P1185" s="1">
        <v>32</v>
      </c>
      <c r="Q1185" s="1"/>
    </row>
    <row r="1186" spans="1:17" ht="15.75" customHeight="1">
      <c r="A1186" s="1">
        <v>2022</v>
      </c>
      <c r="B1186" s="1">
        <v>120</v>
      </c>
      <c r="C1186" s="1" t="s">
        <v>311</v>
      </c>
      <c r="D1186" s="1">
        <v>4.1980000000000004</v>
      </c>
      <c r="E1186" s="1" t="s">
        <v>613</v>
      </c>
      <c r="F1186" s="1">
        <v>109</v>
      </c>
      <c r="G1186" s="1">
        <v>120</v>
      </c>
      <c r="H1186" s="1">
        <v>128</v>
      </c>
      <c r="I1186" s="1">
        <v>109</v>
      </c>
      <c r="J1186" s="1">
        <v>60</v>
      </c>
      <c r="K1186" s="1">
        <v>121</v>
      </c>
      <c r="L1186" s="1">
        <v>56</v>
      </c>
      <c r="M1186" s="1">
        <v>76</v>
      </c>
      <c r="N1186" s="1">
        <v>119</v>
      </c>
      <c r="O1186" s="1">
        <v>121</v>
      </c>
      <c r="P1186" s="1">
        <v>53</v>
      </c>
      <c r="Q1186" s="1">
        <v>78</v>
      </c>
    </row>
    <row r="1187" spans="1:17" ht="15.75" customHeight="1">
      <c r="A1187" s="1">
        <v>2022</v>
      </c>
      <c r="B1187" s="1">
        <v>121</v>
      </c>
      <c r="C1187" s="1" t="s">
        <v>191</v>
      </c>
      <c r="D1187" s="1">
        <v>4.17</v>
      </c>
      <c r="E1187" s="1" t="s">
        <v>475</v>
      </c>
      <c r="F1187" s="1">
        <v>51</v>
      </c>
      <c r="G1187" s="1">
        <v>97</v>
      </c>
      <c r="H1187" s="1">
        <v>69</v>
      </c>
      <c r="I1187" s="1">
        <v>88</v>
      </c>
      <c r="J1187" s="1">
        <v>95</v>
      </c>
      <c r="K1187" s="1">
        <v>133</v>
      </c>
      <c r="L1187" s="1">
        <v>130</v>
      </c>
      <c r="M1187" s="1">
        <v>88</v>
      </c>
      <c r="N1187" s="1">
        <v>133</v>
      </c>
      <c r="O1187" s="1">
        <v>140</v>
      </c>
      <c r="P1187" s="1">
        <v>65</v>
      </c>
      <c r="Q1187" s="1"/>
    </row>
    <row r="1188" spans="1:17" ht="15.75" customHeight="1">
      <c r="A1188" s="1">
        <v>2022</v>
      </c>
      <c r="B1188" s="1">
        <v>122</v>
      </c>
      <c r="C1188" s="1" t="s">
        <v>247</v>
      </c>
      <c r="D1188" s="1">
        <v>4.1369999999999996</v>
      </c>
      <c r="E1188" s="1">
        <v>1.2010000000000001</v>
      </c>
      <c r="F1188" s="1">
        <v>90</v>
      </c>
      <c r="G1188" s="1">
        <v>131</v>
      </c>
      <c r="H1188" s="1">
        <v>125</v>
      </c>
      <c r="I1188" s="1">
        <v>102</v>
      </c>
      <c r="J1188" s="1">
        <v>114</v>
      </c>
      <c r="K1188" s="1">
        <v>108</v>
      </c>
      <c r="L1188" s="1">
        <v>45</v>
      </c>
      <c r="M1188" s="1">
        <v>97</v>
      </c>
      <c r="N1188" s="1">
        <v>122</v>
      </c>
      <c r="O1188" s="1">
        <v>108</v>
      </c>
      <c r="P1188" s="1">
        <v>48</v>
      </c>
      <c r="Q1188" s="1">
        <v>80</v>
      </c>
    </row>
    <row r="1189" spans="1:17" ht="15.75" customHeight="1">
      <c r="A1189" s="1">
        <v>2022</v>
      </c>
      <c r="B1189" s="1">
        <v>123</v>
      </c>
      <c r="C1189" s="1" t="s">
        <v>138</v>
      </c>
      <c r="D1189" s="1">
        <v>4.12</v>
      </c>
      <c r="E1189" s="1" t="s">
        <v>682</v>
      </c>
      <c r="F1189" s="1">
        <v>120</v>
      </c>
      <c r="G1189" s="1">
        <v>95</v>
      </c>
      <c r="H1189" s="1">
        <v>95</v>
      </c>
      <c r="I1189" s="1">
        <v>43</v>
      </c>
      <c r="J1189" s="1">
        <v>85</v>
      </c>
      <c r="K1189" s="1">
        <v>126</v>
      </c>
      <c r="L1189" s="1">
        <v>46</v>
      </c>
      <c r="M1189" s="1">
        <v>126</v>
      </c>
      <c r="N1189" s="1">
        <v>126</v>
      </c>
      <c r="O1189" s="1">
        <v>126</v>
      </c>
      <c r="P1189" s="1">
        <v>132</v>
      </c>
      <c r="Q1189" s="1">
        <v>57</v>
      </c>
    </row>
    <row r="1190" spans="1:17" ht="15.75" customHeight="1">
      <c r="A1190" s="1">
        <v>2022</v>
      </c>
      <c r="B1190" s="1">
        <v>124</v>
      </c>
      <c r="C1190" s="1" t="s">
        <v>183</v>
      </c>
      <c r="D1190" s="1">
        <v>4.0910000000000002</v>
      </c>
      <c r="E1190" s="1" t="s">
        <v>683</v>
      </c>
      <c r="F1190" s="1">
        <v>85</v>
      </c>
      <c r="G1190" s="1">
        <v>104</v>
      </c>
      <c r="H1190" s="1">
        <v>126</v>
      </c>
      <c r="I1190" s="1"/>
      <c r="J1190" s="1">
        <v>119</v>
      </c>
      <c r="K1190" s="1">
        <v>24</v>
      </c>
      <c r="L1190" s="1">
        <v>76</v>
      </c>
      <c r="M1190" s="1">
        <v>113</v>
      </c>
      <c r="N1190" s="1">
        <v>96</v>
      </c>
      <c r="O1190" s="1">
        <v>24</v>
      </c>
      <c r="P1190" s="1">
        <v>29</v>
      </c>
      <c r="Q1190" s="1">
        <v>70</v>
      </c>
    </row>
    <row r="1191" spans="1:17" ht="15.75" customHeight="1">
      <c r="A1191" s="1">
        <v>2022</v>
      </c>
      <c r="B1191" s="1">
        <v>125</v>
      </c>
      <c r="C1191" s="1" t="s">
        <v>238</v>
      </c>
      <c r="D1191" s="1">
        <v>4.0419999999999998</v>
      </c>
      <c r="E1191" s="1" t="s">
        <v>618</v>
      </c>
      <c r="F1191" s="1">
        <v>140</v>
      </c>
      <c r="G1191" s="1">
        <v>126</v>
      </c>
      <c r="H1191" s="1">
        <v>134</v>
      </c>
      <c r="I1191" s="1"/>
      <c r="J1191" s="1">
        <v>97</v>
      </c>
      <c r="K1191" s="1">
        <v>70</v>
      </c>
      <c r="L1191" s="1">
        <v>87</v>
      </c>
      <c r="M1191" s="1">
        <v>81</v>
      </c>
      <c r="N1191" s="1">
        <v>128</v>
      </c>
      <c r="O1191" s="1">
        <v>70</v>
      </c>
      <c r="P1191" s="1">
        <v>1</v>
      </c>
      <c r="Q1191" s="1">
        <v>2</v>
      </c>
    </row>
    <row r="1192" spans="1:17" ht="15.75" customHeight="1">
      <c r="A1192" s="1">
        <v>2022</v>
      </c>
      <c r="B1192" s="1">
        <v>126</v>
      </c>
      <c r="C1192" s="1" t="s">
        <v>188</v>
      </c>
      <c r="D1192" s="1">
        <v>4.0359999999999996</v>
      </c>
      <c r="E1192" s="1" t="s">
        <v>684</v>
      </c>
      <c r="F1192" s="1">
        <v>124</v>
      </c>
      <c r="G1192" s="1">
        <v>124</v>
      </c>
      <c r="H1192" s="1">
        <v>97</v>
      </c>
      <c r="I1192" s="1">
        <v>95</v>
      </c>
      <c r="J1192" s="1">
        <v>27</v>
      </c>
      <c r="K1192" s="1">
        <v>61</v>
      </c>
      <c r="L1192" s="1">
        <v>71</v>
      </c>
      <c r="M1192" s="1">
        <v>96</v>
      </c>
      <c r="N1192" s="1">
        <v>125</v>
      </c>
      <c r="O1192" s="1">
        <v>61</v>
      </c>
      <c r="P1192" s="1">
        <v>14</v>
      </c>
      <c r="Q1192" s="1">
        <v>76</v>
      </c>
    </row>
    <row r="1193" spans="1:17" ht="15.75" customHeight="1">
      <c r="A1193" s="1">
        <v>2022</v>
      </c>
      <c r="B1193" s="1">
        <v>127</v>
      </c>
      <c r="C1193" s="1" t="s">
        <v>235</v>
      </c>
      <c r="D1193" s="1">
        <v>4.0190000000000001</v>
      </c>
      <c r="E1193" s="1">
        <v>5.2999999999999999E-2</v>
      </c>
      <c r="F1193" s="1">
        <v>82</v>
      </c>
      <c r="G1193" s="1">
        <v>119</v>
      </c>
      <c r="H1193" s="1">
        <v>133</v>
      </c>
      <c r="I1193" s="1"/>
      <c r="J1193" s="1">
        <v>132</v>
      </c>
      <c r="K1193" s="1">
        <v>92</v>
      </c>
      <c r="L1193" s="1">
        <v>53</v>
      </c>
      <c r="M1193" s="1">
        <v>62</v>
      </c>
      <c r="N1193" s="1">
        <v>100</v>
      </c>
      <c r="O1193" s="1">
        <v>92</v>
      </c>
      <c r="P1193" s="1">
        <v>7</v>
      </c>
      <c r="Q1193" s="1">
        <v>101</v>
      </c>
    </row>
    <row r="1194" spans="1:17" ht="15.75" customHeight="1">
      <c r="A1194" s="1">
        <v>2022</v>
      </c>
      <c r="B1194" s="1">
        <v>128</v>
      </c>
      <c r="C1194" s="1" t="s">
        <v>170</v>
      </c>
      <c r="D1194" s="1">
        <v>3.9820000000000002</v>
      </c>
      <c r="E1194" s="1" t="s">
        <v>685</v>
      </c>
      <c r="F1194" s="1">
        <v>117</v>
      </c>
      <c r="G1194" s="1">
        <v>108</v>
      </c>
      <c r="H1194" s="1">
        <v>118</v>
      </c>
      <c r="I1194" s="1">
        <v>112</v>
      </c>
      <c r="J1194" s="1">
        <v>30</v>
      </c>
      <c r="K1194" s="1">
        <v>101</v>
      </c>
      <c r="L1194" s="1">
        <v>47</v>
      </c>
      <c r="M1194" s="1">
        <v>74</v>
      </c>
      <c r="N1194" s="1">
        <v>89</v>
      </c>
      <c r="O1194" s="1">
        <v>101</v>
      </c>
      <c r="P1194" s="1">
        <v>65</v>
      </c>
      <c r="Q1194" s="1">
        <v>17</v>
      </c>
    </row>
    <row r="1195" spans="1:17" ht="15.75" customHeight="1">
      <c r="A1195" s="1">
        <v>2022</v>
      </c>
      <c r="B1195" s="1">
        <v>129</v>
      </c>
      <c r="C1195" s="1" t="s">
        <v>236</v>
      </c>
      <c r="D1195" s="1">
        <v>3.694</v>
      </c>
      <c r="E1195" s="1" t="s">
        <v>267</v>
      </c>
      <c r="F1195" s="1">
        <v>131</v>
      </c>
      <c r="G1195" s="1">
        <v>125</v>
      </c>
      <c r="H1195" s="1">
        <v>119</v>
      </c>
      <c r="I1195" s="1">
        <v>96</v>
      </c>
      <c r="J1195" s="1">
        <v>44</v>
      </c>
      <c r="K1195" s="1">
        <v>66</v>
      </c>
      <c r="L1195" s="1">
        <v>22</v>
      </c>
      <c r="M1195" s="1">
        <v>57</v>
      </c>
      <c r="N1195" s="1">
        <v>21</v>
      </c>
      <c r="O1195" s="1">
        <v>66</v>
      </c>
      <c r="P1195" s="1">
        <v>114</v>
      </c>
      <c r="Q1195" s="1">
        <v>122</v>
      </c>
    </row>
    <row r="1196" spans="1:17" ht="15.75" customHeight="1">
      <c r="A1196" s="1">
        <v>2022</v>
      </c>
      <c r="B1196" s="1">
        <v>130</v>
      </c>
      <c r="C1196" s="1" t="s">
        <v>219</v>
      </c>
      <c r="D1196" s="1">
        <v>3.5449999999999999</v>
      </c>
      <c r="E1196" s="1" t="s">
        <v>200</v>
      </c>
      <c r="F1196" s="1">
        <v>126</v>
      </c>
      <c r="G1196" s="1">
        <v>137</v>
      </c>
      <c r="H1196" s="1">
        <v>120</v>
      </c>
      <c r="I1196" s="1"/>
      <c r="J1196" s="1">
        <v>133</v>
      </c>
      <c r="K1196" s="1">
        <v>107</v>
      </c>
      <c r="L1196" s="1">
        <v>50</v>
      </c>
      <c r="M1196" s="1">
        <v>95</v>
      </c>
      <c r="N1196" s="1">
        <v>102</v>
      </c>
      <c r="O1196" s="1">
        <v>107</v>
      </c>
      <c r="P1196" s="1">
        <v>40</v>
      </c>
      <c r="Q1196" s="1">
        <v>82</v>
      </c>
    </row>
    <row r="1197" spans="1:17" ht="15.75" customHeight="1">
      <c r="A1197" s="1">
        <v>2022</v>
      </c>
      <c r="B1197" s="1">
        <v>131</v>
      </c>
      <c r="C1197" s="1" t="s">
        <v>210</v>
      </c>
      <c r="D1197" s="1">
        <v>3.4950000000000001</v>
      </c>
      <c r="E1197" s="1" t="s">
        <v>686</v>
      </c>
      <c r="F1197" s="1">
        <v>135</v>
      </c>
      <c r="G1197" s="1">
        <v>135</v>
      </c>
      <c r="H1197" s="1">
        <v>132</v>
      </c>
      <c r="I1197" s="1">
        <v>106</v>
      </c>
      <c r="J1197" s="1">
        <v>89</v>
      </c>
      <c r="K1197" s="1">
        <v>115</v>
      </c>
      <c r="L1197" s="1">
        <v>60</v>
      </c>
      <c r="M1197" s="1">
        <v>121</v>
      </c>
      <c r="N1197" s="1">
        <v>94</v>
      </c>
      <c r="O1197" s="1">
        <v>115</v>
      </c>
      <c r="P1197" s="1">
        <v>41</v>
      </c>
      <c r="Q1197" s="1">
        <v>52</v>
      </c>
    </row>
    <row r="1198" spans="1:17" ht="15.75" customHeight="1">
      <c r="A1198" s="1">
        <v>2022</v>
      </c>
      <c r="B1198" s="1">
        <v>132</v>
      </c>
      <c r="C1198" s="1" t="s">
        <v>218</v>
      </c>
      <c r="D1198" s="1">
        <v>3.4350000000000001</v>
      </c>
      <c r="E1198" s="1" t="s">
        <v>572</v>
      </c>
      <c r="F1198" s="1">
        <v>118</v>
      </c>
      <c r="G1198" s="1">
        <v>102</v>
      </c>
      <c r="H1198" s="1">
        <v>64</v>
      </c>
      <c r="I1198" s="1"/>
      <c r="J1198" s="1">
        <v>93</v>
      </c>
      <c r="K1198" s="1">
        <v>132</v>
      </c>
      <c r="L1198" s="1">
        <v>88</v>
      </c>
      <c r="M1198" s="1">
        <v>91</v>
      </c>
      <c r="N1198" s="1">
        <v>76</v>
      </c>
      <c r="O1198" s="1">
        <v>132</v>
      </c>
      <c r="P1198" s="1">
        <v>105</v>
      </c>
      <c r="Q1198" s="1">
        <v>16</v>
      </c>
    </row>
    <row r="1199" spans="1:17" ht="15.75" customHeight="1">
      <c r="A1199" s="1">
        <v>2022</v>
      </c>
      <c r="B1199" s="1">
        <v>133</v>
      </c>
      <c r="C1199" s="1" t="s">
        <v>199</v>
      </c>
      <c r="D1199" s="1">
        <v>3.2069999999999999</v>
      </c>
      <c r="E1199" s="1" t="s">
        <v>687</v>
      </c>
      <c r="F1199" s="1">
        <v>57</v>
      </c>
      <c r="G1199" s="1">
        <v>116</v>
      </c>
      <c r="H1199" s="1">
        <v>136</v>
      </c>
      <c r="I1199" s="1"/>
      <c r="J1199" s="1">
        <v>120</v>
      </c>
      <c r="K1199" s="1">
        <v>98</v>
      </c>
      <c r="L1199" s="1">
        <v>92</v>
      </c>
      <c r="M1199" s="1">
        <v>112</v>
      </c>
      <c r="N1199" s="1">
        <v>132</v>
      </c>
      <c r="O1199" s="1">
        <v>98</v>
      </c>
      <c r="P1199" s="1">
        <v>34</v>
      </c>
      <c r="Q1199" s="1">
        <v>29</v>
      </c>
    </row>
    <row r="1200" spans="1:17" ht="15.75" customHeight="1">
      <c r="A1200" s="1">
        <v>2022</v>
      </c>
      <c r="B1200" s="1">
        <v>134</v>
      </c>
      <c r="C1200" s="1" t="s">
        <v>208</v>
      </c>
      <c r="D1200" s="1">
        <v>3.2040000000000002</v>
      </c>
      <c r="E1200" s="1" t="s">
        <v>688</v>
      </c>
      <c r="F1200" s="1">
        <v>98</v>
      </c>
      <c r="G1200" s="1">
        <v>113</v>
      </c>
      <c r="H1200" s="1">
        <v>121</v>
      </c>
      <c r="I1200" s="1">
        <v>115</v>
      </c>
      <c r="J1200" s="1">
        <v>123</v>
      </c>
      <c r="K1200" s="1">
        <v>131</v>
      </c>
      <c r="L1200" s="1">
        <v>59</v>
      </c>
      <c r="M1200" s="1">
        <v>79</v>
      </c>
      <c r="N1200" s="1">
        <v>19</v>
      </c>
      <c r="O1200" s="1">
        <v>131</v>
      </c>
      <c r="P1200" s="1">
        <v>82</v>
      </c>
      <c r="Q1200" s="1">
        <v>73</v>
      </c>
    </row>
    <row r="1201" spans="1:17" ht="15.75" customHeight="1">
      <c r="A1201" s="1">
        <v>2022</v>
      </c>
      <c r="B1201" s="1">
        <v>135</v>
      </c>
      <c r="C1201" s="1" t="s">
        <v>178</v>
      </c>
      <c r="D1201" s="1">
        <v>3.1379999999999999</v>
      </c>
      <c r="E1201" s="1" t="s">
        <v>689</v>
      </c>
      <c r="F1201" s="1">
        <v>107</v>
      </c>
      <c r="G1201" s="1">
        <v>136</v>
      </c>
      <c r="H1201" s="1">
        <v>122</v>
      </c>
      <c r="I1201" s="1">
        <v>111</v>
      </c>
      <c r="J1201" s="1">
        <v>122</v>
      </c>
      <c r="K1201" s="1">
        <v>77</v>
      </c>
      <c r="L1201" s="1">
        <v>110</v>
      </c>
      <c r="M1201" s="1">
        <v>129</v>
      </c>
      <c r="N1201" s="1">
        <v>138</v>
      </c>
      <c r="O1201" s="1">
        <v>77</v>
      </c>
      <c r="P1201" s="1">
        <v>6</v>
      </c>
      <c r="Q1201" s="1">
        <v>10</v>
      </c>
    </row>
    <row r="1202" spans="1:17" ht="15.75" customHeight="1">
      <c r="A1202" s="1">
        <v>2022</v>
      </c>
      <c r="B1202" s="1">
        <v>136</v>
      </c>
      <c r="C1202" s="1" t="s">
        <v>154</v>
      </c>
      <c r="D1202" s="1">
        <v>2.3919999999999999</v>
      </c>
      <c r="E1202" s="1" t="s">
        <v>690</v>
      </c>
      <c r="F1202" s="1">
        <v>48</v>
      </c>
      <c r="G1202" s="1">
        <v>134</v>
      </c>
      <c r="H1202" s="1">
        <v>86</v>
      </c>
      <c r="I1202" s="1">
        <v>66</v>
      </c>
      <c r="J1202" s="1">
        <v>136</v>
      </c>
      <c r="K1202" s="1">
        <v>112</v>
      </c>
      <c r="L1202" s="1">
        <v>119</v>
      </c>
      <c r="M1202" s="1">
        <v>139</v>
      </c>
      <c r="N1202" s="1">
        <v>124</v>
      </c>
      <c r="O1202" s="1">
        <v>112</v>
      </c>
      <c r="P1202" s="1">
        <v>119</v>
      </c>
      <c r="Q1202" s="1">
        <v>130</v>
      </c>
    </row>
    <row r="1203" spans="1:17" ht="15.75" customHeight="1">
      <c r="A1203" s="1">
        <v>2022</v>
      </c>
      <c r="B1203" s="1">
        <v>137</v>
      </c>
      <c r="C1203" s="1" t="s">
        <v>245</v>
      </c>
      <c r="D1203" s="1">
        <v>1.859</v>
      </c>
      <c r="E1203" s="1" t="s">
        <v>691</v>
      </c>
      <c r="F1203" s="1">
        <v>1</v>
      </c>
      <c r="G1203" s="1">
        <v>140</v>
      </c>
      <c r="H1203" s="1">
        <v>129</v>
      </c>
      <c r="I1203" s="1">
        <v>116</v>
      </c>
      <c r="J1203" s="1">
        <v>138</v>
      </c>
      <c r="K1203" s="1">
        <v>136</v>
      </c>
      <c r="L1203" s="1">
        <v>51</v>
      </c>
      <c r="M1203" s="1">
        <v>140</v>
      </c>
      <c r="N1203" s="1">
        <v>140</v>
      </c>
      <c r="O1203" s="1">
        <v>136</v>
      </c>
      <c r="P1203" s="1">
        <v>131</v>
      </c>
      <c r="Q1203" s="1">
        <v>124</v>
      </c>
    </row>
    <row r="1204" spans="1:17" ht="15.75" customHeight="1">
      <c r="A1204" s="1">
        <v>2022</v>
      </c>
      <c r="B1204" s="1"/>
      <c r="C1204" s="1" t="s">
        <v>140</v>
      </c>
      <c r="D1204" s="1">
        <v>89</v>
      </c>
      <c r="E1204" s="1">
        <v>114</v>
      </c>
      <c r="F1204" s="1">
        <v>59</v>
      </c>
      <c r="G1204" s="1">
        <v>63</v>
      </c>
      <c r="H1204" s="1">
        <v>46</v>
      </c>
      <c r="I1204" s="1"/>
      <c r="J1204" s="1">
        <v>40</v>
      </c>
      <c r="K1204" s="1">
        <v>122</v>
      </c>
      <c r="L1204" s="1">
        <v>118</v>
      </c>
      <c r="M1204" s="1">
        <v>46</v>
      </c>
      <c r="N1204" s="1">
        <v>84</v>
      </c>
      <c r="O1204" s="1">
        <v>48</v>
      </c>
      <c r="P1204" s="1"/>
    </row>
    <row r="1205" spans="1:17" ht="15.75" customHeight="1">
      <c r="A1205" s="1">
        <v>2022</v>
      </c>
      <c r="B1205" s="1"/>
      <c r="C1205" s="1" t="s">
        <v>64</v>
      </c>
      <c r="D1205" s="1">
        <v>34</v>
      </c>
      <c r="E1205" s="1">
        <v>61</v>
      </c>
      <c r="F1205" s="1">
        <v>22</v>
      </c>
      <c r="G1205" s="1">
        <v>42</v>
      </c>
      <c r="H1205" s="1">
        <v>3</v>
      </c>
      <c r="I1205" s="1">
        <v>25</v>
      </c>
      <c r="J1205" s="1">
        <v>13</v>
      </c>
      <c r="K1205" s="1">
        <v>40</v>
      </c>
      <c r="L1205" s="1">
        <v>66</v>
      </c>
      <c r="M1205" s="1">
        <v>3</v>
      </c>
      <c r="N1205" s="1">
        <v>57</v>
      </c>
      <c r="O1205" s="1">
        <v>110</v>
      </c>
      <c r="P1205" s="1"/>
      <c r="Q1205" s="1"/>
    </row>
    <row r="1206" spans="1:17" ht="15.75" customHeight="1">
      <c r="A1206" s="1">
        <v>2022</v>
      </c>
      <c r="B1206" s="1"/>
      <c r="C1206" s="1" t="s">
        <v>88</v>
      </c>
      <c r="D1206" s="1">
        <v>45</v>
      </c>
      <c r="E1206" s="1">
        <v>53</v>
      </c>
      <c r="F1206" s="1">
        <v>25</v>
      </c>
      <c r="G1206" s="1">
        <v>2</v>
      </c>
      <c r="H1206" s="1">
        <v>23</v>
      </c>
      <c r="I1206" s="1"/>
      <c r="J1206" s="1">
        <v>33</v>
      </c>
      <c r="K1206" s="1">
        <v>7</v>
      </c>
      <c r="L1206" s="1">
        <v>23</v>
      </c>
      <c r="M1206" s="1">
        <v>15</v>
      </c>
      <c r="N1206" s="1">
        <v>5</v>
      </c>
      <c r="P1206" s="1"/>
      <c r="Q1206" s="1"/>
    </row>
    <row r="1207" spans="1:17" ht="15.75" customHeight="1">
      <c r="A1207" s="1">
        <v>2022</v>
      </c>
      <c r="B1207" s="1"/>
      <c r="C1207" s="1" t="s">
        <v>122</v>
      </c>
      <c r="D1207" s="1">
        <v>88</v>
      </c>
      <c r="E1207" s="1">
        <v>82</v>
      </c>
      <c r="F1207" s="1">
        <v>87</v>
      </c>
      <c r="G1207" s="1">
        <v>84</v>
      </c>
      <c r="H1207" s="1">
        <v>74</v>
      </c>
      <c r="I1207" s="1"/>
      <c r="J1207" s="1">
        <v>35</v>
      </c>
      <c r="K1207" s="1">
        <v>88</v>
      </c>
      <c r="L1207" s="1">
        <v>116</v>
      </c>
      <c r="M1207" s="1">
        <v>74</v>
      </c>
      <c r="N1207" s="1">
        <v>71</v>
      </c>
      <c r="O1207" s="1">
        <v>3</v>
      </c>
      <c r="P1207" s="1"/>
      <c r="Q1207" s="1"/>
    </row>
    <row r="1208" spans="1:17" ht="15.75" customHeight="1">
      <c r="A1208" s="1">
        <v>2022</v>
      </c>
      <c r="B1208" s="1"/>
      <c r="C1208" s="1" t="s">
        <v>321</v>
      </c>
      <c r="D1208" s="1">
        <v>134</v>
      </c>
      <c r="E1208" s="1">
        <v>112</v>
      </c>
      <c r="F1208" s="1">
        <v>127</v>
      </c>
      <c r="G1208" s="1">
        <v>108</v>
      </c>
      <c r="H1208" s="1">
        <v>134</v>
      </c>
      <c r="I1208" s="1"/>
      <c r="J1208" s="1">
        <v>85</v>
      </c>
      <c r="K1208" s="1">
        <v>55</v>
      </c>
      <c r="L1208" s="1">
        <v>77</v>
      </c>
      <c r="M1208" s="1">
        <v>134</v>
      </c>
      <c r="N1208" s="1">
        <v>69</v>
      </c>
      <c r="O1208" s="1">
        <v>61</v>
      </c>
      <c r="P1208" s="1"/>
    </row>
    <row r="1209" spans="1:17" ht="15.75" customHeight="1">
      <c r="A1209" s="1">
        <v>2022</v>
      </c>
      <c r="B1209" s="1"/>
      <c r="C1209" s="1" t="s">
        <v>453</v>
      </c>
      <c r="D1209" s="1">
        <v>59</v>
      </c>
      <c r="E1209" s="1">
        <v>109</v>
      </c>
      <c r="F1209" s="1">
        <v>91</v>
      </c>
      <c r="G1209" s="1">
        <v>131</v>
      </c>
      <c r="H1209" s="1">
        <v>125</v>
      </c>
      <c r="I1209" s="1"/>
      <c r="J1209" s="1">
        <v>72</v>
      </c>
      <c r="K1209" s="1">
        <v>72</v>
      </c>
      <c r="L1209" s="1">
        <v>115</v>
      </c>
      <c r="M1209" s="1">
        <v>125</v>
      </c>
      <c r="N1209" s="1">
        <v>63</v>
      </c>
      <c r="O1209" s="1">
        <v>23</v>
      </c>
      <c r="P1209" s="1"/>
      <c r="Q1209" s="1"/>
    </row>
    <row r="1210" spans="1:17" ht="15.75" customHeight="1">
      <c r="A1210" s="1">
        <v>2022</v>
      </c>
      <c r="B1210" s="1"/>
      <c r="C1210" s="1" t="s">
        <v>233</v>
      </c>
      <c r="D1210" s="1"/>
      <c r="E1210" s="1"/>
      <c r="F1210" s="1">
        <v>81</v>
      </c>
      <c r="G1210" s="1">
        <v>54</v>
      </c>
      <c r="H1210" s="1"/>
      <c r="I1210" s="1"/>
      <c r="J1210" s="1">
        <v>126</v>
      </c>
      <c r="K1210" s="1">
        <v>139</v>
      </c>
      <c r="L1210" s="1">
        <v>74</v>
      </c>
      <c r="M1210" s="1">
        <v>135</v>
      </c>
      <c r="N1210" s="1">
        <v>54</v>
      </c>
      <c r="O1210" s="1">
        <v>139</v>
      </c>
      <c r="P1210" s="1">
        <v>135</v>
      </c>
      <c r="Q1210" s="1">
        <v>126</v>
      </c>
    </row>
    <row r="1211" spans="1:17" ht="15.75" customHeight="1">
      <c r="A1211" s="1">
        <v>2023</v>
      </c>
      <c r="B1211" s="1">
        <v>1</v>
      </c>
      <c r="C1211" s="1" t="s">
        <v>37</v>
      </c>
      <c r="D1211" s="1">
        <v>7.7409999999999997</v>
      </c>
      <c r="E1211" s="1">
        <v>0.35199999999999998</v>
      </c>
      <c r="F1211" s="1">
        <v>4</v>
      </c>
      <c r="G1211" s="1">
        <v>6</v>
      </c>
      <c r="H1211" s="1">
        <v>20</v>
      </c>
      <c r="I1211" s="1">
        <v>18</v>
      </c>
      <c r="J1211" s="1">
        <v>4</v>
      </c>
      <c r="K1211" s="1">
        <v>49</v>
      </c>
      <c r="L1211" s="1">
        <v>3</v>
      </c>
      <c r="M1211" s="1">
        <v>48</v>
      </c>
      <c r="N1211" s="1">
        <v>8</v>
      </c>
      <c r="O1211" s="1">
        <v>49</v>
      </c>
      <c r="P1211" s="1">
        <v>72</v>
      </c>
      <c r="Q1211" s="1">
        <v>99</v>
      </c>
    </row>
    <row r="1212" spans="1:17" ht="15.75" customHeight="1">
      <c r="A1212" s="1">
        <v>2023</v>
      </c>
      <c r="B1212" s="1">
        <v>2</v>
      </c>
      <c r="C1212" s="1" t="s">
        <v>30</v>
      </c>
      <c r="D1212" s="1">
        <v>7.5830000000000002</v>
      </c>
      <c r="E1212" s="1" t="s">
        <v>491</v>
      </c>
      <c r="F1212" s="1">
        <v>12</v>
      </c>
      <c r="G1212" s="1">
        <v>18</v>
      </c>
      <c r="H1212" s="1">
        <v>7</v>
      </c>
      <c r="I1212" s="1">
        <v>15</v>
      </c>
      <c r="J1212" s="1">
        <v>14</v>
      </c>
      <c r="K1212" s="1">
        <v>32</v>
      </c>
      <c r="L1212" s="1">
        <v>2</v>
      </c>
      <c r="M1212" s="1">
        <v>20</v>
      </c>
      <c r="N1212" s="1">
        <v>36</v>
      </c>
      <c r="O1212" s="1">
        <v>32</v>
      </c>
      <c r="P1212" s="1">
        <v>65</v>
      </c>
      <c r="Q1212" s="1">
        <v>84</v>
      </c>
    </row>
    <row r="1213" spans="1:17" ht="15.75" customHeight="1">
      <c r="A1213" s="1">
        <v>2023</v>
      </c>
      <c r="B1213" s="1">
        <v>3</v>
      </c>
      <c r="C1213" s="1" t="s">
        <v>34</v>
      </c>
      <c r="D1213" s="1">
        <v>7.5250000000000004</v>
      </c>
      <c r="E1213" s="1">
        <v>0.17</v>
      </c>
      <c r="F1213" s="1">
        <v>3</v>
      </c>
      <c r="G1213" s="1">
        <v>1</v>
      </c>
      <c r="H1213" s="1">
        <v>10</v>
      </c>
      <c r="I1213" s="1">
        <v>4</v>
      </c>
      <c r="J1213" s="1">
        <v>16</v>
      </c>
      <c r="K1213" s="1">
        <v>4</v>
      </c>
      <c r="L1213" s="1">
        <v>45</v>
      </c>
      <c r="M1213" s="1">
        <v>11</v>
      </c>
      <c r="N1213" s="1">
        <v>14</v>
      </c>
      <c r="O1213" s="1">
        <v>4</v>
      </c>
      <c r="P1213" s="1">
        <v>63</v>
      </c>
      <c r="Q1213" s="1">
        <v>127</v>
      </c>
    </row>
    <row r="1214" spans="1:17" ht="15.75" customHeight="1">
      <c r="A1214" s="1">
        <v>2023</v>
      </c>
      <c r="B1214" s="1">
        <v>4</v>
      </c>
      <c r="C1214" s="1" t="s">
        <v>45</v>
      </c>
      <c r="D1214" s="1">
        <v>7.3440000000000003</v>
      </c>
      <c r="E1214" s="1" t="s">
        <v>278</v>
      </c>
      <c r="F1214" s="1">
        <v>19</v>
      </c>
      <c r="G1214" s="1">
        <v>15</v>
      </c>
      <c r="H1214" s="1">
        <v>15</v>
      </c>
      <c r="I1214" s="1">
        <v>7</v>
      </c>
      <c r="J1214" s="1">
        <v>12</v>
      </c>
      <c r="K1214" s="1">
        <v>23</v>
      </c>
      <c r="L1214" s="1">
        <v>6</v>
      </c>
      <c r="M1214" s="1">
        <v>33</v>
      </c>
      <c r="N1214" s="1">
        <v>19</v>
      </c>
      <c r="O1214" s="1">
        <v>23</v>
      </c>
      <c r="P1214" s="1">
        <v>105</v>
      </c>
      <c r="Q1214" s="1">
        <v>89</v>
      </c>
    </row>
    <row r="1215" spans="1:17" ht="15.75" customHeight="1">
      <c r="A1215" s="1">
        <v>2023</v>
      </c>
      <c r="B1215" s="1">
        <v>5</v>
      </c>
      <c r="C1215" s="1" t="s">
        <v>47</v>
      </c>
      <c r="D1215" s="1">
        <v>7.3410000000000002</v>
      </c>
      <c r="E1215" s="1">
        <v>0.04</v>
      </c>
      <c r="F1215" s="1">
        <v>37</v>
      </c>
      <c r="G1215" s="1">
        <v>4</v>
      </c>
      <c r="H1215" s="1">
        <v>28</v>
      </c>
      <c r="I1215" s="1">
        <v>9</v>
      </c>
      <c r="J1215" s="1">
        <v>72</v>
      </c>
      <c r="K1215" s="1">
        <v>25</v>
      </c>
      <c r="L1215" s="1">
        <v>27</v>
      </c>
      <c r="M1215" s="1">
        <v>132</v>
      </c>
      <c r="N1215" s="1">
        <v>141</v>
      </c>
      <c r="O1215" s="1">
        <v>25</v>
      </c>
      <c r="P1215" s="1">
        <v>45</v>
      </c>
      <c r="Q1215" s="1">
        <v>74</v>
      </c>
    </row>
    <row r="1216" spans="1:17" ht="15.75" customHeight="1">
      <c r="A1216" s="1">
        <v>2023</v>
      </c>
      <c r="B1216" s="1">
        <v>6</v>
      </c>
      <c r="C1216" s="1" t="s">
        <v>40</v>
      </c>
      <c r="D1216" s="1">
        <v>7.319</v>
      </c>
      <c r="E1216" s="1" t="s">
        <v>490</v>
      </c>
      <c r="F1216" s="1">
        <v>2</v>
      </c>
      <c r="G1216" s="1">
        <v>19</v>
      </c>
      <c r="H1216" s="1">
        <v>8</v>
      </c>
      <c r="I1216" s="1"/>
      <c r="J1216" s="1">
        <v>54</v>
      </c>
      <c r="K1216" s="1">
        <v>11</v>
      </c>
      <c r="L1216" s="1">
        <v>12</v>
      </c>
      <c r="M1216" s="1">
        <v>61</v>
      </c>
      <c r="N1216" s="1">
        <v>24</v>
      </c>
      <c r="O1216" s="1">
        <v>11</v>
      </c>
      <c r="P1216" s="1">
        <v>32</v>
      </c>
      <c r="Q1216" s="1">
        <v>128</v>
      </c>
    </row>
    <row r="1217" spans="1:17" ht="15.75" customHeight="1">
      <c r="A1217" s="1">
        <v>2023</v>
      </c>
      <c r="B1217" s="1">
        <v>7</v>
      </c>
      <c r="C1217" s="1" t="s">
        <v>35</v>
      </c>
      <c r="D1217" s="1">
        <v>7.3019999999999996</v>
      </c>
      <c r="E1217" s="1" t="s">
        <v>476</v>
      </c>
      <c r="F1217" s="1">
        <v>8</v>
      </c>
      <c r="G1217" s="1">
        <v>5</v>
      </c>
      <c r="H1217" s="1">
        <v>4</v>
      </c>
      <c r="I1217" s="1">
        <v>5</v>
      </c>
      <c r="J1217" s="1">
        <v>7</v>
      </c>
      <c r="K1217" s="1">
        <v>10</v>
      </c>
      <c r="L1217" s="1">
        <v>4</v>
      </c>
      <c r="M1217" s="1">
        <v>22</v>
      </c>
      <c r="N1217" s="1">
        <v>34</v>
      </c>
      <c r="O1217" s="1">
        <v>10</v>
      </c>
      <c r="P1217" s="1">
        <v>35</v>
      </c>
      <c r="Q1217" s="1">
        <v>113</v>
      </c>
    </row>
    <row r="1218" spans="1:17" ht="15.75" customHeight="1">
      <c r="A1218" s="1">
        <v>2023</v>
      </c>
      <c r="B1218" s="1">
        <v>8</v>
      </c>
      <c r="C1218" s="1" t="s">
        <v>59</v>
      </c>
      <c r="D1218" s="1">
        <v>7.1219999999999999</v>
      </c>
      <c r="E1218" s="1">
        <v>6.8000000000000005E-2</v>
      </c>
      <c r="F1218" s="1">
        <v>6</v>
      </c>
      <c r="G1218" s="1">
        <v>43</v>
      </c>
      <c r="H1218" s="1">
        <v>1</v>
      </c>
      <c r="I1218" s="1"/>
      <c r="J1218" s="1">
        <v>18</v>
      </c>
      <c r="K1218" s="1">
        <v>33</v>
      </c>
      <c r="L1218" s="1">
        <v>9</v>
      </c>
      <c r="M1218" s="1">
        <v>27</v>
      </c>
      <c r="N1218" s="1">
        <v>20</v>
      </c>
      <c r="O1218" s="1">
        <v>33</v>
      </c>
      <c r="P1218" s="1">
        <v>34</v>
      </c>
      <c r="Q1218" s="1">
        <v>126</v>
      </c>
    </row>
    <row r="1219" spans="1:17" ht="15.75" customHeight="1">
      <c r="A1219" s="1">
        <v>2023</v>
      </c>
      <c r="B1219" s="1">
        <v>9</v>
      </c>
      <c r="C1219" s="1" t="s">
        <v>32</v>
      </c>
      <c r="D1219" s="1">
        <v>7.06</v>
      </c>
      <c r="E1219" s="1" t="s">
        <v>692</v>
      </c>
      <c r="F1219" s="1">
        <v>20</v>
      </c>
      <c r="G1219" s="1">
        <v>26</v>
      </c>
      <c r="H1219" s="1">
        <v>5</v>
      </c>
      <c r="I1219" s="1">
        <v>6</v>
      </c>
      <c r="J1219" s="1">
        <v>31</v>
      </c>
      <c r="K1219" s="1">
        <v>27</v>
      </c>
      <c r="L1219" s="1">
        <v>5</v>
      </c>
      <c r="M1219" s="1">
        <v>31</v>
      </c>
      <c r="N1219" s="1">
        <v>13</v>
      </c>
      <c r="O1219" s="1">
        <v>27</v>
      </c>
      <c r="P1219" s="1">
        <v>53</v>
      </c>
      <c r="Q1219" s="1">
        <v>133</v>
      </c>
    </row>
    <row r="1220" spans="1:17" ht="15.75" customHeight="1">
      <c r="A1220" s="1">
        <v>2023</v>
      </c>
      <c r="B1220" s="1">
        <v>10</v>
      </c>
      <c r="C1220" s="1" t="s">
        <v>43</v>
      </c>
      <c r="D1220" s="1">
        <v>7.0570000000000004</v>
      </c>
      <c r="E1220" s="1" t="s">
        <v>228</v>
      </c>
      <c r="F1220" s="1">
        <v>28</v>
      </c>
      <c r="G1220" s="1">
        <v>28</v>
      </c>
      <c r="H1220" s="1">
        <v>16</v>
      </c>
      <c r="I1220" s="1">
        <v>12</v>
      </c>
      <c r="J1220" s="1">
        <v>36</v>
      </c>
      <c r="K1220" s="1">
        <v>16</v>
      </c>
      <c r="L1220" s="1">
        <v>15</v>
      </c>
      <c r="M1220" s="1">
        <v>36</v>
      </c>
      <c r="N1220" s="1">
        <v>52</v>
      </c>
      <c r="O1220" s="1">
        <v>16</v>
      </c>
      <c r="P1220" s="1">
        <v>27</v>
      </c>
      <c r="Q1220" s="1">
        <v>31</v>
      </c>
    </row>
    <row r="1221" spans="1:17" ht="15.75" customHeight="1">
      <c r="A1221" s="1">
        <v>2023</v>
      </c>
      <c r="B1221" s="1">
        <v>11</v>
      </c>
      <c r="C1221" s="1" t="s">
        <v>42</v>
      </c>
      <c r="D1221" s="1">
        <v>7.0289999999999999</v>
      </c>
      <c r="E1221" s="1" t="s">
        <v>392</v>
      </c>
      <c r="F1221" s="1">
        <v>13</v>
      </c>
      <c r="G1221" s="1">
        <v>11</v>
      </c>
      <c r="H1221" s="1">
        <v>27</v>
      </c>
      <c r="I1221" s="1">
        <v>17</v>
      </c>
      <c r="J1221" s="1">
        <v>35</v>
      </c>
      <c r="K1221" s="1">
        <v>19</v>
      </c>
      <c r="L1221" s="1">
        <v>7</v>
      </c>
      <c r="M1221" s="1">
        <v>34</v>
      </c>
      <c r="N1221" s="1">
        <v>35</v>
      </c>
      <c r="O1221" s="1">
        <v>19</v>
      </c>
      <c r="P1221" s="1">
        <v>26</v>
      </c>
      <c r="Q1221" s="1">
        <v>83</v>
      </c>
    </row>
    <row r="1222" spans="1:17" ht="15.75" customHeight="1">
      <c r="A1222" s="1">
        <v>2023</v>
      </c>
      <c r="B1222" s="1">
        <v>12</v>
      </c>
      <c r="C1222" s="1" t="s">
        <v>52</v>
      </c>
      <c r="D1222" s="1">
        <v>6.9550000000000001</v>
      </c>
      <c r="E1222" s="1" t="s">
        <v>286</v>
      </c>
      <c r="F1222" s="1">
        <v>55</v>
      </c>
      <c r="G1222" s="1">
        <v>45</v>
      </c>
      <c r="H1222" s="1">
        <v>55</v>
      </c>
      <c r="I1222" s="1">
        <v>29</v>
      </c>
      <c r="J1222" s="1">
        <v>8</v>
      </c>
      <c r="K1222" s="1">
        <v>80</v>
      </c>
      <c r="L1222" s="1">
        <v>67</v>
      </c>
      <c r="M1222" s="1">
        <v>9</v>
      </c>
      <c r="N1222" s="1">
        <v>69</v>
      </c>
      <c r="O1222" s="1">
        <v>80</v>
      </c>
      <c r="P1222" s="1">
        <v>77</v>
      </c>
      <c r="Q1222" s="1">
        <v>24</v>
      </c>
    </row>
    <row r="1223" spans="1:17" ht="15.75" customHeight="1">
      <c r="A1223" s="1">
        <v>2023</v>
      </c>
      <c r="B1223" s="1">
        <v>13</v>
      </c>
      <c r="C1223" s="1" t="s">
        <v>88</v>
      </c>
      <c r="D1223" s="1">
        <v>6.9509999999999996</v>
      </c>
      <c r="E1223" s="1">
        <v>0.436</v>
      </c>
      <c r="F1223" s="1">
        <v>38</v>
      </c>
      <c r="G1223" s="1">
        <v>35</v>
      </c>
      <c r="H1223" s="1">
        <v>32</v>
      </c>
      <c r="I1223" s="1"/>
      <c r="J1223" s="1">
        <v>30</v>
      </c>
      <c r="K1223" s="1">
        <v>26</v>
      </c>
      <c r="L1223" s="1">
        <v>38</v>
      </c>
      <c r="M1223" s="1">
        <v>27</v>
      </c>
      <c r="N1223" s="1">
        <v>26</v>
      </c>
      <c r="O1223" s="1">
        <v>23</v>
      </c>
      <c r="P1223" s="1">
        <v>70</v>
      </c>
      <c r="Q1223" s="1"/>
    </row>
    <row r="1224" spans="1:17" ht="15.75" customHeight="1">
      <c r="A1224" s="1">
        <v>2023</v>
      </c>
      <c r="B1224" s="1">
        <v>14</v>
      </c>
      <c r="C1224" s="1" t="s">
        <v>49</v>
      </c>
      <c r="D1224" s="1">
        <v>6.9050000000000002</v>
      </c>
      <c r="E1224" s="1" t="s">
        <v>693</v>
      </c>
      <c r="F1224" s="1">
        <v>15</v>
      </c>
      <c r="G1224" s="1">
        <v>46</v>
      </c>
      <c r="H1224" s="1">
        <v>12</v>
      </c>
      <c r="I1224" s="1">
        <v>19</v>
      </c>
      <c r="J1224" s="1">
        <v>38</v>
      </c>
      <c r="K1224" s="1">
        <v>12</v>
      </c>
      <c r="L1224" s="1">
        <v>20</v>
      </c>
      <c r="M1224" s="1">
        <v>49</v>
      </c>
      <c r="N1224" s="1">
        <v>44</v>
      </c>
      <c r="O1224" s="1">
        <v>12</v>
      </c>
      <c r="P1224" s="1">
        <v>68</v>
      </c>
      <c r="Q1224" s="1">
        <v>117</v>
      </c>
    </row>
    <row r="1225" spans="1:17" ht="15.75" customHeight="1">
      <c r="A1225" s="1">
        <v>2023</v>
      </c>
      <c r="B1225" s="12">
        <v>15</v>
      </c>
      <c r="C1225" s="8" t="s">
        <v>694</v>
      </c>
      <c r="D1225" s="5">
        <v>6.9</v>
      </c>
      <c r="E1225" s="9" t="s">
        <v>695</v>
      </c>
      <c r="F1225" s="6">
        <v>42</v>
      </c>
      <c r="G1225" s="6">
        <v>27</v>
      </c>
      <c r="H1225" s="6">
        <v>19</v>
      </c>
      <c r="I1225" s="10">
        <v>21</v>
      </c>
      <c r="J1225" s="6">
        <v>56</v>
      </c>
      <c r="K1225" s="6">
        <v>15</v>
      </c>
      <c r="L1225" s="6">
        <v>14</v>
      </c>
      <c r="M1225" s="6">
        <v>40</v>
      </c>
      <c r="N1225" s="6">
        <v>81</v>
      </c>
      <c r="O1225" s="6">
        <v>15</v>
      </c>
      <c r="P1225" s="6">
        <v>25</v>
      </c>
      <c r="Q1225" s="6">
        <v>46</v>
      </c>
    </row>
    <row r="1226" spans="1:17" ht="15.75" customHeight="1">
      <c r="A1226" s="1">
        <v>2023</v>
      </c>
      <c r="B1226" s="12">
        <v>16</v>
      </c>
      <c r="C1226" s="8" t="s">
        <v>696</v>
      </c>
      <c r="D1226" s="5">
        <v>6.8940000000000001</v>
      </c>
      <c r="E1226" s="9" t="s">
        <v>39</v>
      </c>
      <c r="F1226" s="6">
        <v>7</v>
      </c>
      <c r="G1226" s="6">
        <v>29</v>
      </c>
      <c r="H1226" s="6">
        <v>14</v>
      </c>
      <c r="I1226" s="7">
        <v>20</v>
      </c>
      <c r="J1226" s="6">
        <v>41</v>
      </c>
      <c r="K1226" s="6">
        <v>34</v>
      </c>
      <c r="L1226" s="6">
        <v>19</v>
      </c>
      <c r="M1226" s="6">
        <v>41</v>
      </c>
      <c r="N1226" s="6">
        <v>50</v>
      </c>
      <c r="O1226" s="6">
        <v>34</v>
      </c>
      <c r="P1226" s="6">
        <v>59</v>
      </c>
      <c r="Q1226" s="6">
        <v>98</v>
      </c>
    </row>
    <row r="1227" spans="1:17" ht="15.75" customHeight="1">
      <c r="A1227" s="1">
        <v>2023</v>
      </c>
      <c r="B1227" s="12">
        <v>17</v>
      </c>
      <c r="C1227" s="8" t="s">
        <v>697</v>
      </c>
      <c r="D1227" s="5">
        <v>6.8380000000000001</v>
      </c>
      <c r="E1227" s="9" t="s">
        <v>698</v>
      </c>
      <c r="F1227" s="6">
        <v>16</v>
      </c>
      <c r="G1227" s="6">
        <v>16</v>
      </c>
      <c r="H1227" s="6">
        <v>3</v>
      </c>
      <c r="I1227" s="10">
        <v>16</v>
      </c>
      <c r="J1227" s="6">
        <v>23</v>
      </c>
      <c r="K1227" s="6">
        <v>9</v>
      </c>
      <c r="L1227" s="6">
        <v>11</v>
      </c>
      <c r="M1227" s="6">
        <v>32</v>
      </c>
      <c r="N1227" s="6">
        <v>48</v>
      </c>
      <c r="O1227" s="6">
        <v>9</v>
      </c>
      <c r="P1227" s="6">
        <v>42</v>
      </c>
      <c r="Q1227" s="6">
        <v>88</v>
      </c>
    </row>
    <row r="1228" spans="1:17" ht="15.75" customHeight="1">
      <c r="A1228" s="1">
        <v>2023</v>
      </c>
      <c r="B1228" s="1">
        <v>18</v>
      </c>
      <c r="C1228" s="1" t="s">
        <v>70</v>
      </c>
      <c r="D1228" s="1">
        <v>6.8220000000000001</v>
      </c>
      <c r="E1228" s="1">
        <v>0.53200000000000003</v>
      </c>
      <c r="F1228" s="1">
        <v>26</v>
      </c>
      <c r="G1228" s="1">
        <v>14</v>
      </c>
      <c r="H1228" s="1">
        <v>30</v>
      </c>
      <c r="I1228" s="1">
        <v>36</v>
      </c>
      <c r="J1228" s="1">
        <v>20</v>
      </c>
      <c r="K1228" s="1">
        <v>43</v>
      </c>
      <c r="L1228" s="1">
        <v>96</v>
      </c>
      <c r="M1228" s="1">
        <v>28</v>
      </c>
      <c r="N1228" s="1">
        <v>56</v>
      </c>
      <c r="O1228" s="1">
        <v>43</v>
      </c>
      <c r="P1228" s="1">
        <v>67</v>
      </c>
      <c r="Q1228" s="1">
        <v>67</v>
      </c>
    </row>
    <row r="1229" spans="1:17" ht="15.75" customHeight="1">
      <c r="A1229" s="1">
        <v>2023</v>
      </c>
      <c r="B1229" s="1">
        <v>19</v>
      </c>
      <c r="C1229" s="1" t="s">
        <v>114</v>
      </c>
      <c r="D1229" s="1">
        <v>6.8179999999999996</v>
      </c>
      <c r="E1229" s="1">
        <v>1.3919999999999999</v>
      </c>
      <c r="F1229" s="1">
        <v>27</v>
      </c>
      <c r="G1229" s="1">
        <v>42</v>
      </c>
      <c r="H1229" s="1">
        <v>33</v>
      </c>
      <c r="I1229" s="1">
        <v>52</v>
      </c>
      <c r="J1229" s="1">
        <v>105</v>
      </c>
      <c r="K1229" s="1">
        <v>124</v>
      </c>
      <c r="L1229" s="1">
        <v>60</v>
      </c>
      <c r="M1229" s="1">
        <v>130</v>
      </c>
      <c r="N1229" s="1">
        <v>23</v>
      </c>
      <c r="O1229" s="1">
        <v>124</v>
      </c>
      <c r="P1229" s="1">
        <v>126</v>
      </c>
      <c r="Q1229" s="1">
        <v>137</v>
      </c>
    </row>
    <row r="1230" spans="1:17" ht="15.75" customHeight="1">
      <c r="A1230" s="1">
        <v>2023</v>
      </c>
      <c r="B1230" s="1">
        <v>20</v>
      </c>
      <c r="C1230" s="1" t="s">
        <v>64</v>
      </c>
      <c r="D1230" s="1">
        <v>6.7489999999999997</v>
      </c>
      <c r="E1230" s="1" t="s">
        <v>298</v>
      </c>
      <c r="F1230" s="1">
        <v>23</v>
      </c>
      <c r="G1230" s="1">
        <v>38</v>
      </c>
      <c r="H1230" s="1">
        <v>23</v>
      </c>
      <c r="I1230" s="1">
        <v>25</v>
      </c>
      <c r="J1230" s="1">
        <v>37</v>
      </c>
      <c r="K1230" s="1">
        <v>8</v>
      </c>
      <c r="L1230" s="1">
        <v>17</v>
      </c>
      <c r="M1230" s="1">
        <v>46</v>
      </c>
      <c r="N1230" s="1">
        <v>68</v>
      </c>
      <c r="O1230" s="1">
        <v>8</v>
      </c>
      <c r="P1230" s="1">
        <v>57</v>
      </c>
      <c r="Q1230" s="1">
        <v>102</v>
      </c>
    </row>
    <row r="1231" spans="1:17" ht="15.75" customHeight="1">
      <c r="A1231" s="1">
        <v>2023</v>
      </c>
      <c r="B1231" s="1">
        <v>21</v>
      </c>
      <c r="C1231" s="1" t="s">
        <v>116</v>
      </c>
      <c r="D1231" s="1">
        <v>6.7430000000000003</v>
      </c>
      <c r="E1231" s="1">
        <v>0.68300000000000005</v>
      </c>
      <c r="F1231" s="1">
        <v>33</v>
      </c>
      <c r="G1231" s="1">
        <v>22</v>
      </c>
      <c r="H1231" s="1">
        <v>29</v>
      </c>
      <c r="I1231" s="1">
        <v>23</v>
      </c>
      <c r="J1231" s="1">
        <v>10</v>
      </c>
      <c r="K1231" s="1">
        <v>41</v>
      </c>
      <c r="L1231" s="1">
        <v>59</v>
      </c>
      <c r="M1231" s="1">
        <v>95</v>
      </c>
      <c r="N1231" s="1">
        <v>59</v>
      </c>
      <c r="O1231" s="1">
        <v>41</v>
      </c>
      <c r="P1231" s="1">
        <v>50</v>
      </c>
      <c r="Q1231" s="1">
        <v>123</v>
      </c>
    </row>
    <row r="1232" spans="1:17" ht="15.75" customHeight="1">
      <c r="A1232" s="1">
        <v>2023</v>
      </c>
      <c r="B1232" s="1">
        <v>22</v>
      </c>
      <c r="C1232" s="1" t="s">
        <v>71</v>
      </c>
      <c r="D1232" s="1">
        <v>6.7329999999999997</v>
      </c>
      <c r="E1232" s="1" t="s">
        <v>699</v>
      </c>
      <c r="F1232" s="1">
        <v>47</v>
      </c>
      <c r="G1232" s="1">
        <v>92</v>
      </c>
      <c r="H1232" s="1">
        <v>9</v>
      </c>
      <c r="I1232" s="1">
        <v>30</v>
      </c>
      <c r="J1232" s="1">
        <v>32</v>
      </c>
      <c r="K1232" s="1">
        <v>18</v>
      </c>
      <c r="L1232" s="1">
        <v>77</v>
      </c>
      <c r="M1232" s="1">
        <v>82</v>
      </c>
      <c r="N1232" s="1">
        <v>18</v>
      </c>
      <c r="O1232" s="1">
        <v>19</v>
      </c>
      <c r="P1232" s="1">
        <v>54</v>
      </c>
      <c r="Q1232" s="1"/>
    </row>
    <row r="1233" spans="1:17" ht="15.75" customHeight="1">
      <c r="A1233" s="1">
        <v>2023</v>
      </c>
      <c r="B1233" s="1">
        <v>23</v>
      </c>
      <c r="C1233" s="1" t="s">
        <v>51</v>
      </c>
      <c r="D1233" s="1">
        <v>6.7249999999999996</v>
      </c>
      <c r="E1233" s="1" t="s">
        <v>700</v>
      </c>
      <c r="F1233" s="1">
        <v>60</v>
      </c>
      <c r="G1233" s="1">
        <v>53</v>
      </c>
      <c r="H1233" s="1">
        <v>6</v>
      </c>
      <c r="I1233" s="1">
        <v>56</v>
      </c>
      <c r="J1233" s="1">
        <v>110</v>
      </c>
      <c r="K1233" s="1">
        <v>14</v>
      </c>
      <c r="L1233" s="1">
        <v>50</v>
      </c>
      <c r="M1233" s="1">
        <v>55</v>
      </c>
      <c r="N1233" s="1">
        <v>70</v>
      </c>
      <c r="O1233" s="1">
        <v>14</v>
      </c>
      <c r="P1233" s="1">
        <v>15</v>
      </c>
      <c r="Q1233" s="1">
        <v>11</v>
      </c>
    </row>
    <row r="1234" spans="1:17" ht="15.75" customHeight="1">
      <c r="A1234" s="1">
        <v>2023</v>
      </c>
      <c r="B1234" s="1">
        <v>24</v>
      </c>
      <c r="C1234" s="1" t="s">
        <v>539</v>
      </c>
      <c r="D1234" s="1">
        <v>6.7190000000000003</v>
      </c>
      <c r="E1234" s="1">
        <v>4.7E-2</v>
      </c>
      <c r="F1234" s="1">
        <v>11</v>
      </c>
      <c r="G1234" s="1">
        <v>32</v>
      </c>
      <c r="H1234" s="1">
        <v>13</v>
      </c>
      <c r="I1234" s="1">
        <v>24</v>
      </c>
      <c r="J1234" s="1">
        <v>58</v>
      </c>
      <c r="K1234" s="1">
        <v>31</v>
      </c>
      <c r="L1234" s="1">
        <v>13</v>
      </c>
      <c r="M1234" s="1">
        <v>56</v>
      </c>
      <c r="N1234" s="1">
        <v>39</v>
      </c>
      <c r="O1234" s="1">
        <v>31</v>
      </c>
      <c r="P1234" s="1">
        <v>55</v>
      </c>
      <c r="Q1234" s="1">
        <v>94</v>
      </c>
    </row>
    <row r="1235" spans="1:17" ht="15.75" customHeight="1">
      <c r="A1235" s="1">
        <v>2023</v>
      </c>
      <c r="B1235" s="1">
        <v>25</v>
      </c>
      <c r="C1235" s="1" t="s">
        <v>61</v>
      </c>
      <c r="D1235" s="1">
        <v>6.6779999999999999</v>
      </c>
      <c r="E1235" s="1" t="s">
        <v>279</v>
      </c>
      <c r="F1235" s="1">
        <v>58</v>
      </c>
      <c r="G1235" s="1">
        <v>51</v>
      </c>
      <c r="H1235" s="1">
        <v>61</v>
      </c>
      <c r="I1235" s="1">
        <v>79</v>
      </c>
      <c r="J1235" s="1">
        <v>42</v>
      </c>
      <c r="K1235" s="1">
        <v>99</v>
      </c>
      <c r="L1235" s="1">
        <v>64</v>
      </c>
      <c r="M1235" s="1">
        <v>8</v>
      </c>
      <c r="N1235" s="1">
        <v>41</v>
      </c>
      <c r="O1235" s="1">
        <v>99</v>
      </c>
      <c r="P1235" s="1">
        <v>87</v>
      </c>
      <c r="Q1235" s="1">
        <v>68</v>
      </c>
    </row>
    <row r="1236" spans="1:17" ht="15.75" customHeight="1">
      <c r="A1236" s="1">
        <v>2023</v>
      </c>
      <c r="B1236" s="1">
        <v>26</v>
      </c>
      <c r="C1236" s="1" t="s">
        <v>73</v>
      </c>
      <c r="D1236" s="1">
        <v>6.6109999999999998</v>
      </c>
      <c r="E1236" s="1">
        <v>0.25600000000000001</v>
      </c>
      <c r="F1236" s="1">
        <v>51</v>
      </c>
      <c r="G1236" s="1">
        <v>25</v>
      </c>
      <c r="H1236" s="1">
        <v>50</v>
      </c>
      <c r="I1236" s="1">
        <v>45</v>
      </c>
      <c r="J1236" s="1">
        <v>22</v>
      </c>
      <c r="K1236" s="1">
        <v>72</v>
      </c>
      <c r="L1236" s="1">
        <v>35</v>
      </c>
      <c r="M1236" s="1">
        <v>24</v>
      </c>
      <c r="N1236" s="1">
        <v>64</v>
      </c>
      <c r="O1236" s="1">
        <v>72</v>
      </c>
      <c r="P1236" s="1">
        <v>93</v>
      </c>
      <c r="Q1236" s="1">
        <v>33</v>
      </c>
    </row>
    <row r="1237" spans="1:17" ht="15.75" customHeight="1">
      <c r="A1237" s="1">
        <v>2023</v>
      </c>
      <c r="B1237" s="1">
        <v>27</v>
      </c>
      <c r="C1237" s="1" t="s">
        <v>76</v>
      </c>
      <c r="D1237" s="1">
        <v>6.609</v>
      </c>
      <c r="E1237" s="1" t="s">
        <v>701</v>
      </c>
      <c r="F1237" s="1">
        <v>17</v>
      </c>
      <c r="G1237" s="1">
        <v>61</v>
      </c>
      <c r="H1237" s="1">
        <v>22</v>
      </c>
      <c r="I1237" s="1">
        <v>14</v>
      </c>
      <c r="J1237" s="1">
        <v>80</v>
      </c>
      <c r="K1237" s="1">
        <v>47</v>
      </c>
      <c r="L1237" s="1">
        <v>22</v>
      </c>
      <c r="M1237" s="1">
        <v>67</v>
      </c>
      <c r="N1237" s="1">
        <v>33</v>
      </c>
      <c r="O1237" s="1">
        <v>47</v>
      </c>
      <c r="P1237" s="1">
        <v>39</v>
      </c>
      <c r="Q1237" s="1">
        <v>138</v>
      </c>
    </row>
    <row r="1238" spans="1:17" ht="15.75" customHeight="1">
      <c r="A1238" s="1">
        <v>2023</v>
      </c>
      <c r="B1238" s="1">
        <v>28</v>
      </c>
      <c r="C1238" s="1" t="s">
        <v>79</v>
      </c>
      <c r="D1238" s="1">
        <v>6.5940000000000003</v>
      </c>
      <c r="E1238" s="1">
        <v>0.114</v>
      </c>
      <c r="F1238" s="1">
        <v>61</v>
      </c>
      <c r="G1238" s="1">
        <v>40</v>
      </c>
      <c r="H1238" s="1">
        <v>21</v>
      </c>
      <c r="I1238" s="1">
        <v>38</v>
      </c>
      <c r="J1238" s="1">
        <v>39</v>
      </c>
      <c r="K1238" s="1">
        <v>35</v>
      </c>
      <c r="L1238" s="1">
        <v>45</v>
      </c>
      <c r="M1238" s="1">
        <v>39</v>
      </c>
      <c r="N1238" s="1">
        <v>71</v>
      </c>
      <c r="O1238" s="1">
        <v>25</v>
      </c>
      <c r="Q1238" s="1"/>
    </row>
    <row r="1239" spans="1:17" ht="15.75" customHeight="1">
      <c r="A1239" s="1">
        <v>2023</v>
      </c>
      <c r="B1239" s="1">
        <v>29</v>
      </c>
      <c r="C1239" s="1" t="s">
        <v>135</v>
      </c>
      <c r="D1239" s="1">
        <v>6.5609999999999999</v>
      </c>
      <c r="E1239" s="1">
        <v>1.339</v>
      </c>
      <c r="F1239" s="1">
        <v>65</v>
      </c>
      <c r="G1239" s="1">
        <v>78</v>
      </c>
      <c r="H1239" s="1">
        <v>81</v>
      </c>
      <c r="I1239" s="1"/>
      <c r="J1239" s="1">
        <v>28</v>
      </c>
      <c r="K1239" s="1">
        <v>17</v>
      </c>
      <c r="L1239" s="1">
        <v>86</v>
      </c>
      <c r="M1239" s="1">
        <v>64</v>
      </c>
      <c r="N1239" s="1">
        <v>17</v>
      </c>
      <c r="O1239" s="1">
        <v>133</v>
      </c>
      <c r="P1239" s="1">
        <v>71</v>
      </c>
    </row>
    <row r="1240" spans="1:17" ht="15.75" customHeight="1">
      <c r="A1240" s="1">
        <v>2023</v>
      </c>
      <c r="B1240" s="1">
        <v>30</v>
      </c>
      <c r="C1240" s="1" t="s">
        <v>63</v>
      </c>
      <c r="D1240" s="1">
        <v>6.5229999999999997</v>
      </c>
      <c r="E1240" s="1" t="s">
        <v>292</v>
      </c>
      <c r="F1240" s="1">
        <v>9</v>
      </c>
      <c r="G1240" s="1">
        <v>17</v>
      </c>
      <c r="H1240" s="1">
        <v>2</v>
      </c>
      <c r="I1240" s="1">
        <v>1</v>
      </c>
      <c r="J1240" s="1">
        <v>48</v>
      </c>
      <c r="K1240" s="1">
        <v>5</v>
      </c>
      <c r="L1240" s="1">
        <v>1</v>
      </c>
      <c r="M1240" s="1">
        <v>72</v>
      </c>
      <c r="N1240" s="1">
        <v>17</v>
      </c>
      <c r="O1240" s="1">
        <v>5</v>
      </c>
      <c r="P1240" s="1">
        <v>12</v>
      </c>
      <c r="Q1240" s="1">
        <v>14</v>
      </c>
    </row>
    <row r="1241" spans="1:17" ht="15.75" customHeight="1">
      <c r="A1241" s="1">
        <v>2023</v>
      </c>
      <c r="B1241" s="1">
        <v>31</v>
      </c>
      <c r="C1241" s="1" t="s">
        <v>81</v>
      </c>
      <c r="D1241" s="1">
        <v>6.5030000000000001</v>
      </c>
      <c r="E1241" s="1">
        <v>0.28199999999999997</v>
      </c>
      <c r="F1241" s="1">
        <v>25</v>
      </c>
      <c r="G1241" s="1">
        <v>49</v>
      </c>
      <c r="H1241" s="1">
        <v>74</v>
      </c>
      <c r="I1241" s="1"/>
      <c r="J1241" s="1">
        <v>38</v>
      </c>
      <c r="K1241" s="1">
        <v>28</v>
      </c>
      <c r="L1241" s="1">
        <v>29</v>
      </c>
      <c r="M1241" s="1">
        <v>1</v>
      </c>
      <c r="N1241" s="1">
        <v>38</v>
      </c>
      <c r="O1241" s="1">
        <v>83</v>
      </c>
      <c r="P1241" s="1">
        <v>72</v>
      </c>
    </row>
    <row r="1242" spans="1:17" ht="15.75" customHeight="1">
      <c r="A1242" s="1">
        <v>2023</v>
      </c>
      <c r="B1242" s="1">
        <v>32</v>
      </c>
      <c r="C1242" s="1" t="s">
        <v>128</v>
      </c>
      <c r="D1242" s="1">
        <v>6.4909999999999997</v>
      </c>
      <c r="E1242" s="1">
        <v>1.458</v>
      </c>
      <c r="F1242" s="1">
        <v>67</v>
      </c>
      <c r="G1242" s="1">
        <v>72</v>
      </c>
      <c r="H1242" s="1">
        <v>39</v>
      </c>
      <c r="I1242" s="1">
        <v>58</v>
      </c>
      <c r="J1242" s="1">
        <v>52</v>
      </c>
      <c r="K1242" s="1">
        <v>114</v>
      </c>
      <c r="L1242" s="1">
        <v>127</v>
      </c>
      <c r="M1242" s="1">
        <v>90</v>
      </c>
      <c r="N1242" s="1">
        <v>66</v>
      </c>
      <c r="O1242" s="1">
        <v>114</v>
      </c>
      <c r="P1242" s="1">
        <v>139</v>
      </c>
      <c r="Q1242" s="1">
        <v>109</v>
      </c>
    </row>
    <row r="1243" spans="1:17" ht="15.75" customHeight="1">
      <c r="A1243" s="1">
        <v>2023</v>
      </c>
      <c r="B1243" s="1">
        <v>33</v>
      </c>
      <c r="C1243" s="1" t="s">
        <v>96</v>
      </c>
      <c r="D1243" s="1">
        <v>6.4690000000000003</v>
      </c>
      <c r="E1243" s="1">
        <v>0.66</v>
      </c>
      <c r="F1243" s="1">
        <v>118</v>
      </c>
      <c r="G1243" s="1">
        <v>96</v>
      </c>
      <c r="H1243" s="1">
        <v>88</v>
      </c>
      <c r="I1243" s="1">
        <v>73</v>
      </c>
      <c r="J1243" s="1">
        <v>6</v>
      </c>
      <c r="K1243" s="1">
        <v>110</v>
      </c>
      <c r="L1243" s="1">
        <v>18</v>
      </c>
      <c r="M1243" s="1">
        <v>6</v>
      </c>
      <c r="N1243" s="1">
        <v>89</v>
      </c>
      <c r="O1243" s="1">
        <v>110</v>
      </c>
      <c r="P1243" s="1">
        <v>49</v>
      </c>
      <c r="Q1243" s="1">
        <v>69</v>
      </c>
    </row>
    <row r="1244" spans="1:17" ht="15.75" customHeight="1">
      <c r="A1244" s="1">
        <v>2023</v>
      </c>
      <c r="B1244" s="1">
        <v>34</v>
      </c>
      <c r="C1244" s="1" t="s">
        <v>129</v>
      </c>
      <c r="D1244" s="1">
        <v>6.4480000000000004</v>
      </c>
      <c r="E1244" s="1">
        <v>1.022</v>
      </c>
      <c r="F1244" s="1">
        <v>14</v>
      </c>
      <c r="G1244" s="1">
        <v>2</v>
      </c>
      <c r="H1244" s="1">
        <v>36</v>
      </c>
      <c r="I1244" s="1">
        <v>32</v>
      </c>
      <c r="J1244" s="1">
        <v>17</v>
      </c>
      <c r="K1244" s="1">
        <v>45</v>
      </c>
      <c r="L1244" s="1">
        <v>8</v>
      </c>
      <c r="M1244" s="1">
        <v>16</v>
      </c>
      <c r="N1244" s="1">
        <v>11</v>
      </c>
      <c r="O1244" s="1">
        <v>45</v>
      </c>
      <c r="P1244" s="1">
        <v>88</v>
      </c>
      <c r="Q1244" s="1">
        <v>103</v>
      </c>
    </row>
    <row r="1245" spans="1:17" ht="15.75" customHeight="1">
      <c r="A1245" s="1">
        <v>2023</v>
      </c>
      <c r="B1245" s="12">
        <v>35</v>
      </c>
      <c r="C1245" s="8" t="s">
        <v>702</v>
      </c>
      <c r="D1245" s="5">
        <v>6.4420000000000002</v>
      </c>
      <c r="E1245" s="6">
        <v>0.62</v>
      </c>
      <c r="F1245" s="6">
        <v>5</v>
      </c>
      <c r="G1245" s="6">
        <v>34</v>
      </c>
      <c r="H1245" s="6">
        <v>35</v>
      </c>
      <c r="I1245" s="10">
        <v>40</v>
      </c>
      <c r="J1245" s="6">
        <v>81</v>
      </c>
      <c r="K1245" s="6">
        <v>127</v>
      </c>
      <c r="L1245" s="6">
        <v>36</v>
      </c>
      <c r="M1245" s="6">
        <v>111</v>
      </c>
      <c r="N1245" s="6">
        <v>5</v>
      </c>
      <c r="O1245" s="6">
        <v>127</v>
      </c>
      <c r="P1245" s="6">
        <v>135</v>
      </c>
      <c r="Q1245" s="6">
        <v>141</v>
      </c>
    </row>
    <row r="1246" spans="1:17" ht="15.75" customHeight="1">
      <c r="A1246" s="1">
        <v>2023</v>
      </c>
      <c r="B1246" s="12">
        <v>36</v>
      </c>
      <c r="C1246" s="8" t="s">
        <v>703</v>
      </c>
      <c r="D1246" s="5">
        <v>6.4210000000000003</v>
      </c>
      <c r="E1246" s="6">
        <v>9.9000000000000005E-2</v>
      </c>
      <c r="F1246" s="6">
        <v>22</v>
      </c>
      <c r="G1246" s="6">
        <v>20</v>
      </c>
      <c r="H1246" s="6">
        <v>31</v>
      </c>
      <c r="I1246" s="7">
        <v>8</v>
      </c>
      <c r="J1246" s="6">
        <v>77</v>
      </c>
      <c r="K1246" s="6">
        <v>57</v>
      </c>
      <c r="L1246" s="6">
        <v>39</v>
      </c>
      <c r="M1246" s="6">
        <v>78</v>
      </c>
      <c r="N1246" s="6">
        <v>93</v>
      </c>
      <c r="O1246" s="6">
        <v>57</v>
      </c>
      <c r="P1246" s="6">
        <v>91</v>
      </c>
      <c r="Q1246" s="6">
        <v>85</v>
      </c>
    </row>
    <row r="1247" spans="1:17" ht="15.75" customHeight="1">
      <c r="A1247" s="1">
        <v>2023</v>
      </c>
      <c r="B1247" s="1">
        <v>37</v>
      </c>
      <c r="C1247" s="1" t="s">
        <v>145</v>
      </c>
      <c r="D1247" s="1">
        <v>6.4109999999999996</v>
      </c>
      <c r="E1247" s="1">
        <v>1.5980000000000001</v>
      </c>
      <c r="F1247" s="1">
        <v>62</v>
      </c>
      <c r="G1247" s="1">
        <v>30</v>
      </c>
      <c r="H1247" s="1">
        <v>56</v>
      </c>
      <c r="I1247" s="1">
        <v>57</v>
      </c>
      <c r="J1247" s="1">
        <v>69</v>
      </c>
      <c r="K1247" s="1">
        <v>40</v>
      </c>
      <c r="L1247" s="1">
        <v>73</v>
      </c>
      <c r="M1247" s="1">
        <v>122</v>
      </c>
      <c r="N1247" s="1">
        <v>26</v>
      </c>
      <c r="O1247" s="1">
        <v>40</v>
      </c>
      <c r="P1247" s="1">
        <v>137</v>
      </c>
      <c r="Q1247" s="1">
        <v>132</v>
      </c>
    </row>
    <row r="1248" spans="1:17" ht="15.75" customHeight="1">
      <c r="A1248" s="1">
        <v>2023</v>
      </c>
      <c r="B1248" s="1">
        <v>38</v>
      </c>
      <c r="C1248" s="1" t="s">
        <v>66</v>
      </c>
      <c r="D1248" s="1">
        <v>6.36</v>
      </c>
      <c r="E1248" s="1" t="s">
        <v>317</v>
      </c>
      <c r="F1248" s="1">
        <v>43</v>
      </c>
      <c r="G1248" s="1">
        <v>47</v>
      </c>
      <c r="H1248" s="1">
        <v>51</v>
      </c>
      <c r="I1248" s="1">
        <v>28</v>
      </c>
      <c r="J1248" s="1">
        <v>68</v>
      </c>
      <c r="K1248" s="1">
        <v>66</v>
      </c>
      <c r="L1248" s="1">
        <v>99</v>
      </c>
      <c r="M1248" s="1">
        <v>12</v>
      </c>
      <c r="N1248" s="1">
        <v>63</v>
      </c>
      <c r="O1248" s="1">
        <v>66</v>
      </c>
      <c r="P1248" s="1">
        <v>102</v>
      </c>
      <c r="Q1248" s="1">
        <v>53</v>
      </c>
    </row>
    <row r="1249" spans="1:17" ht="15.75" customHeight="1">
      <c r="A1249" s="1">
        <v>2023</v>
      </c>
      <c r="B1249" s="1">
        <v>39</v>
      </c>
      <c r="C1249" s="1" t="s">
        <v>67</v>
      </c>
      <c r="D1249" s="1">
        <v>6.3579999999999997</v>
      </c>
      <c r="E1249" s="1" t="s">
        <v>704</v>
      </c>
      <c r="F1249" s="1">
        <v>112</v>
      </c>
      <c r="G1249" s="1">
        <v>37</v>
      </c>
      <c r="H1249" s="1">
        <v>45</v>
      </c>
      <c r="I1249" s="1">
        <v>33</v>
      </c>
      <c r="J1249" s="1">
        <v>50</v>
      </c>
      <c r="K1249" s="1">
        <v>95</v>
      </c>
      <c r="L1249" s="1">
        <v>115</v>
      </c>
      <c r="M1249" s="1">
        <v>3</v>
      </c>
      <c r="N1249" s="1">
        <v>61</v>
      </c>
      <c r="O1249" s="1">
        <v>95</v>
      </c>
      <c r="P1249" s="1">
        <v>48</v>
      </c>
      <c r="Q1249" s="1">
        <v>56</v>
      </c>
    </row>
    <row r="1250" spans="1:17" ht="15.75" customHeight="1">
      <c r="A1250" s="1">
        <v>2023</v>
      </c>
      <c r="B1250" s="1">
        <v>40</v>
      </c>
      <c r="C1250" s="1" t="s">
        <v>74</v>
      </c>
      <c r="D1250" s="1">
        <v>6.3460000000000001</v>
      </c>
      <c r="E1250" s="1">
        <v>0.38200000000000001</v>
      </c>
      <c r="F1250" s="1">
        <v>40</v>
      </c>
      <c r="G1250" s="1">
        <v>21</v>
      </c>
      <c r="H1250" s="1">
        <v>17</v>
      </c>
      <c r="I1250" s="1">
        <v>11</v>
      </c>
      <c r="J1250" s="1">
        <v>51</v>
      </c>
      <c r="K1250" s="1">
        <v>3</v>
      </c>
      <c r="L1250" s="1">
        <v>72</v>
      </c>
      <c r="M1250" s="1">
        <v>82</v>
      </c>
      <c r="N1250" s="1">
        <v>110</v>
      </c>
      <c r="O1250" s="1">
        <v>3</v>
      </c>
      <c r="P1250" s="1">
        <v>37</v>
      </c>
      <c r="Q1250" s="1">
        <v>97</v>
      </c>
    </row>
    <row r="1251" spans="1:17" ht="15.75" customHeight="1">
      <c r="A1251" s="1">
        <v>2023</v>
      </c>
      <c r="B1251" s="1">
        <v>41</v>
      </c>
      <c r="C1251" s="1" t="s">
        <v>100</v>
      </c>
      <c r="D1251" s="1">
        <v>6.3239999999999998</v>
      </c>
      <c r="E1251" s="1">
        <v>0.30299999999999999</v>
      </c>
      <c r="F1251" s="1">
        <v>63</v>
      </c>
      <c r="G1251" s="1">
        <v>60</v>
      </c>
      <c r="H1251" s="1">
        <v>24</v>
      </c>
      <c r="I1251" s="1">
        <v>13</v>
      </c>
      <c r="J1251" s="1">
        <v>117</v>
      </c>
      <c r="K1251" s="1">
        <v>63</v>
      </c>
      <c r="L1251" s="1">
        <v>91</v>
      </c>
      <c r="M1251" s="1">
        <v>87</v>
      </c>
      <c r="N1251" s="1">
        <v>75</v>
      </c>
      <c r="O1251" s="1">
        <v>63</v>
      </c>
      <c r="P1251" s="1">
        <v>94</v>
      </c>
      <c r="Q1251" s="1">
        <v>106</v>
      </c>
    </row>
    <row r="1252" spans="1:17" ht="15.75" customHeight="1">
      <c r="A1252" s="1">
        <v>2023</v>
      </c>
      <c r="B1252" s="1">
        <v>42</v>
      </c>
      <c r="C1252" s="1" t="s">
        <v>86</v>
      </c>
      <c r="D1252" s="1">
        <v>6.2869999999999999</v>
      </c>
      <c r="E1252" s="1">
        <v>0.32200000000000001</v>
      </c>
      <c r="F1252" s="1">
        <v>127</v>
      </c>
      <c r="G1252" s="1">
        <v>82</v>
      </c>
      <c r="H1252" s="1">
        <v>87</v>
      </c>
      <c r="I1252" s="1"/>
      <c r="J1252" s="1">
        <v>39</v>
      </c>
      <c r="K1252" s="1">
        <v>92</v>
      </c>
      <c r="L1252" s="1">
        <v>87</v>
      </c>
      <c r="M1252" s="1">
        <v>1</v>
      </c>
      <c r="N1252" s="1">
        <v>80</v>
      </c>
      <c r="O1252" s="1">
        <v>92</v>
      </c>
      <c r="P1252" s="1">
        <v>14</v>
      </c>
      <c r="Q1252" s="1">
        <v>35</v>
      </c>
    </row>
    <row r="1253" spans="1:17" ht="15.75" customHeight="1">
      <c r="A1253" s="1">
        <v>2023</v>
      </c>
      <c r="B1253" s="1">
        <v>43</v>
      </c>
      <c r="C1253" s="1" t="s">
        <v>98</v>
      </c>
      <c r="D1253" s="1">
        <v>6.2839999999999998</v>
      </c>
      <c r="E1253" s="1">
        <v>0.77700000000000002</v>
      </c>
      <c r="F1253" s="1">
        <v>133</v>
      </c>
      <c r="G1253" s="1">
        <v>67</v>
      </c>
      <c r="H1253" s="1">
        <v>100</v>
      </c>
      <c r="I1253" s="1">
        <v>50</v>
      </c>
      <c r="J1253" s="1">
        <v>19</v>
      </c>
      <c r="K1253" s="1">
        <v>89</v>
      </c>
      <c r="L1253" s="1">
        <v>21</v>
      </c>
      <c r="M1253" s="1">
        <v>13</v>
      </c>
      <c r="N1253" s="1">
        <v>99</v>
      </c>
      <c r="O1253" s="1">
        <v>89</v>
      </c>
      <c r="P1253" s="1">
        <v>46</v>
      </c>
      <c r="Q1253" s="1">
        <v>49</v>
      </c>
    </row>
    <row r="1254" spans="1:17" ht="15.75" customHeight="1">
      <c r="A1254" s="1">
        <v>2023</v>
      </c>
      <c r="B1254" s="1">
        <v>44</v>
      </c>
      <c r="C1254" s="1" t="s">
        <v>54</v>
      </c>
      <c r="D1254" s="1">
        <v>6.2720000000000002</v>
      </c>
      <c r="E1254" s="1" t="s">
        <v>695</v>
      </c>
      <c r="F1254" s="1">
        <v>93</v>
      </c>
      <c r="G1254" s="1">
        <v>56</v>
      </c>
      <c r="H1254" s="1">
        <v>66</v>
      </c>
      <c r="I1254" s="1">
        <v>75</v>
      </c>
      <c r="J1254" s="1">
        <v>43</v>
      </c>
      <c r="K1254" s="1">
        <v>78</v>
      </c>
      <c r="L1254" s="1">
        <v>52</v>
      </c>
      <c r="M1254" s="1">
        <v>60</v>
      </c>
      <c r="N1254" s="1">
        <v>86</v>
      </c>
      <c r="O1254" s="1">
        <v>78</v>
      </c>
      <c r="P1254" s="1">
        <v>81</v>
      </c>
      <c r="Q1254" s="1">
        <v>59</v>
      </c>
    </row>
    <row r="1255" spans="1:17" ht="15.75" customHeight="1">
      <c r="A1255" s="1">
        <v>2023</v>
      </c>
      <c r="B1255" s="1">
        <v>45</v>
      </c>
      <c r="C1255" s="1" t="s">
        <v>95</v>
      </c>
      <c r="D1255" s="1">
        <v>6.2569999999999997</v>
      </c>
      <c r="E1255" s="1">
        <v>0.28799999999999998</v>
      </c>
      <c r="F1255" s="1">
        <v>18</v>
      </c>
      <c r="G1255" s="1">
        <v>8</v>
      </c>
      <c r="H1255" s="1">
        <v>42</v>
      </c>
      <c r="I1255" s="1">
        <v>47</v>
      </c>
      <c r="J1255" s="1">
        <v>93</v>
      </c>
      <c r="K1255" s="1">
        <v>91</v>
      </c>
      <c r="L1255" s="1">
        <v>93</v>
      </c>
      <c r="M1255" s="1">
        <v>81</v>
      </c>
      <c r="N1255" s="1">
        <v>42</v>
      </c>
      <c r="O1255" s="1">
        <v>91</v>
      </c>
      <c r="P1255" s="1">
        <v>101</v>
      </c>
      <c r="Q1255" s="1">
        <v>134</v>
      </c>
    </row>
    <row r="1256" spans="1:17" ht="15.75" customHeight="1">
      <c r="A1256" s="1">
        <v>2023</v>
      </c>
      <c r="B1256" s="1">
        <v>46</v>
      </c>
      <c r="C1256" s="1" t="s">
        <v>123</v>
      </c>
      <c r="D1256" s="1">
        <v>6.234</v>
      </c>
      <c r="E1256" s="1">
        <v>1.1879999999999999</v>
      </c>
      <c r="F1256" s="1">
        <v>24</v>
      </c>
      <c r="G1256" s="1">
        <v>12</v>
      </c>
      <c r="H1256" s="1">
        <v>43</v>
      </c>
      <c r="I1256" s="1">
        <v>59</v>
      </c>
      <c r="J1256" s="1">
        <v>67</v>
      </c>
      <c r="K1256" s="1">
        <v>37</v>
      </c>
      <c r="L1256" s="1">
        <v>81</v>
      </c>
      <c r="M1256" s="1">
        <v>70</v>
      </c>
      <c r="N1256" s="1">
        <v>60</v>
      </c>
      <c r="O1256" s="1">
        <v>37</v>
      </c>
      <c r="P1256" s="1">
        <v>120</v>
      </c>
      <c r="Q1256" s="1">
        <v>108</v>
      </c>
    </row>
    <row r="1257" spans="1:17" ht="15.75" customHeight="1">
      <c r="A1257" s="1">
        <v>2023</v>
      </c>
      <c r="B1257" s="1">
        <v>47</v>
      </c>
      <c r="C1257" s="1" t="s">
        <v>99</v>
      </c>
      <c r="D1257" s="1">
        <v>6.1950000000000003</v>
      </c>
      <c r="E1257" s="1">
        <v>0.57199999999999995</v>
      </c>
      <c r="F1257" s="1">
        <v>83</v>
      </c>
      <c r="G1257" s="1">
        <v>23</v>
      </c>
      <c r="H1257" s="1">
        <v>92</v>
      </c>
      <c r="I1257" s="1">
        <v>65</v>
      </c>
      <c r="J1257" s="1">
        <v>11</v>
      </c>
      <c r="K1257" s="1">
        <v>29</v>
      </c>
      <c r="L1257" s="1">
        <v>30</v>
      </c>
      <c r="M1257" s="1">
        <v>26</v>
      </c>
      <c r="N1257" s="1">
        <v>25</v>
      </c>
      <c r="O1257" s="1">
        <v>29</v>
      </c>
      <c r="P1257" s="1">
        <v>98</v>
      </c>
      <c r="Q1257" s="1">
        <v>81</v>
      </c>
    </row>
    <row r="1258" spans="1:17" ht="15.75" customHeight="1">
      <c r="A1258" s="1">
        <v>2023</v>
      </c>
      <c r="B1258" s="1">
        <v>48</v>
      </c>
      <c r="C1258" s="1" t="s">
        <v>69</v>
      </c>
      <c r="D1258" s="1">
        <v>6.1879999999999997</v>
      </c>
      <c r="E1258" s="1" t="s">
        <v>540</v>
      </c>
      <c r="F1258" s="1">
        <v>80</v>
      </c>
      <c r="G1258" s="1">
        <v>33</v>
      </c>
      <c r="H1258" s="1">
        <v>53</v>
      </c>
      <c r="I1258" s="1">
        <v>49</v>
      </c>
      <c r="J1258" s="1">
        <v>61</v>
      </c>
      <c r="K1258" s="1">
        <v>98</v>
      </c>
      <c r="L1258" s="1">
        <v>104</v>
      </c>
      <c r="M1258" s="1">
        <v>43</v>
      </c>
      <c r="N1258" s="1">
        <v>79</v>
      </c>
      <c r="O1258" s="1">
        <v>98</v>
      </c>
      <c r="P1258" s="1">
        <v>78</v>
      </c>
      <c r="Q1258" s="1">
        <v>40</v>
      </c>
    </row>
    <row r="1259" spans="1:17" ht="15.75" customHeight="1">
      <c r="A1259" s="1">
        <v>2023</v>
      </c>
      <c r="B1259" s="1">
        <v>49</v>
      </c>
      <c r="C1259" s="1" t="s">
        <v>106</v>
      </c>
      <c r="D1259" s="1">
        <v>6.1879999999999997</v>
      </c>
      <c r="E1259" s="1">
        <v>0.51700000000000002</v>
      </c>
      <c r="F1259" s="1">
        <v>35</v>
      </c>
      <c r="G1259" s="1">
        <v>13</v>
      </c>
      <c r="H1259" s="1">
        <v>46</v>
      </c>
      <c r="I1259" s="1">
        <v>77</v>
      </c>
      <c r="J1259" s="1">
        <v>26</v>
      </c>
      <c r="K1259" s="1">
        <v>48</v>
      </c>
      <c r="L1259" s="1">
        <v>88</v>
      </c>
      <c r="M1259" s="1">
        <v>91</v>
      </c>
      <c r="N1259" s="1">
        <v>2</v>
      </c>
      <c r="O1259" s="1">
        <v>48</v>
      </c>
      <c r="P1259" s="1">
        <v>116</v>
      </c>
      <c r="Q1259" s="1">
        <v>135</v>
      </c>
    </row>
    <row r="1260" spans="1:17" ht="15.75" customHeight="1">
      <c r="A1260" s="1">
        <v>2023</v>
      </c>
      <c r="B1260" s="1">
        <v>50</v>
      </c>
      <c r="C1260" s="1" t="s">
        <v>124</v>
      </c>
      <c r="D1260" s="1">
        <v>6.0679999999999996</v>
      </c>
      <c r="E1260" s="1" t="s">
        <v>705</v>
      </c>
      <c r="F1260" s="1">
        <v>56</v>
      </c>
      <c r="G1260" s="1">
        <v>79</v>
      </c>
      <c r="H1260" s="1">
        <v>25</v>
      </c>
      <c r="I1260" s="1">
        <v>10</v>
      </c>
      <c r="J1260" s="1">
        <v>107</v>
      </c>
      <c r="K1260" s="1">
        <v>52</v>
      </c>
      <c r="L1260" s="1">
        <v>103</v>
      </c>
      <c r="M1260" s="1">
        <v>63</v>
      </c>
      <c r="N1260" s="1">
        <v>76</v>
      </c>
      <c r="O1260" s="1">
        <v>52</v>
      </c>
      <c r="P1260" s="1">
        <v>74</v>
      </c>
      <c r="Q1260" s="1">
        <v>63</v>
      </c>
    </row>
    <row r="1261" spans="1:17" ht="15.75" customHeight="1">
      <c r="A1261" s="1">
        <v>2023</v>
      </c>
      <c r="B1261" s="1">
        <v>51</v>
      </c>
      <c r="C1261" s="1" t="s">
        <v>104</v>
      </c>
      <c r="D1261" s="1">
        <v>6.06</v>
      </c>
      <c r="E1261" s="1" t="s">
        <v>445</v>
      </c>
      <c r="F1261" s="1">
        <v>41</v>
      </c>
      <c r="G1261" s="1">
        <v>64</v>
      </c>
      <c r="H1261" s="1">
        <v>34</v>
      </c>
      <c r="I1261" s="1">
        <v>2</v>
      </c>
      <c r="J1261" s="1">
        <v>78</v>
      </c>
      <c r="K1261" s="1">
        <v>118</v>
      </c>
      <c r="L1261" s="1">
        <v>24</v>
      </c>
      <c r="M1261" s="1">
        <v>86</v>
      </c>
      <c r="N1261" s="1">
        <v>9</v>
      </c>
      <c r="O1261" s="1">
        <v>118</v>
      </c>
      <c r="P1261" s="1">
        <v>95</v>
      </c>
      <c r="Q1261" s="1">
        <v>140</v>
      </c>
    </row>
    <row r="1262" spans="1:17" ht="15.75" customHeight="1">
      <c r="A1262" s="1">
        <v>2023</v>
      </c>
      <c r="B1262" s="1">
        <v>52</v>
      </c>
      <c r="C1262" s="1" t="s">
        <v>110</v>
      </c>
      <c r="D1262" s="1">
        <v>6.0579999999999998</v>
      </c>
      <c r="E1262" s="1" t="s">
        <v>706</v>
      </c>
      <c r="F1262" s="1">
        <v>49</v>
      </c>
      <c r="G1262" s="1">
        <v>80</v>
      </c>
      <c r="H1262" s="1">
        <v>26</v>
      </c>
      <c r="I1262" s="1">
        <v>3</v>
      </c>
      <c r="J1262" s="1">
        <v>85</v>
      </c>
      <c r="K1262" s="1">
        <v>53</v>
      </c>
      <c r="L1262" s="1">
        <v>49</v>
      </c>
      <c r="M1262" s="1">
        <v>100</v>
      </c>
      <c r="N1262" s="1">
        <v>49</v>
      </c>
      <c r="O1262" s="1">
        <v>53</v>
      </c>
      <c r="P1262" s="1">
        <v>84</v>
      </c>
      <c r="Q1262" s="1">
        <v>111</v>
      </c>
    </row>
    <row r="1263" spans="1:17" ht="15.75" customHeight="1">
      <c r="A1263" s="1">
        <v>2023</v>
      </c>
      <c r="B1263" s="1">
        <v>53</v>
      </c>
      <c r="C1263" s="1" t="s">
        <v>141</v>
      </c>
      <c r="D1263" s="1">
        <v>6.048</v>
      </c>
      <c r="E1263" s="1">
        <v>1.0629999999999999</v>
      </c>
      <c r="F1263" s="1">
        <v>110</v>
      </c>
      <c r="G1263" s="1">
        <v>83</v>
      </c>
      <c r="H1263" s="1">
        <v>93</v>
      </c>
      <c r="I1263" s="1">
        <v>93</v>
      </c>
      <c r="J1263" s="1">
        <v>9</v>
      </c>
      <c r="K1263" s="1">
        <v>90</v>
      </c>
      <c r="L1263" s="1">
        <v>68</v>
      </c>
      <c r="M1263" s="1">
        <v>10</v>
      </c>
      <c r="N1263" s="1">
        <v>91</v>
      </c>
      <c r="O1263" s="1">
        <v>90</v>
      </c>
      <c r="P1263" s="1">
        <v>5</v>
      </c>
      <c r="Q1263" s="1">
        <v>39</v>
      </c>
    </row>
    <row r="1264" spans="1:17" ht="15.75" customHeight="1">
      <c r="A1264" s="1">
        <v>2023</v>
      </c>
      <c r="B1264" s="12">
        <v>54</v>
      </c>
      <c r="C1264" s="8" t="s">
        <v>707</v>
      </c>
      <c r="D1264" s="5">
        <v>6.0430000000000001</v>
      </c>
      <c r="E1264" s="6">
        <v>0.51</v>
      </c>
      <c r="F1264" s="6">
        <v>36</v>
      </c>
      <c r="G1264" s="6">
        <v>62</v>
      </c>
      <c r="H1264" s="6">
        <v>82</v>
      </c>
      <c r="I1264" s="7">
        <v>41</v>
      </c>
      <c r="J1264" s="6">
        <v>3</v>
      </c>
      <c r="K1264" s="6">
        <v>130</v>
      </c>
      <c r="L1264" s="6">
        <v>34</v>
      </c>
      <c r="M1264" s="6">
        <v>50</v>
      </c>
      <c r="N1264" s="6">
        <v>3</v>
      </c>
      <c r="O1264" s="6">
        <v>130</v>
      </c>
      <c r="P1264" s="6">
        <v>106</v>
      </c>
      <c r="Q1264" s="6">
        <v>118</v>
      </c>
    </row>
    <row r="1265" spans="1:17" ht="15.75" customHeight="1">
      <c r="A1265" s="1">
        <v>2023</v>
      </c>
      <c r="B1265" s="12">
        <v>55</v>
      </c>
      <c r="C1265" s="8" t="s">
        <v>708</v>
      </c>
      <c r="D1265" s="5">
        <v>6.03</v>
      </c>
      <c r="E1265" s="6">
        <v>0.92900000000000005</v>
      </c>
      <c r="F1265" s="6">
        <v>57</v>
      </c>
      <c r="G1265" s="6">
        <v>31</v>
      </c>
      <c r="H1265" s="6">
        <v>37</v>
      </c>
      <c r="I1265" s="10">
        <v>22</v>
      </c>
      <c r="J1265" s="6">
        <v>57</v>
      </c>
      <c r="K1265" s="6">
        <v>102</v>
      </c>
      <c r="L1265" s="6">
        <v>121</v>
      </c>
      <c r="M1265" s="6">
        <v>74</v>
      </c>
      <c r="N1265" s="6">
        <v>84</v>
      </c>
      <c r="O1265" s="6">
        <v>102</v>
      </c>
      <c r="P1265" s="6">
        <v>113</v>
      </c>
      <c r="Q1265" s="6">
        <v>101</v>
      </c>
    </row>
    <row r="1266" spans="1:17" ht="15.75" customHeight="1">
      <c r="A1266" s="1">
        <v>2023</v>
      </c>
      <c r="B1266" s="1">
        <v>56</v>
      </c>
      <c r="C1266" s="1" t="s">
        <v>151</v>
      </c>
      <c r="D1266" s="1">
        <v>6.0170000000000003</v>
      </c>
      <c r="E1266" s="1">
        <v>1.242</v>
      </c>
      <c r="F1266" s="1">
        <v>53</v>
      </c>
      <c r="G1266" s="1">
        <v>3</v>
      </c>
      <c r="H1266" s="1">
        <v>40</v>
      </c>
      <c r="I1266" s="1">
        <v>48</v>
      </c>
      <c r="J1266" s="1">
        <v>89</v>
      </c>
      <c r="K1266" s="1">
        <v>59</v>
      </c>
      <c r="L1266" s="1">
        <v>105</v>
      </c>
      <c r="M1266" s="1">
        <v>68</v>
      </c>
      <c r="N1266" s="1">
        <v>15</v>
      </c>
      <c r="O1266" s="1">
        <v>59</v>
      </c>
      <c r="P1266" s="1">
        <v>104</v>
      </c>
      <c r="Q1266" s="1">
        <v>12</v>
      </c>
    </row>
    <row r="1267" spans="1:17" ht="15.75" customHeight="1">
      <c r="A1267" s="1">
        <v>2023</v>
      </c>
      <c r="B1267" s="1">
        <v>57</v>
      </c>
      <c r="C1267" s="1" t="s">
        <v>126</v>
      </c>
      <c r="D1267" s="1">
        <v>5.9770000000000003</v>
      </c>
      <c r="E1267" s="1">
        <v>0.19800000000000001</v>
      </c>
      <c r="F1267" s="1">
        <v>98</v>
      </c>
      <c r="G1267" s="1">
        <v>36</v>
      </c>
      <c r="H1267" s="1">
        <v>76</v>
      </c>
      <c r="I1267" s="1">
        <v>84</v>
      </c>
      <c r="J1267" s="1">
        <v>25</v>
      </c>
      <c r="K1267" s="1">
        <v>70</v>
      </c>
      <c r="L1267" s="1">
        <v>98</v>
      </c>
      <c r="M1267" s="1">
        <v>2</v>
      </c>
      <c r="N1267" s="1">
        <v>46</v>
      </c>
      <c r="O1267" s="1">
        <v>70</v>
      </c>
      <c r="P1267" s="1">
        <v>33</v>
      </c>
      <c r="Q1267" s="1">
        <v>50</v>
      </c>
    </row>
    <row r="1268" spans="1:17" ht="15.75" customHeight="1">
      <c r="A1268" s="1">
        <v>2023</v>
      </c>
      <c r="B1268" s="1">
        <v>58</v>
      </c>
      <c r="C1268" s="1" t="s">
        <v>78</v>
      </c>
      <c r="D1268" s="1">
        <v>5.976</v>
      </c>
      <c r="E1268" s="1" t="s">
        <v>489</v>
      </c>
      <c r="F1268" s="1">
        <v>68</v>
      </c>
      <c r="G1268" s="1">
        <v>48</v>
      </c>
      <c r="H1268" s="1">
        <v>63</v>
      </c>
      <c r="I1268" s="1">
        <v>37</v>
      </c>
      <c r="J1268" s="1">
        <v>13</v>
      </c>
      <c r="K1268" s="1">
        <v>7</v>
      </c>
      <c r="L1268" s="1">
        <v>122</v>
      </c>
      <c r="M1268" s="1">
        <v>7</v>
      </c>
      <c r="N1268" s="1">
        <v>31</v>
      </c>
      <c r="O1268" s="1">
        <v>7</v>
      </c>
      <c r="P1268" s="1">
        <v>70</v>
      </c>
      <c r="Q1268" s="1">
        <v>65</v>
      </c>
    </row>
    <row r="1269" spans="1:17" ht="15.75" customHeight="1">
      <c r="A1269" s="1">
        <v>2023</v>
      </c>
      <c r="B1269" s="1">
        <v>59</v>
      </c>
      <c r="C1269" s="1" t="s">
        <v>97</v>
      </c>
      <c r="D1269" s="1">
        <v>5.9749999999999996</v>
      </c>
      <c r="E1269" s="1">
        <v>0.215</v>
      </c>
      <c r="F1269" s="1">
        <v>44</v>
      </c>
      <c r="G1269" s="1">
        <v>91</v>
      </c>
      <c r="H1269" s="1">
        <v>49</v>
      </c>
      <c r="I1269" s="1">
        <v>55</v>
      </c>
      <c r="J1269" s="1">
        <v>1</v>
      </c>
      <c r="K1269" s="1">
        <v>30</v>
      </c>
      <c r="L1269" s="1">
        <v>61</v>
      </c>
      <c r="M1269" s="1">
        <v>18</v>
      </c>
      <c r="N1269" s="1">
        <v>21</v>
      </c>
      <c r="O1269" s="1">
        <v>30</v>
      </c>
      <c r="P1269" s="1">
        <v>20</v>
      </c>
      <c r="Q1269" s="1">
        <v>76</v>
      </c>
    </row>
    <row r="1270" spans="1:17" ht="15.75" customHeight="1">
      <c r="A1270" s="1">
        <v>2023</v>
      </c>
      <c r="B1270" s="1">
        <v>60</v>
      </c>
      <c r="C1270" s="1" t="s">
        <v>142</v>
      </c>
      <c r="D1270" s="1">
        <v>5.9729999999999999</v>
      </c>
      <c r="E1270" s="1">
        <v>0.995</v>
      </c>
      <c r="F1270" s="1">
        <v>32</v>
      </c>
      <c r="G1270" s="1">
        <v>81</v>
      </c>
      <c r="H1270" s="1">
        <v>60</v>
      </c>
      <c r="I1270" s="1">
        <v>26</v>
      </c>
      <c r="J1270" s="1">
        <v>75</v>
      </c>
      <c r="K1270" s="1">
        <v>73</v>
      </c>
      <c r="L1270" s="1">
        <v>54</v>
      </c>
      <c r="M1270" s="1">
        <v>30</v>
      </c>
      <c r="N1270" s="1">
        <v>73</v>
      </c>
      <c r="O1270" s="1">
        <v>60</v>
      </c>
      <c r="P1270" s="1">
        <v>105</v>
      </c>
      <c r="Q1270" s="1"/>
    </row>
    <row r="1271" spans="1:17" ht="15.75" customHeight="1">
      <c r="A1271" s="1">
        <v>2023</v>
      </c>
      <c r="B1271" s="1">
        <v>61</v>
      </c>
      <c r="C1271" s="1" t="s">
        <v>167</v>
      </c>
      <c r="D1271" s="1">
        <v>5.968</v>
      </c>
      <c r="E1271" s="1">
        <v>0.82599999999999996</v>
      </c>
      <c r="F1271" s="1">
        <v>135</v>
      </c>
      <c r="G1271" s="1">
        <v>100</v>
      </c>
      <c r="H1271" s="1">
        <v>104</v>
      </c>
      <c r="I1271" s="1">
        <v>90</v>
      </c>
      <c r="J1271" s="1">
        <v>33</v>
      </c>
      <c r="K1271" s="1">
        <v>67</v>
      </c>
      <c r="L1271" s="1">
        <v>75</v>
      </c>
      <c r="M1271" s="1">
        <v>14</v>
      </c>
      <c r="N1271" s="1">
        <v>71</v>
      </c>
      <c r="O1271" s="1">
        <v>67</v>
      </c>
      <c r="P1271" s="1">
        <v>30</v>
      </c>
      <c r="Q1271" s="1">
        <v>36</v>
      </c>
    </row>
    <row r="1272" spans="1:17" ht="15.75" customHeight="1">
      <c r="A1272" s="1">
        <v>2023</v>
      </c>
      <c r="B1272" s="1">
        <v>62</v>
      </c>
      <c r="C1272" s="1" t="s">
        <v>90</v>
      </c>
      <c r="D1272" s="1">
        <v>5.9589999999999996</v>
      </c>
      <c r="E1272" s="1">
        <v>0.64700000000000002</v>
      </c>
      <c r="F1272" s="1">
        <v>105</v>
      </c>
      <c r="G1272" s="1">
        <v>76</v>
      </c>
      <c r="H1272" s="1">
        <v>18</v>
      </c>
      <c r="I1272" s="1"/>
      <c r="J1272" s="1">
        <v>44</v>
      </c>
      <c r="K1272" s="1">
        <v>22</v>
      </c>
      <c r="L1272" s="1">
        <v>69</v>
      </c>
      <c r="M1272" s="1">
        <v>97</v>
      </c>
      <c r="N1272" s="1">
        <v>22</v>
      </c>
      <c r="O1272" s="1">
        <v>56</v>
      </c>
      <c r="P1272" s="1">
        <v>22</v>
      </c>
      <c r="Q1272" s="1"/>
    </row>
    <row r="1273" spans="1:17" ht="15.75" customHeight="1">
      <c r="A1273" s="1">
        <v>2023</v>
      </c>
      <c r="B1273" s="1">
        <v>63</v>
      </c>
      <c r="C1273" s="1" t="s">
        <v>131</v>
      </c>
      <c r="D1273" s="1">
        <v>5.9420000000000002</v>
      </c>
      <c r="E1273" s="1">
        <v>0.28100000000000003</v>
      </c>
      <c r="F1273" s="1">
        <v>30</v>
      </c>
      <c r="G1273" s="1">
        <v>24</v>
      </c>
      <c r="H1273" s="1">
        <v>38</v>
      </c>
      <c r="I1273" s="1">
        <v>31</v>
      </c>
      <c r="J1273" s="1">
        <v>131</v>
      </c>
      <c r="K1273" s="1">
        <v>115</v>
      </c>
      <c r="L1273" s="1">
        <v>85</v>
      </c>
      <c r="M1273" s="1">
        <v>97</v>
      </c>
      <c r="N1273" s="1">
        <v>37</v>
      </c>
      <c r="O1273" s="1">
        <v>115</v>
      </c>
      <c r="P1273" s="1">
        <v>122</v>
      </c>
      <c r="Q1273" s="1">
        <v>136</v>
      </c>
    </row>
    <row r="1274" spans="1:17" ht="15.75" customHeight="1">
      <c r="A1274" s="1">
        <v>2023</v>
      </c>
      <c r="B1274" s="1">
        <v>64</v>
      </c>
      <c r="C1274" s="1" t="s">
        <v>160</v>
      </c>
      <c r="D1274" s="1">
        <v>5.9340000000000002</v>
      </c>
      <c r="E1274" s="1">
        <v>0.499</v>
      </c>
      <c r="F1274" s="1">
        <v>34</v>
      </c>
      <c r="G1274" s="1">
        <v>75</v>
      </c>
      <c r="H1274" s="1">
        <v>44</v>
      </c>
      <c r="I1274" s="1">
        <v>27</v>
      </c>
      <c r="J1274" s="1">
        <v>128</v>
      </c>
      <c r="K1274" s="1">
        <v>128</v>
      </c>
      <c r="L1274" s="1">
        <v>83</v>
      </c>
      <c r="M1274" s="1">
        <v>99</v>
      </c>
      <c r="N1274" s="1">
        <v>85</v>
      </c>
      <c r="O1274" s="1">
        <v>128</v>
      </c>
      <c r="P1274" s="1">
        <v>89</v>
      </c>
      <c r="Q1274" s="1">
        <v>75</v>
      </c>
    </row>
    <row r="1275" spans="1:17" ht="15.75" customHeight="1">
      <c r="A1275" s="1">
        <v>2023</v>
      </c>
      <c r="B1275" s="1">
        <v>65</v>
      </c>
      <c r="C1275" s="1" t="s">
        <v>146</v>
      </c>
      <c r="D1275" s="1">
        <v>5.8769999999999998</v>
      </c>
      <c r="E1275" s="1">
        <v>1.0640000000000001</v>
      </c>
      <c r="F1275" s="1">
        <v>71</v>
      </c>
      <c r="G1275" s="1">
        <v>44</v>
      </c>
      <c r="H1275" s="1">
        <v>64</v>
      </c>
      <c r="I1275" s="1">
        <v>46</v>
      </c>
      <c r="J1275" s="1">
        <v>55</v>
      </c>
      <c r="K1275" s="1">
        <v>21</v>
      </c>
      <c r="L1275" s="1">
        <v>133</v>
      </c>
      <c r="M1275" s="1">
        <v>107</v>
      </c>
      <c r="N1275" s="1">
        <v>53</v>
      </c>
      <c r="O1275" s="1">
        <v>21</v>
      </c>
      <c r="P1275" s="1">
        <v>118</v>
      </c>
      <c r="Q1275" s="1">
        <v>92</v>
      </c>
    </row>
    <row r="1276" spans="1:17" ht="15.75" customHeight="1">
      <c r="A1276" s="1">
        <v>2023</v>
      </c>
      <c r="B1276" s="1">
        <v>66</v>
      </c>
      <c r="C1276" s="1" t="s">
        <v>122</v>
      </c>
      <c r="D1276" s="1">
        <v>5.8659999999999997</v>
      </c>
      <c r="E1276" s="1">
        <v>0.52600000000000002</v>
      </c>
      <c r="F1276" s="1">
        <v>81</v>
      </c>
      <c r="G1276" s="1">
        <v>94</v>
      </c>
      <c r="H1276" s="1">
        <v>86</v>
      </c>
      <c r="I1276" s="1"/>
      <c r="J1276" s="1">
        <v>86</v>
      </c>
      <c r="K1276" s="1">
        <v>64</v>
      </c>
      <c r="L1276" s="1">
        <v>29</v>
      </c>
      <c r="M1276" s="1">
        <v>104</v>
      </c>
      <c r="N1276" s="1">
        <v>114</v>
      </c>
      <c r="O1276" s="1">
        <v>64</v>
      </c>
      <c r="P1276" s="1">
        <v>62</v>
      </c>
      <c r="Q1276" s="1">
        <v>18</v>
      </c>
    </row>
    <row r="1277" spans="1:17" ht="15.75" customHeight="1">
      <c r="A1277" s="1">
        <v>2023</v>
      </c>
      <c r="B1277" s="1">
        <v>67</v>
      </c>
      <c r="C1277" s="1" t="s">
        <v>130</v>
      </c>
      <c r="D1277" s="1">
        <v>5.8419999999999996</v>
      </c>
      <c r="E1277" s="1">
        <v>0.46800000000000003</v>
      </c>
      <c r="F1277" s="1"/>
      <c r="G1277" s="1"/>
      <c r="H1277" s="1"/>
      <c r="I1277" s="1">
        <v>76</v>
      </c>
      <c r="J1277" s="1"/>
      <c r="K1277" s="1"/>
      <c r="L1277" s="1"/>
      <c r="M1277" s="1"/>
      <c r="N1277" s="1"/>
      <c r="Q1277" s="1"/>
    </row>
    <row r="1278" spans="1:17" ht="15.75" customHeight="1">
      <c r="A1278" s="1">
        <v>2023</v>
      </c>
      <c r="B1278" s="1">
        <v>68</v>
      </c>
      <c r="C1278" s="1" t="s">
        <v>118</v>
      </c>
      <c r="D1278" s="1">
        <v>5.8410000000000002</v>
      </c>
      <c r="E1278" s="1">
        <v>6.5000000000000002E-2</v>
      </c>
      <c r="F1278" s="1">
        <v>95</v>
      </c>
      <c r="G1278" s="1">
        <v>85</v>
      </c>
      <c r="H1278" s="1">
        <v>77</v>
      </c>
      <c r="I1278" s="1">
        <v>69</v>
      </c>
      <c r="J1278" s="1">
        <v>87</v>
      </c>
      <c r="K1278" s="1">
        <v>88</v>
      </c>
      <c r="L1278" s="1">
        <v>130</v>
      </c>
      <c r="M1278" s="1">
        <v>15</v>
      </c>
      <c r="N1278" s="1">
        <v>113</v>
      </c>
      <c r="O1278" s="1">
        <v>88</v>
      </c>
      <c r="P1278" s="1">
        <v>64</v>
      </c>
      <c r="Q1278" s="1">
        <v>38</v>
      </c>
    </row>
    <row r="1279" spans="1:17" ht="15.75" customHeight="1">
      <c r="A1279" s="1">
        <v>2023</v>
      </c>
      <c r="B1279" s="1">
        <v>69</v>
      </c>
      <c r="C1279" s="1" t="s">
        <v>149</v>
      </c>
      <c r="D1279" s="1">
        <v>5.8230000000000004</v>
      </c>
      <c r="E1279" s="1">
        <v>0.86</v>
      </c>
      <c r="F1279" s="1">
        <v>137</v>
      </c>
      <c r="G1279" s="1">
        <v>54</v>
      </c>
      <c r="H1279" s="1">
        <v>58</v>
      </c>
      <c r="I1279" s="1">
        <v>63</v>
      </c>
      <c r="J1279" s="1">
        <v>46</v>
      </c>
      <c r="K1279" s="1">
        <v>94</v>
      </c>
      <c r="L1279" s="1">
        <v>37</v>
      </c>
      <c r="M1279" s="1">
        <v>37</v>
      </c>
      <c r="N1279" s="1">
        <v>58</v>
      </c>
      <c r="O1279" s="1">
        <v>94</v>
      </c>
      <c r="P1279" s="1">
        <v>22</v>
      </c>
      <c r="Q1279" s="1">
        <v>21</v>
      </c>
    </row>
    <row r="1280" spans="1:17" ht="15.75" customHeight="1">
      <c r="A1280" s="1">
        <v>2023</v>
      </c>
      <c r="B1280" s="1">
        <v>70</v>
      </c>
      <c r="C1280" s="1" t="s">
        <v>121</v>
      </c>
      <c r="D1280" s="1">
        <v>5.8159999999999998</v>
      </c>
      <c r="E1280" s="1">
        <v>0.33900000000000002</v>
      </c>
      <c r="F1280" s="1">
        <v>69</v>
      </c>
      <c r="G1280" s="1">
        <v>52</v>
      </c>
      <c r="H1280" s="1">
        <v>54</v>
      </c>
      <c r="I1280" s="1">
        <v>61</v>
      </c>
      <c r="J1280" s="1">
        <v>73</v>
      </c>
      <c r="K1280" s="1">
        <v>62</v>
      </c>
      <c r="L1280" s="1">
        <v>69</v>
      </c>
      <c r="M1280" s="1">
        <v>73</v>
      </c>
      <c r="N1280" s="1">
        <v>6</v>
      </c>
      <c r="O1280" s="1">
        <v>62</v>
      </c>
      <c r="P1280" s="1">
        <v>29</v>
      </c>
      <c r="Q1280" s="1">
        <v>107</v>
      </c>
    </row>
    <row r="1281" spans="1:17" ht="15.75" customHeight="1">
      <c r="A1281" s="1">
        <v>2023</v>
      </c>
      <c r="B1281" s="1">
        <v>71</v>
      </c>
      <c r="C1281" s="1" t="s">
        <v>285</v>
      </c>
      <c r="D1281" s="1">
        <v>5.8159999999999998</v>
      </c>
      <c r="E1281" s="1">
        <v>2.5000000000000001E-2</v>
      </c>
      <c r="F1281" s="1">
        <v>64</v>
      </c>
      <c r="G1281" s="1">
        <v>63</v>
      </c>
      <c r="H1281" s="1">
        <v>75</v>
      </c>
      <c r="I1281" s="1">
        <v>81</v>
      </c>
      <c r="J1281" s="1">
        <v>59</v>
      </c>
      <c r="K1281" s="1">
        <v>126</v>
      </c>
      <c r="L1281" s="1">
        <v>110</v>
      </c>
      <c r="M1281" s="1">
        <v>108</v>
      </c>
      <c r="N1281" s="1">
        <v>54</v>
      </c>
      <c r="O1281" s="1">
        <v>126</v>
      </c>
      <c r="P1281" s="1">
        <v>119</v>
      </c>
      <c r="Q1281" s="1">
        <v>90</v>
      </c>
    </row>
    <row r="1282" spans="1:17" ht="15.75" customHeight="1">
      <c r="A1282" s="1">
        <v>2023</v>
      </c>
      <c r="B1282" s="1">
        <v>72</v>
      </c>
      <c r="C1282" s="1" t="s">
        <v>108</v>
      </c>
      <c r="D1282" s="1">
        <v>5.7850000000000001</v>
      </c>
      <c r="E1282" s="1">
        <v>0.32100000000000001</v>
      </c>
      <c r="F1282" s="1">
        <v>84</v>
      </c>
      <c r="G1282" s="1">
        <v>57</v>
      </c>
      <c r="H1282" s="1">
        <v>41</v>
      </c>
      <c r="I1282" s="1">
        <v>83</v>
      </c>
      <c r="J1282" s="1">
        <v>95</v>
      </c>
      <c r="K1282" s="1">
        <v>44</v>
      </c>
      <c r="L1282" s="1">
        <v>53</v>
      </c>
      <c r="M1282" s="1">
        <v>94</v>
      </c>
      <c r="N1282" s="1">
        <v>16</v>
      </c>
      <c r="O1282" s="1">
        <v>44</v>
      </c>
      <c r="P1282" s="1">
        <v>73</v>
      </c>
      <c r="Q1282" s="1">
        <v>23</v>
      </c>
    </row>
    <row r="1283" spans="1:17" ht="15.75" customHeight="1">
      <c r="A1283" s="1">
        <v>2023</v>
      </c>
      <c r="B1283" s="1">
        <v>73</v>
      </c>
      <c r="C1283" s="1" t="s">
        <v>112</v>
      </c>
      <c r="D1283" s="1">
        <v>5.7839999999999998</v>
      </c>
      <c r="E1283" s="1" t="s">
        <v>39</v>
      </c>
      <c r="F1283" s="1">
        <v>77</v>
      </c>
      <c r="G1283" s="1">
        <v>86</v>
      </c>
      <c r="H1283" s="1">
        <v>94</v>
      </c>
      <c r="I1283" s="1">
        <v>98</v>
      </c>
      <c r="J1283" s="1">
        <v>62</v>
      </c>
      <c r="K1283" s="1">
        <v>97</v>
      </c>
      <c r="L1283" s="1">
        <v>119</v>
      </c>
      <c r="M1283" s="1">
        <v>25</v>
      </c>
      <c r="N1283" s="1">
        <v>122</v>
      </c>
      <c r="O1283" s="1">
        <v>97</v>
      </c>
      <c r="P1283" s="1">
        <v>40</v>
      </c>
      <c r="Q1283" s="1">
        <v>42</v>
      </c>
    </row>
    <row r="1284" spans="1:17" ht="15.75" customHeight="1">
      <c r="A1284" s="1">
        <v>2023</v>
      </c>
      <c r="B1284" s="12">
        <v>74</v>
      </c>
      <c r="C1284" s="8" t="s">
        <v>709</v>
      </c>
      <c r="D1284" s="5">
        <v>5.7249999999999996</v>
      </c>
      <c r="E1284" s="9" t="s">
        <v>710</v>
      </c>
      <c r="F1284" s="6">
        <v>113</v>
      </c>
      <c r="G1284" s="6">
        <v>87</v>
      </c>
      <c r="H1284" s="6">
        <v>78</v>
      </c>
      <c r="I1284" s="7">
        <v>51</v>
      </c>
      <c r="J1284" s="6">
        <v>106</v>
      </c>
      <c r="K1284" s="6">
        <v>108</v>
      </c>
      <c r="L1284" s="6">
        <v>102</v>
      </c>
      <c r="M1284" s="6">
        <v>17</v>
      </c>
      <c r="N1284" s="6">
        <v>108</v>
      </c>
      <c r="O1284" s="6">
        <v>108</v>
      </c>
      <c r="P1284" s="6">
        <v>90</v>
      </c>
      <c r="Q1284" s="6">
        <v>82</v>
      </c>
    </row>
    <row r="1285" spans="1:17" ht="15.75" customHeight="1">
      <c r="A1285" s="1">
        <v>2023</v>
      </c>
      <c r="B1285" s="1">
        <v>75</v>
      </c>
      <c r="C1285" s="1" t="s">
        <v>144</v>
      </c>
      <c r="D1285" s="1">
        <v>5.7140000000000004</v>
      </c>
      <c r="E1285" s="1">
        <v>0.67200000000000004</v>
      </c>
      <c r="F1285" s="1">
        <v>31</v>
      </c>
      <c r="G1285" s="1">
        <v>7</v>
      </c>
      <c r="H1285" s="1">
        <v>105</v>
      </c>
      <c r="I1285" s="1">
        <v>64</v>
      </c>
      <c r="J1285" s="1">
        <v>5</v>
      </c>
      <c r="K1285" s="1">
        <v>56</v>
      </c>
      <c r="L1285" s="1">
        <v>126</v>
      </c>
      <c r="M1285" s="1">
        <v>65</v>
      </c>
      <c r="N1285" s="1">
        <v>7</v>
      </c>
      <c r="O1285" s="1">
        <v>56</v>
      </c>
      <c r="P1285" s="1">
        <v>79</v>
      </c>
      <c r="Q1285" s="1">
        <v>58</v>
      </c>
    </row>
    <row r="1286" spans="1:17" ht="15.75" customHeight="1">
      <c r="A1286" s="1">
        <v>2023</v>
      </c>
      <c r="B1286" s="1">
        <v>76</v>
      </c>
      <c r="C1286" s="1" t="s">
        <v>147</v>
      </c>
      <c r="D1286" s="1">
        <v>5.7069999999999999</v>
      </c>
      <c r="E1286" s="1">
        <v>0.40799999999999997</v>
      </c>
      <c r="F1286" s="1">
        <v>39</v>
      </c>
      <c r="G1286" s="1">
        <v>58</v>
      </c>
      <c r="H1286" s="1">
        <v>52</v>
      </c>
      <c r="I1286" s="1"/>
      <c r="J1286" s="1">
        <v>70</v>
      </c>
      <c r="K1286" s="1">
        <v>79</v>
      </c>
      <c r="L1286" s="1">
        <v>47</v>
      </c>
      <c r="M1286" s="1">
        <v>133</v>
      </c>
      <c r="N1286" s="1">
        <v>88</v>
      </c>
      <c r="O1286" s="1">
        <v>79</v>
      </c>
      <c r="P1286" s="1">
        <v>130</v>
      </c>
      <c r="Q1286" s="1">
        <v>121</v>
      </c>
    </row>
    <row r="1287" spans="1:17" ht="15.75" customHeight="1">
      <c r="A1287" s="1">
        <v>2023</v>
      </c>
      <c r="B1287" s="1">
        <v>77</v>
      </c>
      <c r="C1287" s="1" t="s">
        <v>163</v>
      </c>
      <c r="D1287" s="1">
        <v>5.6959999999999997</v>
      </c>
      <c r="E1287" s="1">
        <v>0.86199999999999999</v>
      </c>
      <c r="F1287" s="1">
        <v>48</v>
      </c>
      <c r="G1287" s="1">
        <v>9</v>
      </c>
      <c r="H1287" s="1">
        <v>72</v>
      </c>
      <c r="I1287" s="1">
        <v>80</v>
      </c>
      <c r="J1287" s="1">
        <v>116</v>
      </c>
      <c r="K1287" s="1">
        <v>28</v>
      </c>
      <c r="L1287" s="1">
        <v>116</v>
      </c>
      <c r="M1287" s="1">
        <v>115</v>
      </c>
      <c r="N1287" s="1">
        <v>22</v>
      </c>
      <c r="O1287" s="1">
        <v>28</v>
      </c>
      <c r="P1287" s="1">
        <v>16</v>
      </c>
      <c r="Q1287" s="1">
        <v>119</v>
      </c>
    </row>
    <row r="1288" spans="1:17" ht="15.75" customHeight="1">
      <c r="A1288" s="1">
        <v>2023</v>
      </c>
      <c r="B1288" s="1">
        <v>78</v>
      </c>
      <c r="C1288" s="1" t="s">
        <v>75</v>
      </c>
      <c r="D1288" s="1">
        <v>5.6950000000000003</v>
      </c>
      <c r="E1288" s="1" t="s">
        <v>711</v>
      </c>
      <c r="F1288" s="1">
        <v>116</v>
      </c>
      <c r="G1288" s="1">
        <v>68</v>
      </c>
      <c r="H1288" s="1">
        <v>69</v>
      </c>
      <c r="I1288" s="1">
        <v>44</v>
      </c>
      <c r="J1288" s="1">
        <v>64</v>
      </c>
      <c r="K1288" s="1">
        <v>112</v>
      </c>
      <c r="L1288" s="1">
        <v>114</v>
      </c>
      <c r="M1288" s="1">
        <v>23</v>
      </c>
      <c r="N1288" s="1">
        <v>72</v>
      </c>
      <c r="O1288" s="1">
        <v>112</v>
      </c>
      <c r="P1288" s="1">
        <v>80</v>
      </c>
      <c r="Q1288" s="1">
        <v>44</v>
      </c>
    </row>
    <row r="1289" spans="1:17" ht="15.75" customHeight="1">
      <c r="A1289" s="1">
        <v>2023</v>
      </c>
      <c r="B1289" s="1">
        <v>79</v>
      </c>
      <c r="C1289" s="1" t="s">
        <v>93</v>
      </c>
      <c r="D1289" s="1">
        <v>5.6070000000000002</v>
      </c>
      <c r="E1289" s="1" t="s">
        <v>712</v>
      </c>
      <c r="F1289" s="1">
        <v>117</v>
      </c>
      <c r="G1289" s="1">
        <v>39</v>
      </c>
      <c r="H1289" s="1">
        <v>88</v>
      </c>
      <c r="I1289" s="1">
        <v>74</v>
      </c>
      <c r="J1289" s="1">
        <v>109</v>
      </c>
      <c r="K1289" s="1">
        <v>94</v>
      </c>
      <c r="L1289" s="1">
        <v>19</v>
      </c>
      <c r="M1289" s="1">
        <v>78</v>
      </c>
      <c r="N1289" s="1">
        <v>109</v>
      </c>
      <c r="O1289" s="1">
        <v>38</v>
      </c>
      <c r="P1289" s="1">
        <v>16</v>
      </c>
    </row>
    <row r="1290" spans="1:17" ht="15.75" customHeight="1">
      <c r="A1290" s="1">
        <v>2023</v>
      </c>
      <c r="B1290" s="1">
        <v>80</v>
      </c>
      <c r="C1290" s="1" t="s">
        <v>137</v>
      </c>
      <c r="D1290" s="1">
        <v>5.5679999999999996</v>
      </c>
      <c r="E1290" s="1">
        <v>0.22</v>
      </c>
      <c r="F1290" s="1">
        <v>101</v>
      </c>
      <c r="G1290" s="1">
        <v>89</v>
      </c>
      <c r="H1290" s="1">
        <v>79</v>
      </c>
      <c r="I1290" s="1">
        <v>85</v>
      </c>
      <c r="J1290" s="1">
        <v>27</v>
      </c>
      <c r="K1290" s="1">
        <v>1</v>
      </c>
      <c r="L1290" s="1">
        <v>112</v>
      </c>
      <c r="M1290" s="1">
        <v>5</v>
      </c>
      <c r="N1290" s="1">
        <v>73</v>
      </c>
      <c r="O1290" s="1">
        <v>1</v>
      </c>
      <c r="P1290" s="1">
        <v>1</v>
      </c>
      <c r="Q1290" s="1">
        <v>48</v>
      </c>
    </row>
    <row r="1291" spans="1:17" ht="15.75" customHeight="1">
      <c r="A1291" s="1">
        <v>2023</v>
      </c>
      <c r="B1291" s="1">
        <v>81</v>
      </c>
      <c r="C1291" s="1" t="s">
        <v>205</v>
      </c>
      <c r="D1291" s="1">
        <v>5.4630000000000001</v>
      </c>
      <c r="E1291" s="1">
        <v>1.482</v>
      </c>
      <c r="F1291" s="1">
        <v>59</v>
      </c>
      <c r="G1291" s="1">
        <v>10</v>
      </c>
      <c r="H1291" s="1">
        <v>48</v>
      </c>
      <c r="I1291" s="1">
        <v>71</v>
      </c>
      <c r="J1291" s="1">
        <v>91</v>
      </c>
      <c r="K1291" s="1">
        <v>93</v>
      </c>
      <c r="L1291" s="1">
        <v>134</v>
      </c>
      <c r="M1291" s="1">
        <v>118</v>
      </c>
      <c r="N1291" s="1">
        <v>18</v>
      </c>
      <c r="O1291" s="1">
        <v>93</v>
      </c>
      <c r="P1291" s="1">
        <v>140</v>
      </c>
      <c r="Q1291" s="1">
        <v>130</v>
      </c>
    </row>
    <row r="1292" spans="1:17" ht="15.75" customHeight="1">
      <c r="A1292" s="1">
        <v>2023</v>
      </c>
      <c r="B1292" s="1">
        <v>82</v>
      </c>
      <c r="C1292" s="1" t="s">
        <v>192</v>
      </c>
      <c r="D1292" s="1">
        <v>5.4550000000000001</v>
      </c>
      <c r="E1292" s="1">
        <v>1.139</v>
      </c>
      <c r="F1292" s="1">
        <v>73</v>
      </c>
      <c r="G1292" s="1">
        <v>74</v>
      </c>
      <c r="H1292" s="1">
        <v>65</v>
      </c>
      <c r="I1292" s="1">
        <v>53</v>
      </c>
      <c r="J1292" s="1">
        <v>66</v>
      </c>
      <c r="K1292" s="1">
        <v>129</v>
      </c>
      <c r="L1292" s="1">
        <v>42</v>
      </c>
      <c r="M1292" s="1">
        <v>109</v>
      </c>
      <c r="N1292" s="1">
        <v>128</v>
      </c>
      <c r="O1292" s="1">
        <v>129</v>
      </c>
      <c r="P1292" s="1">
        <v>124</v>
      </c>
      <c r="Q1292" s="1">
        <v>78</v>
      </c>
    </row>
    <row r="1293" spans="1:17" ht="15.75" customHeight="1">
      <c r="A1293" s="1">
        <v>2023</v>
      </c>
      <c r="B1293" s="1">
        <v>83</v>
      </c>
      <c r="C1293" s="1" t="s">
        <v>185</v>
      </c>
      <c r="D1293" s="1">
        <v>5.4219999999999997</v>
      </c>
      <c r="E1293" s="1">
        <v>0.45900000000000002</v>
      </c>
      <c r="F1293" s="1">
        <v>109</v>
      </c>
      <c r="G1293" s="1">
        <v>65</v>
      </c>
      <c r="H1293" s="1">
        <v>80</v>
      </c>
      <c r="I1293" s="1">
        <v>114</v>
      </c>
      <c r="J1293" s="1">
        <v>97</v>
      </c>
      <c r="K1293" s="1">
        <v>104</v>
      </c>
      <c r="L1293" s="1">
        <v>111</v>
      </c>
      <c r="M1293" s="1">
        <v>53</v>
      </c>
      <c r="N1293" s="1">
        <v>57</v>
      </c>
      <c r="O1293" s="1">
        <v>104</v>
      </c>
      <c r="P1293" s="1">
        <v>51</v>
      </c>
      <c r="Q1293" s="1">
        <v>61</v>
      </c>
    </row>
    <row r="1294" spans="1:17" ht="15.75" customHeight="1">
      <c r="A1294" s="1">
        <v>2023</v>
      </c>
      <c r="B1294" s="1">
        <v>84</v>
      </c>
      <c r="C1294" s="1" t="s">
        <v>156</v>
      </c>
      <c r="D1294" s="1">
        <v>5.3689999999999998</v>
      </c>
      <c r="E1294" s="1">
        <v>0.79500000000000004</v>
      </c>
      <c r="F1294" s="1">
        <v>50</v>
      </c>
      <c r="G1294" s="1">
        <v>41</v>
      </c>
      <c r="H1294" s="1">
        <v>57</v>
      </c>
      <c r="I1294" s="1">
        <v>60</v>
      </c>
      <c r="J1294" s="1">
        <v>102</v>
      </c>
      <c r="K1294" s="1">
        <v>35</v>
      </c>
      <c r="L1294" s="1">
        <v>129</v>
      </c>
      <c r="M1294" s="1">
        <v>126</v>
      </c>
      <c r="N1294" s="1">
        <v>67</v>
      </c>
      <c r="O1294" s="1">
        <v>35</v>
      </c>
      <c r="P1294" s="1">
        <v>132</v>
      </c>
      <c r="Q1294" s="1">
        <v>122</v>
      </c>
    </row>
    <row r="1295" spans="1:17" ht="15.75" customHeight="1">
      <c r="A1295" s="1">
        <v>2023</v>
      </c>
      <c r="B1295" s="1">
        <v>85</v>
      </c>
      <c r="C1295" s="1" t="s">
        <v>85</v>
      </c>
      <c r="D1295" s="1">
        <v>5.3639999999999999</v>
      </c>
      <c r="E1295" s="1" t="s">
        <v>713</v>
      </c>
      <c r="F1295" s="1"/>
      <c r="G1295" s="1"/>
      <c r="H1295" s="1"/>
      <c r="I1295" s="1">
        <v>39</v>
      </c>
      <c r="J1295" s="1"/>
      <c r="K1295" s="1"/>
      <c r="L1295" s="1"/>
      <c r="M1295" s="1"/>
      <c r="N1295" s="1"/>
      <c r="Q1295" s="1"/>
    </row>
    <row r="1296" spans="1:17" ht="15.75" customHeight="1">
      <c r="A1296" s="1">
        <v>2023</v>
      </c>
      <c r="B1296" s="1">
        <v>86</v>
      </c>
      <c r="C1296" s="1" t="s">
        <v>132</v>
      </c>
      <c r="D1296" s="1">
        <v>5.3159999999999998</v>
      </c>
      <c r="E1296" s="1" t="s">
        <v>714</v>
      </c>
      <c r="F1296" s="1">
        <v>10</v>
      </c>
      <c r="G1296" s="1">
        <v>69</v>
      </c>
      <c r="H1296" s="1">
        <v>11</v>
      </c>
      <c r="I1296" s="1"/>
      <c r="J1296" s="1">
        <v>96</v>
      </c>
      <c r="K1296" s="1">
        <v>42</v>
      </c>
      <c r="L1296" s="1">
        <v>10</v>
      </c>
      <c r="M1296" s="1">
        <v>124</v>
      </c>
      <c r="N1296" s="1">
        <v>12</v>
      </c>
      <c r="O1296" s="1">
        <v>42</v>
      </c>
      <c r="P1296" s="1">
        <v>92</v>
      </c>
      <c r="Q1296" s="1">
        <v>96</v>
      </c>
    </row>
    <row r="1297" spans="1:17" ht="15.75" customHeight="1">
      <c r="A1297" s="1">
        <v>2023</v>
      </c>
      <c r="B1297" s="1">
        <v>87</v>
      </c>
      <c r="C1297" s="1" t="s">
        <v>174</v>
      </c>
      <c r="D1297" s="1">
        <v>5.3040000000000003</v>
      </c>
      <c r="E1297" s="1" t="s">
        <v>324</v>
      </c>
      <c r="F1297" s="1">
        <v>124</v>
      </c>
      <c r="G1297" s="1">
        <v>111</v>
      </c>
      <c r="H1297" s="1">
        <v>70</v>
      </c>
      <c r="I1297" s="1">
        <v>35</v>
      </c>
      <c r="J1297" s="1">
        <v>40</v>
      </c>
      <c r="K1297" s="1">
        <v>54</v>
      </c>
      <c r="L1297" s="1">
        <v>109</v>
      </c>
      <c r="M1297" s="1">
        <v>101</v>
      </c>
      <c r="N1297" s="1">
        <v>87</v>
      </c>
      <c r="O1297" s="1">
        <v>54</v>
      </c>
      <c r="P1297" s="1">
        <v>121</v>
      </c>
      <c r="Q1297" s="1">
        <v>80</v>
      </c>
    </row>
    <row r="1298" spans="1:17" ht="15.75" customHeight="1">
      <c r="A1298" s="1">
        <v>2023</v>
      </c>
      <c r="B1298" s="1">
        <v>88</v>
      </c>
      <c r="C1298" s="1" t="s">
        <v>162</v>
      </c>
      <c r="D1298" s="1">
        <v>5.2809999999999997</v>
      </c>
      <c r="E1298" s="1">
        <v>0.90100000000000002</v>
      </c>
      <c r="F1298" s="1">
        <v>21</v>
      </c>
      <c r="G1298" s="1">
        <v>50</v>
      </c>
      <c r="H1298" s="1">
        <v>114</v>
      </c>
      <c r="I1298" s="1">
        <v>67</v>
      </c>
      <c r="J1298" s="1">
        <v>113</v>
      </c>
      <c r="K1298" s="1">
        <v>16</v>
      </c>
      <c r="L1298" s="1">
        <v>85</v>
      </c>
      <c r="M1298" s="1">
        <v>40</v>
      </c>
      <c r="N1298" s="1">
        <v>113</v>
      </c>
      <c r="O1298" s="1">
        <v>6</v>
      </c>
      <c r="P1298" s="1">
        <v>79</v>
      </c>
    </row>
    <row r="1299" spans="1:17" ht="15.75" customHeight="1">
      <c r="A1299" s="1">
        <v>2023</v>
      </c>
      <c r="B1299" s="1">
        <v>89</v>
      </c>
      <c r="C1299" s="1" t="s">
        <v>202</v>
      </c>
      <c r="D1299" s="1">
        <v>5.2210000000000001</v>
      </c>
      <c r="E1299" s="1">
        <v>0.92400000000000004</v>
      </c>
      <c r="F1299" s="1">
        <v>139</v>
      </c>
      <c r="G1299" s="1">
        <v>133</v>
      </c>
      <c r="H1299" s="1">
        <v>107</v>
      </c>
      <c r="I1299" s="1">
        <v>105</v>
      </c>
      <c r="J1299" s="1">
        <v>115</v>
      </c>
      <c r="K1299" s="1">
        <v>123</v>
      </c>
      <c r="L1299" s="1">
        <v>56</v>
      </c>
      <c r="M1299" s="1">
        <v>105</v>
      </c>
      <c r="N1299" s="1">
        <v>124</v>
      </c>
      <c r="O1299" s="1">
        <v>123</v>
      </c>
      <c r="P1299" s="1">
        <v>66</v>
      </c>
      <c r="Q1299" s="1">
        <v>30</v>
      </c>
    </row>
    <row r="1300" spans="1:17" ht="15.75" customHeight="1">
      <c r="A1300" s="1">
        <v>2023</v>
      </c>
      <c r="B1300" s="1">
        <v>90</v>
      </c>
      <c r="C1300" s="1" t="s">
        <v>252</v>
      </c>
      <c r="D1300" s="1">
        <v>5.2160000000000002</v>
      </c>
      <c r="E1300" s="1">
        <v>0.245</v>
      </c>
      <c r="F1300" s="1">
        <v>140</v>
      </c>
      <c r="G1300" s="1">
        <v>108</v>
      </c>
      <c r="H1300" s="1">
        <v>135</v>
      </c>
      <c r="I1300" s="1">
        <v>117</v>
      </c>
      <c r="J1300" s="1">
        <v>45</v>
      </c>
      <c r="K1300" s="1">
        <v>101</v>
      </c>
      <c r="L1300" s="1">
        <v>41</v>
      </c>
      <c r="M1300" s="1">
        <v>92</v>
      </c>
      <c r="N1300" s="1">
        <v>95</v>
      </c>
      <c r="O1300" s="1">
        <v>101</v>
      </c>
      <c r="P1300" s="1">
        <v>17</v>
      </c>
      <c r="Q1300" s="1">
        <v>93</v>
      </c>
    </row>
    <row r="1301" spans="1:17" ht="15.75" customHeight="1">
      <c r="A1301" s="1">
        <v>2023</v>
      </c>
      <c r="B1301" s="1">
        <v>91</v>
      </c>
      <c r="C1301" s="1" t="s">
        <v>201</v>
      </c>
      <c r="D1301" s="1">
        <v>5.1849999999999996</v>
      </c>
      <c r="E1301" s="1">
        <v>0.998</v>
      </c>
      <c r="F1301" s="1">
        <v>72</v>
      </c>
      <c r="G1301" s="1">
        <v>90</v>
      </c>
      <c r="H1301" s="1">
        <v>59</v>
      </c>
      <c r="I1301" s="1">
        <v>70</v>
      </c>
      <c r="J1301" s="1">
        <v>34</v>
      </c>
      <c r="K1301" s="1">
        <v>140</v>
      </c>
      <c r="L1301" s="1">
        <v>48</v>
      </c>
      <c r="M1301" s="1">
        <v>116</v>
      </c>
      <c r="N1301" s="1">
        <v>38</v>
      </c>
      <c r="O1301" s="1">
        <v>140</v>
      </c>
      <c r="P1301" s="1">
        <v>82</v>
      </c>
      <c r="Q1301" s="1">
        <v>26</v>
      </c>
    </row>
    <row r="1302" spans="1:17" ht="15.75" customHeight="1">
      <c r="A1302" s="1">
        <v>2023</v>
      </c>
      <c r="B1302" s="1">
        <v>92</v>
      </c>
      <c r="C1302" s="1" t="s">
        <v>179</v>
      </c>
      <c r="D1302" s="1">
        <v>5.1660000000000004</v>
      </c>
      <c r="E1302" s="1">
        <v>0.34899999999999998</v>
      </c>
      <c r="F1302" s="1">
        <v>114</v>
      </c>
      <c r="G1302" s="1">
        <v>99</v>
      </c>
      <c r="H1302" s="1">
        <v>84</v>
      </c>
      <c r="I1302" s="1">
        <v>82</v>
      </c>
      <c r="J1302" s="1">
        <v>124</v>
      </c>
      <c r="K1302" s="1">
        <v>84</v>
      </c>
      <c r="L1302" s="1">
        <v>106</v>
      </c>
      <c r="M1302" s="1">
        <v>103</v>
      </c>
      <c r="N1302" s="1">
        <v>138</v>
      </c>
      <c r="O1302" s="1">
        <v>84</v>
      </c>
      <c r="P1302" s="1">
        <v>114</v>
      </c>
      <c r="Q1302" s="1">
        <v>13</v>
      </c>
    </row>
    <row r="1303" spans="1:17" ht="15.75" customHeight="1">
      <c r="A1303" s="1">
        <v>2023</v>
      </c>
      <c r="B1303" s="12">
        <v>93</v>
      </c>
      <c r="C1303" s="8" t="s">
        <v>715</v>
      </c>
      <c r="D1303" s="5">
        <v>5.1580000000000004</v>
      </c>
      <c r="E1303" s="6">
        <v>1.002</v>
      </c>
      <c r="F1303" s="6">
        <v>131</v>
      </c>
      <c r="G1303" s="6">
        <v>93</v>
      </c>
      <c r="H1303" s="6">
        <v>113</v>
      </c>
      <c r="I1303" s="10">
        <v>89</v>
      </c>
      <c r="J1303" s="6">
        <v>84</v>
      </c>
      <c r="K1303" s="6">
        <v>46</v>
      </c>
      <c r="L1303" s="6">
        <v>78</v>
      </c>
      <c r="M1303" s="6">
        <v>135</v>
      </c>
      <c r="N1303" s="6">
        <v>103</v>
      </c>
      <c r="O1303" s="6">
        <v>46</v>
      </c>
      <c r="P1303" s="6">
        <v>28</v>
      </c>
      <c r="Q1303" s="6">
        <v>110</v>
      </c>
    </row>
    <row r="1304" spans="1:17" ht="15.75" customHeight="1">
      <c r="A1304" s="1">
        <v>2023</v>
      </c>
      <c r="B1304" s="12">
        <v>94</v>
      </c>
      <c r="C1304" s="8" t="s">
        <v>716</v>
      </c>
      <c r="D1304" s="5">
        <v>5.1390000000000002</v>
      </c>
      <c r="E1304" s="6">
        <v>0.35199999999999998</v>
      </c>
      <c r="F1304" s="6">
        <v>111</v>
      </c>
      <c r="G1304" s="6">
        <v>114</v>
      </c>
      <c r="H1304" s="6">
        <v>98</v>
      </c>
      <c r="I1304" s="7">
        <v>87</v>
      </c>
      <c r="J1304" s="6">
        <v>21</v>
      </c>
      <c r="K1304" s="6">
        <v>60</v>
      </c>
      <c r="L1304" s="6">
        <v>51</v>
      </c>
      <c r="M1304" s="6">
        <v>66</v>
      </c>
      <c r="N1304" s="6">
        <v>96</v>
      </c>
      <c r="O1304" s="6">
        <v>60</v>
      </c>
      <c r="P1304" s="6">
        <v>100</v>
      </c>
      <c r="Q1304" s="6">
        <v>131</v>
      </c>
    </row>
    <row r="1305" spans="1:17" ht="15.75" customHeight="1">
      <c r="A1305" s="1">
        <v>2023</v>
      </c>
      <c r="B1305" s="1">
        <v>95</v>
      </c>
      <c r="C1305" s="1" t="s">
        <v>306</v>
      </c>
      <c r="D1305" s="1">
        <v>5.1059999999999999</v>
      </c>
      <c r="E1305" s="1">
        <v>0.99199999999999999</v>
      </c>
      <c r="F1305" s="1">
        <v>126</v>
      </c>
      <c r="G1305" s="1">
        <v>98</v>
      </c>
      <c r="H1305" s="1">
        <v>68</v>
      </c>
      <c r="I1305" s="1">
        <v>101</v>
      </c>
      <c r="J1305" s="1">
        <v>109</v>
      </c>
      <c r="K1305" s="1">
        <v>125</v>
      </c>
      <c r="L1305" s="1">
        <v>92</v>
      </c>
      <c r="M1305" s="1">
        <v>93</v>
      </c>
      <c r="N1305" s="1">
        <v>129</v>
      </c>
      <c r="O1305" s="1">
        <v>125</v>
      </c>
      <c r="P1305" s="1">
        <v>109</v>
      </c>
      <c r="Q1305" s="1">
        <v>28</v>
      </c>
    </row>
    <row r="1306" spans="1:17" ht="15.75" customHeight="1">
      <c r="A1306" s="1">
        <v>2023</v>
      </c>
      <c r="B1306" s="1">
        <v>96</v>
      </c>
      <c r="C1306" s="1" t="s">
        <v>220</v>
      </c>
      <c r="D1306" s="1">
        <v>5.08</v>
      </c>
      <c r="E1306" s="1">
        <v>122</v>
      </c>
      <c r="F1306" s="1">
        <v>126</v>
      </c>
      <c r="G1306" s="1">
        <v>103</v>
      </c>
      <c r="H1306" s="1">
        <v>94</v>
      </c>
      <c r="I1306" s="1"/>
      <c r="J1306" s="1">
        <v>105</v>
      </c>
      <c r="K1306" s="1">
        <v>40</v>
      </c>
      <c r="L1306" s="1">
        <v>71</v>
      </c>
      <c r="M1306" s="1">
        <v>83</v>
      </c>
      <c r="N1306" s="1">
        <v>105</v>
      </c>
      <c r="O1306" s="1">
        <v>111</v>
      </c>
      <c r="P1306" s="1">
        <v>91</v>
      </c>
      <c r="Q1306" s="1"/>
    </row>
    <row r="1307" spans="1:17" ht="15.75" customHeight="1">
      <c r="A1307" s="1">
        <v>2023</v>
      </c>
      <c r="B1307" s="1">
        <v>97</v>
      </c>
      <c r="C1307" s="1" t="s">
        <v>240</v>
      </c>
      <c r="D1307" s="1">
        <v>5.0229999999999997</v>
      </c>
      <c r="E1307" s="1">
        <v>1.1759999999999999</v>
      </c>
      <c r="F1307" s="1">
        <v>132</v>
      </c>
      <c r="G1307" s="1">
        <v>131</v>
      </c>
      <c r="H1307" s="1">
        <v>116</v>
      </c>
      <c r="I1307" s="1">
        <v>110</v>
      </c>
      <c r="J1307" s="1">
        <v>98</v>
      </c>
      <c r="K1307" s="1">
        <v>58</v>
      </c>
      <c r="L1307" s="1">
        <v>77</v>
      </c>
      <c r="M1307" s="1">
        <v>80</v>
      </c>
      <c r="N1307" s="1">
        <v>140</v>
      </c>
      <c r="O1307" s="1">
        <v>58</v>
      </c>
      <c r="P1307" s="1">
        <v>8</v>
      </c>
      <c r="Q1307" s="1">
        <v>15</v>
      </c>
    </row>
    <row r="1308" spans="1:17" ht="15.75" customHeight="1">
      <c r="A1308" s="1">
        <v>2023</v>
      </c>
      <c r="B1308" s="1">
        <v>98</v>
      </c>
      <c r="C1308" s="1" t="s">
        <v>136</v>
      </c>
      <c r="D1308" s="1">
        <v>4.9749999999999996</v>
      </c>
      <c r="E1308" s="1" t="s">
        <v>345</v>
      </c>
      <c r="F1308" s="1">
        <v>45</v>
      </c>
      <c r="G1308" s="1">
        <v>55</v>
      </c>
      <c r="H1308" s="1">
        <v>47</v>
      </c>
      <c r="I1308" s="1">
        <v>42</v>
      </c>
      <c r="J1308" s="1">
        <v>134</v>
      </c>
      <c r="K1308" s="1">
        <v>96</v>
      </c>
      <c r="L1308" s="1">
        <v>58</v>
      </c>
      <c r="M1308" s="1">
        <v>140</v>
      </c>
      <c r="N1308" s="1">
        <v>102</v>
      </c>
      <c r="O1308" s="1">
        <v>96</v>
      </c>
      <c r="P1308" s="1">
        <v>127</v>
      </c>
      <c r="Q1308" s="1">
        <v>95</v>
      </c>
    </row>
    <row r="1309" spans="1:17" ht="15.75" customHeight="1">
      <c r="A1309" s="1">
        <v>2023</v>
      </c>
      <c r="B1309" s="1">
        <v>99</v>
      </c>
      <c r="C1309" s="1" t="s">
        <v>204</v>
      </c>
      <c r="D1309" s="1">
        <v>4.9690000000000003</v>
      </c>
      <c r="E1309" s="1">
        <v>1.01</v>
      </c>
      <c r="F1309" s="1">
        <v>104</v>
      </c>
      <c r="G1309" s="1">
        <v>116</v>
      </c>
      <c r="H1309" s="1">
        <v>115</v>
      </c>
      <c r="I1309" s="1">
        <v>92</v>
      </c>
      <c r="J1309" s="1">
        <v>71</v>
      </c>
      <c r="K1309" s="1">
        <v>83</v>
      </c>
      <c r="L1309" s="1">
        <v>100</v>
      </c>
      <c r="M1309" s="1">
        <v>4</v>
      </c>
      <c r="N1309" s="1">
        <v>62</v>
      </c>
      <c r="O1309" s="1">
        <v>83</v>
      </c>
      <c r="P1309" s="1">
        <v>58</v>
      </c>
      <c r="Q1309" s="1">
        <v>5</v>
      </c>
    </row>
    <row r="1310" spans="1:17" ht="15.75" customHeight="1">
      <c r="A1310" s="1">
        <v>2023</v>
      </c>
      <c r="B1310" s="1">
        <v>100</v>
      </c>
      <c r="C1310" s="1" t="s">
        <v>169</v>
      </c>
      <c r="D1310" s="1">
        <v>4.923</v>
      </c>
      <c r="E1310" s="1">
        <v>0.28000000000000003</v>
      </c>
      <c r="F1310" s="1">
        <v>82</v>
      </c>
      <c r="G1310" s="1">
        <v>77</v>
      </c>
      <c r="H1310" s="1">
        <v>73</v>
      </c>
      <c r="I1310" s="1">
        <v>54</v>
      </c>
      <c r="J1310" s="1">
        <v>127</v>
      </c>
      <c r="K1310" s="1">
        <v>20</v>
      </c>
      <c r="L1310" s="1">
        <v>66</v>
      </c>
      <c r="M1310" s="1">
        <v>121</v>
      </c>
      <c r="N1310" s="1">
        <v>130</v>
      </c>
      <c r="O1310" s="1">
        <v>20</v>
      </c>
      <c r="P1310" s="1">
        <v>107</v>
      </c>
      <c r="Q1310" s="1">
        <v>34</v>
      </c>
    </row>
    <row r="1311" spans="1:17" ht="15.75" customHeight="1">
      <c r="A1311" s="1">
        <v>2023</v>
      </c>
      <c r="B1311" s="1">
        <v>101</v>
      </c>
      <c r="C1311" s="1" t="s">
        <v>140</v>
      </c>
      <c r="D1311" s="1">
        <v>4.8929999999999998</v>
      </c>
      <c r="E1311" s="1">
        <v>0.28899999999999998</v>
      </c>
      <c r="F1311" s="1">
        <v>66</v>
      </c>
      <c r="G1311" s="1">
        <v>104</v>
      </c>
      <c r="H1311" s="1">
        <v>62</v>
      </c>
      <c r="I1311" s="1"/>
      <c r="J1311" s="1">
        <v>63</v>
      </c>
      <c r="K1311" s="1">
        <v>121</v>
      </c>
      <c r="L1311" s="1">
        <v>26</v>
      </c>
      <c r="M1311" s="1">
        <v>127</v>
      </c>
      <c r="N1311" s="1">
        <v>32</v>
      </c>
      <c r="O1311" s="1">
        <v>121</v>
      </c>
      <c r="P1311" s="1">
        <v>129</v>
      </c>
      <c r="Q1311" s="1">
        <v>73</v>
      </c>
    </row>
    <row r="1312" spans="1:17" ht="15.75" customHeight="1">
      <c r="A1312" s="1">
        <v>2023</v>
      </c>
      <c r="B1312" s="1">
        <v>102</v>
      </c>
      <c r="C1312" s="1" t="s">
        <v>165</v>
      </c>
      <c r="D1312" s="1">
        <v>4.8810000000000002</v>
      </c>
      <c r="E1312" s="1" t="s">
        <v>717</v>
      </c>
      <c r="F1312" s="1">
        <v>90</v>
      </c>
      <c r="G1312" s="1">
        <v>88</v>
      </c>
      <c r="H1312" s="1">
        <v>109</v>
      </c>
      <c r="I1312" s="1">
        <v>104</v>
      </c>
      <c r="J1312" s="1">
        <v>111</v>
      </c>
      <c r="K1312" s="1">
        <v>36</v>
      </c>
      <c r="L1312" s="1">
        <v>118</v>
      </c>
      <c r="M1312" s="1">
        <v>42</v>
      </c>
      <c r="N1312" s="1">
        <v>65</v>
      </c>
      <c r="O1312" s="1">
        <v>36</v>
      </c>
      <c r="P1312" s="1">
        <v>3</v>
      </c>
      <c r="Q1312" s="1">
        <v>3</v>
      </c>
    </row>
    <row r="1313" spans="1:17" ht="15.75" customHeight="1">
      <c r="A1313" s="1">
        <v>2023</v>
      </c>
      <c r="B1313" s="1">
        <v>103</v>
      </c>
      <c r="C1313" s="1" t="s">
        <v>173</v>
      </c>
      <c r="D1313" s="1">
        <v>4.8789999999999996</v>
      </c>
      <c r="E1313" s="1">
        <v>0.17899999999999999</v>
      </c>
      <c r="F1313" s="1">
        <v>107</v>
      </c>
      <c r="G1313" s="1">
        <v>70</v>
      </c>
      <c r="H1313" s="1">
        <v>114</v>
      </c>
      <c r="I1313" s="1"/>
      <c r="J1313" s="1">
        <v>120</v>
      </c>
      <c r="K1313" s="1">
        <v>84</v>
      </c>
      <c r="L1313" s="1">
        <v>106</v>
      </c>
      <c r="M1313" s="1">
        <v>120</v>
      </c>
      <c r="N1313" s="1">
        <v>123</v>
      </c>
      <c r="O1313" s="1">
        <v>66</v>
      </c>
    </row>
    <row r="1314" spans="1:17" ht="15.75" customHeight="1">
      <c r="A1314" s="1">
        <v>2023</v>
      </c>
      <c r="B1314" s="1">
        <v>104</v>
      </c>
      <c r="C1314" s="1" t="s">
        <v>182</v>
      </c>
      <c r="D1314" s="1">
        <v>4.8739999999999997</v>
      </c>
      <c r="E1314" s="1">
        <v>0.45400000000000001</v>
      </c>
      <c r="F1314" s="1">
        <v>123</v>
      </c>
      <c r="G1314" s="1">
        <v>103</v>
      </c>
      <c r="H1314" s="1">
        <v>112</v>
      </c>
      <c r="I1314" s="1">
        <v>108</v>
      </c>
      <c r="J1314" s="1">
        <v>100</v>
      </c>
      <c r="K1314" s="1">
        <v>106</v>
      </c>
      <c r="L1314" s="1">
        <v>108</v>
      </c>
      <c r="M1314" s="1">
        <v>102</v>
      </c>
      <c r="N1314" s="1">
        <v>106</v>
      </c>
      <c r="O1314" s="1">
        <v>106</v>
      </c>
      <c r="P1314" s="1">
        <v>76</v>
      </c>
      <c r="Q1314" s="1">
        <v>41</v>
      </c>
    </row>
    <row r="1315" spans="1:17" ht="15.75" customHeight="1">
      <c r="A1315" s="1">
        <v>2023</v>
      </c>
      <c r="B1315" s="1">
        <v>105</v>
      </c>
      <c r="C1315" s="1" t="s">
        <v>195</v>
      </c>
      <c r="D1315" s="1">
        <v>4.8730000000000002</v>
      </c>
      <c r="E1315" s="1" t="s">
        <v>718</v>
      </c>
      <c r="F1315" s="1">
        <v>76</v>
      </c>
      <c r="G1315" s="1">
        <v>66</v>
      </c>
      <c r="H1315" s="1">
        <v>74</v>
      </c>
      <c r="I1315" s="1">
        <v>78</v>
      </c>
      <c r="J1315" s="1">
        <v>82</v>
      </c>
      <c r="K1315" s="1">
        <v>6</v>
      </c>
      <c r="L1315" s="1">
        <v>132</v>
      </c>
      <c r="M1315" s="1">
        <v>131</v>
      </c>
      <c r="N1315" s="1">
        <v>117</v>
      </c>
      <c r="O1315" s="1">
        <v>6</v>
      </c>
      <c r="P1315" s="1">
        <v>52</v>
      </c>
      <c r="Q1315" s="1">
        <v>8</v>
      </c>
    </row>
    <row r="1316" spans="1:17" ht="15.75" customHeight="1">
      <c r="A1316" s="1">
        <v>2023</v>
      </c>
      <c r="B1316" s="1">
        <v>106</v>
      </c>
      <c r="C1316" s="1" t="s">
        <v>181</v>
      </c>
      <c r="D1316" s="1">
        <v>4.8319999999999999</v>
      </c>
      <c r="E1316" s="1">
        <v>89</v>
      </c>
      <c r="F1316" s="1">
        <v>59</v>
      </c>
      <c r="G1316" s="1">
        <v>91</v>
      </c>
      <c r="H1316" s="1">
        <v>121</v>
      </c>
      <c r="I1316" s="1">
        <v>113</v>
      </c>
      <c r="J1316" s="1">
        <v>116</v>
      </c>
      <c r="K1316" s="1">
        <v>117</v>
      </c>
      <c r="L1316" s="1">
        <v>88</v>
      </c>
      <c r="M1316" s="1">
        <v>28</v>
      </c>
      <c r="N1316" s="1">
        <v>116</v>
      </c>
      <c r="O1316" s="1">
        <v>44</v>
      </c>
      <c r="P1316" s="1">
        <v>51</v>
      </c>
      <c r="Q1316" s="1"/>
    </row>
    <row r="1317" spans="1:17" ht="15.75" customHeight="1">
      <c r="A1317" s="1">
        <v>2023</v>
      </c>
      <c r="B1317" s="1">
        <v>107</v>
      </c>
      <c r="C1317" s="1" t="s">
        <v>150</v>
      </c>
      <c r="D1317" s="1">
        <v>4.7949999999999999</v>
      </c>
      <c r="E1317" s="1" t="s">
        <v>409</v>
      </c>
      <c r="F1317" s="1">
        <v>115</v>
      </c>
      <c r="G1317" s="1">
        <v>136</v>
      </c>
      <c r="H1317" s="1">
        <v>97</v>
      </c>
      <c r="I1317" s="1">
        <v>72</v>
      </c>
      <c r="J1317" s="1">
        <v>65</v>
      </c>
      <c r="K1317" s="1">
        <v>111</v>
      </c>
      <c r="L1317" s="1">
        <v>95</v>
      </c>
      <c r="M1317" s="1">
        <v>112</v>
      </c>
      <c r="N1317" s="1">
        <v>125</v>
      </c>
      <c r="O1317" s="1">
        <v>111</v>
      </c>
      <c r="P1317" s="1">
        <v>108</v>
      </c>
      <c r="Q1317" s="1">
        <v>17</v>
      </c>
    </row>
    <row r="1318" spans="1:17" ht="15.75" customHeight="1">
      <c r="A1318" s="1">
        <v>2023</v>
      </c>
      <c r="B1318" s="1">
        <v>108</v>
      </c>
      <c r="C1318" s="1" t="s">
        <v>152</v>
      </c>
      <c r="D1318" s="1">
        <v>4.657</v>
      </c>
      <c r="E1318" s="1" t="s">
        <v>612</v>
      </c>
      <c r="F1318" s="1">
        <v>100</v>
      </c>
      <c r="G1318" s="1">
        <v>134</v>
      </c>
      <c r="H1318" s="1">
        <v>110</v>
      </c>
      <c r="I1318" s="1">
        <v>100</v>
      </c>
      <c r="J1318" s="1">
        <v>123</v>
      </c>
      <c r="K1318" s="1">
        <v>69</v>
      </c>
      <c r="L1318" s="1">
        <v>123</v>
      </c>
      <c r="M1318" s="1">
        <v>129</v>
      </c>
      <c r="N1318" s="1">
        <v>127</v>
      </c>
      <c r="O1318" s="1">
        <v>69</v>
      </c>
      <c r="P1318" s="1">
        <v>99</v>
      </c>
      <c r="Q1318" s="1">
        <v>124</v>
      </c>
    </row>
    <row r="1319" spans="1:17" ht="15.75" customHeight="1">
      <c r="A1319" s="1">
        <v>2023</v>
      </c>
      <c r="B1319" s="1">
        <v>109</v>
      </c>
      <c r="C1319" s="1" t="s">
        <v>224</v>
      </c>
      <c r="D1319" s="1">
        <v>4.556</v>
      </c>
      <c r="E1319" s="1">
        <v>0.40400000000000003</v>
      </c>
      <c r="F1319" s="1">
        <v>129</v>
      </c>
      <c r="G1319" s="1">
        <v>122</v>
      </c>
      <c r="H1319" s="1">
        <v>130</v>
      </c>
      <c r="I1319" s="1"/>
      <c r="J1319" s="1">
        <v>83</v>
      </c>
      <c r="K1319" s="1">
        <v>117</v>
      </c>
      <c r="L1319" s="1">
        <v>30</v>
      </c>
      <c r="M1319" s="1">
        <v>126</v>
      </c>
      <c r="N1319" s="1">
        <v>117</v>
      </c>
      <c r="O1319" s="1">
        <v>85</v>
      </c>
      <c r="P1319" s="1">
        <v>10</v>
      </c>
      <c r="Q1319" s="1"/>
    </row>
    <row r="1320" spans="1:17" ht="15.75" customHeight="1">
      <c r="A1320" s="1">
        <v>2023</v>
      </c>
      <c r="B1320" s="1">
        <v>110</v>
      </c>
      <c r="C1320" s="1" t="s">
        <v>229</v>
      </c>
      <c r="D1320" s="1">
        <v>4.548</v>
      </c>
      <c r="E1320" s="1">
        <v>0.28899999999999998</v>
      </c>
      <c r="F1320" s="1">
        <v>75</v>
      </c>
      <c r="G1320" s="1">
        <v>130</v>
      </c>
      <c r="H1320" s="1">
        <v>127</v>
      </c>
      <c r="I1320" s="1">
        <v>107</v>
      </c>
      <c r="J1320" s="1">
        <v>113</v>
      </c>
      <c r="K1320" s="1">
        <v>77</v>
      </c>
      <c r="L1320" s="1">
        <v>31</v>
      </c>
      <c r="M1320" s="1">
        <v>83</v>
      </c>
      <c r="N1320" s="1">
        <v>101</v>
      </c>
      <c r="O1320" s="1">
        <v>77</v>
      </c>
      <c r="P1320" s="1">
        <v>54</v>
      </c>
      <c r="Q1320" s="1">
        <v>64</v>
      </c>
    </row>
    <row r="1321" spans="1:17" ht="15.75" customHeight="1">
      <c r="A1321" s="1">
        <v>2023</v>
      </c>
      <c r="B1321" s="1">
        <v>111</v>
      </c>
      <c r="C1321" s="1" t="s">
        <v>206</v>
      </c>
      <c r="D1321" s="1">
        <v>4.5049999999999999</v>
      </c>
      <c r="E1321" s="1" t="s">
        <v>369</v>
      </c>
      <c r="F1321" s="1">
        <v>86</v>
      </c>
      <c r="G1321" s="1">
        <v>128</v>
      </c>
      <c r="H1321" s="1">
        <v>106</v>
      </c>
      <c r="I1321" s="1"/>
      <c r="J1321" s="1">
        <v>133</v>
      </c>
      <c r="K1321" s="1">
        <v>82</v>
      </c>
      <c r="L1321" s="1">
        <v>38</v>
      </c>
      <c r="M1321" s="1">
        <v>52</v>
      </c>
      <c r="N1321" s="1">
        <v>94</v>
      </c>
      <c r="O1321" s="1">
        <v>82</v>
      </c>
      <c r="P1321" s="1">
        <v>43</v>
      </c>
      <c r="Q1321" s="1">
        <v>47</v>
      </c>
    </row>
    <row r="1322" spans="1:17" ht="15.75" customHeight="1">
      <c r="A1322" s="1">
        <v>2023</v>
      </c>
      <c r="B1322" s="12">
        <v>112</v>
      </c>
      <c r="C1322" s="8" t="s">
        <v>719</v>
      </c>
      <c r="D1322" s="5">
        <v>4.4850000000000003</v>
      </c>
      <c r="E1322" s="7"/>
      <c r="F1322" s="6">
        <v>103</v>
      </c>
      <c r="G1322" s="6">
        <v>120</v>
      </c>
      <c r="H1322" s="6">
        <v>123</v>
      </c>
      <c r="I1322" s="7"/>
      <c r="J1322" s="6">
        <v>108</v>
      </c>
      <c r="K1322" s="6">
        <v>13</v>
      </c>
      <c r="L1322" s="6">
        <v>107</v>
      </c>
      <c r="M1322" s="6">
        <v>45</v>
      </c>
      <c r="N1322" s="6">
        <v>74</v>
      </c>
      <c r="O1322" s="6">
        <v>13</v>
      </c>
      <c r="P1322" s="6">
        <v>7</v>
      </c>
      <c r="Q1322" s="6">
        <v>6</v>
      </c>
    </row>
    <row r="1323" spans="1:17" ht="15.75" customHeight="1">
      <c r="A1323" s="1">
        <v>2023</v>
      </c>
      <c r="B1323" s="12">
        <v>113</v>
      </c>
      <c r="C1323" s="8" t="s">
        <v>720</v>
      </c>
      <c r="D1323" s="5">
        <v>4.4710000000000001</v>
      </c>
      <c r="E1323" s="6">
        <v>0.41499999999999998</v>
      </c>
      <c r="F1323" s="6">
        <v>119</v>
      </c>
      <c r="G1323" s="6">
        <v>127</v>
      </c>
      <c r="H1323" s="6">
        <v>131</v>
      </c>
      <c r="I1323" s="10"/>
      <c r="J1323" s="6">
        <v>129</v>
      </c>
      <c r="K1323" s="6">
        <v>76</v>
      </c>
      <c r="L1323" s="6">
        <v>62</v>
      </c>
      <c r="M1323" s="6">
        <v>117</v>
      </c>
      <c r="N1323" s="6">
        <v>137</v>
      </c>
      <c r="O1323" s="6">
        <v>76</v>
      </c>
      <c r="P1323" s="6">
        <v>31</v>
      </c>
      <c r="Q1323" s="6">
        <v>20</v>
      </c>
    </row>
    <row r="1324" spans="1:17" ht="15.75" customHeight="1">
      <c r="A1324" s="1">
        <v>2023</v>
      </c>
      <c r="B1324" s="1">
        <v>114</v>
      </c>
      <c r="C1324" s="1" t="s">
        <v>193</v>
      </c>
      <c r="D1324" s="1">
        <v>4.47</v>
      </c>
      <c r="E1324" s="1">
        <v>6.7000000000000004E-2</v>
      </c>
      <c r="F1324" s="1">
        <v>134</v>
      </c>
      <c r="G1324" s="1">
        <v>105</v>
      </c>
      <c r="H1324" s="1">
        <v>108</v>
      </c>
      <c r="I1324" s="1">
        <v>94</v>
      </c>
      <c r="J1324" s="1">
        <v>103</v>
      </c>
      <c r="K1324" s="1">
        <v>24</v>
      </c>
      <c r="L1324" s="1">
        <v>80</v>
      </c>
      <c r="M1324" s="1">
        <v>21</v>
      </c>
      <c r="N1324" s="1">
        <v>47</v>
      </c>
      <c r="O1324" s="1">
        <v>24</v>
      </c>
      <c r="P1324" s="1">
        <v>4</v>
      </c>
      <c r="Q1324" s="1">
        <v>1</v>
      </c>
    </row>
    <row r="1325" spans="1:17" ht="15.75" customHeight="1">
      <c r="A1325" s="1">
        <v>2023</v>
      </c>
      <c r="B1325" s="1">
        <v>115</v>
      </c>
      <c r="C1325" s="1" t="s">
        <v>159</v>
      </c>
      <c r="D1325" s="1">
        <v>4.4219999999999997</v>
      </c>
      <c r="E1325" s="1" t="s">
        <v>554</v>
      </c>
      <c r="F1325" s="1">
        <v>29</v>
      </c>
      <c r="G1325" s="1">
        <v>106</v>
      </c>
      <c r="H1325" s="1">
        <v>85</v>
      </c>
      <c r="I1325" s="1">
        <v>62</v>
      </c>
      <c r="J1325" s="1">
        <v>137</v>
      </c>
      <c r="K1325" s="1">
        <v>138</v>
      </c>
      <c r="L1325" s="1">
        <v>120</v>
      </c>
      <c r="M1325" s="1">
        <v>134</v>
      </c>
      <c r="N1325" s="1">
        <v>112</v>
      </c>
      <c r="O1325" s="1">
        <v>138</v>
      </c>
      <c r="P1325" s="1">
        <v>125</v>
      </c>
      <c r="Q1325" s="1">
        <v>100</v>
      </c>
    </row>
    <row r="1326" spans="1:17" ht="15.75" customHeight="1">
      <c r="A1326" s="1">
        <v>2023</v>
      </c>
      <c r="B1326" s="1">
        <v>116</v>
      </c>
      <c r="C1326" s="1" t="s">
        <v>244</v>
      </c>
      <c r="D1326" s="1">
        <v>4.3769999999999998</v>
      </c>
      <c r="E1326" s="1">
        <v>0.84899999999999998</v>
      </c>
      <c r="F1326" s="1">
        <v>106</v>
      </c>
      <c r="G1326" s="1">
        <v>140</v>
      </c>
      <c r="H1326" s="1">
        <v>117</v>
      </c>
      <c r="I1326" s="1">
        <v>103</v>
      </c>
      <c r="J1326" s="1">
        <v>76</v>
      </c>
      <c r="K1326" s="1">
        <v>131</v>
      </c>
      <c r="L1326" s="1">
        <v>23</v>
      </c>
      <c r="M1326" s="1">
        <v>110</v>
      </c>
      <c r="N1326" s="1">
        <v>131</v>
      </c>
      <c r="O1326" s="1">
        <v>131</v>
      </c>
      <c r="P1326" s="1">
        <v>110</v>
      </c>
      <c r="Q1326" s="1">
        <v>115</v>
      </c>
    </row>
    <row r="1327" spans="1:17" ht="15.75" customHeight="1">
      <c r="A1327" s="1">
        <v>2023</v>
      </c>
      <c r="B1327" s="1">
        <v>117</v>
      </c>
      <c r="C1327" s="1" t="s">
        <v>231</v>
      </c>
      <c r="D1327" s="1">
        <v>4.3719999999999999</v>
      </c>
      <c r="E1327" s="1" t="s">
        <v>335</v>
      </c>
      <c r="F1327" s="1">
        <v>92</v>
      </c>
      <c r="G1327" s="1">
        <v>71</v>
      </c>
      <c r="H1327" s="1">
        <v>124</v>
      </c>
      <c r="I1327" s="1">
        <v>99</v>
      </c>
      <c r="J1327" s="1">
        <v>53</v>
      </c>
      <c r="K1327" s="1">
        <v>86</v>
      </c>
      <c r="L1327" s="1">
        <v>128</v>
      </c>
      <c r="M1327" s="1">
        <v>39</v>
      </c>
      <c r="N1327" s="1">
        <v>115</v>
      </c>
      <c r="O1327" s="1">
        <v>86</v>
      </c>
      <c r="P1327" s="1">
        <v>96</v>
      </c>
      <c r="Q1327" s="1">
        <v>32</v>
      </c>
    </row>
    <row r="1328" spans="1:17" ht="15.75" customHeight="1">
      <c r="A1328" s="1">
        <v>2023</v>
      </c>
      <c r="B1328" s="1">
        <v>118</v>
      </c>
      <c r="C1328" s="1" t="s">
        <v>190</v>
      </c>
      <c r="D1328" s="1">
        <v>4.3540000000000001</v>
      </c>
      <c r="E1328" s="1" t="s">
        <v>645</v>
      </c>
      <c r="F1328" s="1">
        <v>94</v>
      </c>
      <c r="G1328" s="1">
        <v>113</v>
      </c>
      <c r="H1328" s="1">
        <v>111</v>
      </c>
      <c r="I1328" s="1">
        <v>91</v>
      </c>
      <c r="J1328" s="1">
        <v>118</v>
      </c>
      <c r="K1328" s="1">
        <v>2</v>
      </c>
      <c r="L1328" s="1">
        <v>44</v>
      </c>
      <c r="M1328" s="1">
        <v>89</v>
      </c>
      <c r="N1328" s="1">
        <v>107</v>
      </c>
      <c r="O1328" s="1">
        <v>2</v>
      </c>
      <c r="P1328" s="1">
        <v>86</v>
      </c>
      <c r="Q1328" s="1">
        <v>114</v>
      </c>
    </row>
    <row r="1329" spans="1:17" ht="15.75" customHeight="1">
      <c r="A1329" s="1">
        <v>2023</v>
      </c>
      <c r="B1329" s="1">
        <v>119</v>
      </c>
      <c r="C1329" s="1" t="s">
        <v>221</v>
      </c>
      <c r="D1329" s="1">
        <v>4.3410000000000002</v>
      </c>
      <c r="E1329" s="1">
        <v>0.27400000000000002</v>
      </c>
      <c r="F1329" s="1">
        <v>97</v>
      </c>
      <c r="G1329" s="1">
        <v>97</v>
      </c>
      <c r="H1329" s="1">
        <v>102</v>
      </c>
      <c r="I1329" s="1">
        <v>86</v>
      </c>
      <c r="J1329" s="1">
        <v>2</v>
      </c>
      <c r="K1329" s="1">
        <v>71</v>
      </c>
      <c r="L1329" s="1">
        <v>79</v>
      </c>
      <c r="M1329" s="1">
        <v>62</v>
      </c>
      <c r="N1329" s="1">
        <v>121</v>
      </c>
      <c r="O1329" s="1">
        <v>71</v>
      </c>
      <c r="P1329" s="1">
        <v>138</v>
      </c>
      <c r="Q1329" s="1">
        <v>139</v>
      </c>
    </row>
    <row r="1330" spans="1:17" ht="15.75" customHeight="1">
      <c r="A1330" s="1">
        <v>2023</v>
      </c>
      <c r="B1330" s="1">
        <v>120</v>
      </c>
      <c r="C1330" s="1" t="s">
        <v>197</v>
      </c>
      <c r="D1330" s="1">
        <v>4.2889999999999997</v>
      </c>
      <c r="E1330" s="1" t="s">
        <v>721</v>
      </c>
      <c r="F1330" s="1">
        <v>79</v>
      </c>
      <c r="G1330" s="1">
        <v>119</v>
      </c>
      <c r="H1330" s="1">
        <v>101</v>
      </c>
      <c r="I1330" s="1">
        <v>97</v>
      </c>
      <c r="J1330" s="1">
        <v>60</v>
      </c>
      <c r="K1330" s="1">
        <v>65</v>
      </c>
      <c r="L1330" s="1">
        <v>124</v>
      </c>
      <c r="M1330" s="1">
        <v>84</v>
      </c>
      <c r="N1330" s="1">
        <v>55</v>
      </c>
      <c r="O1330" s="1">
        <v>65</v>
      </c>
      <c r="P1330" s="1">
        <v>18</v>
      </c>
      <c r="Q1330" s="1">
        <v>57</v>
      </c>
    </row>
    <row r="1331" spans="1:17" ht="15.75" customHeight="1">
      <c r="A1331" s="1">
        <v>2023</v>
      </c>
      <c r="B1331" s="1">
        <v>121</v>
      </c>
      <c r="C1331" s="1" t="s">
        <v>238</v>
      </c>
      <c r="D1331" s="1">
        <v>4.2690000000000001</v>
      </c>
      <c r="E1331" s="1">
        <v>7.2999999999999995E-2</v>
      </c>
      <c r="F1331" s="1">
        <v>141</v>
      </c>
      <c r="G1331" s="1">
        <v>124</v>
      </c>
      <c r="H1331" s="1">
        <v>134</v>
      </c>
      <c r="I1331" s="1"/>
      <c r="J1331" s="1">
        <v>112</v>
      </c>
      <c r="K1331" s="1">
        <v>107</v>
      </c>
      <c r="L1331" s="1">
        <v>97</v>
      </c>
      <c r="M1331" s="1">
        <v>98</v>
      </c>
      <c r="N1331" s="1">
        <v>132</v>
      </c>
      <c r="O1331" s="1">
        <v>107</v>
      </c>
      <c r="P1331" s="1">
        <v>2</v>
      </c>
      <c r="Q1331" s="1">
        <v>4</v>
      </c>
    </row>
    <row r="1332" spans="1:17" ht="15.75" customHeight="1">
      <c r="A1332" s="1">
        <v>2023</v>
      </c>
      <c r="B1332" s="1">
        <v>122</v>
      </c>
      <c r="C1332" s="1" t="s">
        <v>311</v>
      </c>
      <c r="D1332" s="1">
        <v>4.2320000000000002</v>
      </c>
      <c r="E1332" s="1" t="s">
        <v>722</v>
      </c>
      <c r="F1332" s="1">
        <v>102</v>
      </c>
      <c r="G1332" s="1">
        <v>121</v>
      </c>
      <c r="H1332" s="1">
        <v>128</v>
      </c>
      <c r="I1332" s="1">
        <v>109</v>
      </c>
      <c r="J1332" s="1">
        <v>79</v>
      </c>
      <c r="K1332" s="1">
        <v>133</v>
      </c>
      <c r="L1332" s="1">
        <v>76</v>
      </c>
      <c r="M1332" s="1">
        <v>75</v>
      </c>
      <c r="N1332" s="1">
        <v>92</v>
      </c>
      <c r="O1332" s="1">
        <v>133</v>
      </c>
      <c r="P1332" s="1">
        <v>61</v>
      </c>
      <c r="Q1332" s="1">
        <v>120</v>
      </c>
    </row>
    <row r="1333" spans="1:17" ht="15.75" customHeight="1">
      <c r="A1333" s="1">
        <v>2023</v>
      </c>
      <c r="B1333" s="1">
        <v>123</v>
      </c>
      <c r="C1333" s="1" t="s">
        <v>235</v>
      </c>
      <c r="D1333" s="1">
        <v>4.2279999999999998</v>
      </c>
      <c r="E1333" s="1">
        <v>0.26200000000000001</v>
      </c>
      <c r="F1333" s="1">
        <v>88</v>
      </c>
      <c r="G1333" s="1">
        <v>110</v>
      </c>
      <c r="H1333" s="1">
        <v>133</v>
      </c>
      <c r="I1333" s="1"/>
      <c r="J1333" s="1">
        <v>135</v>
      </c>
      <c r="K1333" s="1">
        <v>87</v>
      </c>
      <c r="L1333" s="1">
        <v>74</v>
      </c>
      <c r="M1333" s="1">
        <v>47</v>
      </c>
      <c r="N1333" s="1">
        <v>120</v>
      </c>
      <c r="O1333" s="1">
        <v>87</v>
      </c>
      <c r="P1333" s="1">
        <v>11</v>
      </c>
      <c r="Q1333" s="1">
        <v>77</v>
      </c>
    </row>
    <row r="1334" spans="1:17" ht="15.75" customHeight="1">
      <c r="A1334" s="1">
        <v>2023</v>
      </c>
      <c r="B1334" s="1">
        <v>124</v>
      </c>
      <c r="C1334" s="1" t="s">
        <v>247</v>
      </c>
      <c r="D1334" s="1">
        <v>4.2140000000000004</v>
      </c>
      <c r="E1334" s="1">
        <v>1.278</v>
      </c>
      <c r="F1334" s="1">
        <v>46</v>
      </c>
      <c r="G1334" s="1">
        <v>135</v>
      </c>
      <c r="H1334" s="1">
        <v>125</v>
      </c>
      <c r="I1334" s="1">
        <v>102</v>
      </c>
      <c r="J1334" s="1">
        <v>122</v>
      </c>
      <c r="K1334" s="1">
        <v>134</v>
      </c>
      <c r="L1334" s="1">
        <v>43</v>
      </c>
      <c r="M1334" s="1">
        <v>114</v>
      </c>
      <c r="N1334" s="1">
        <v>111</v>
      </c>
      <c r="O1334" s="1">
        <v>134</v>
      </c>
      <c r="P1334" s="1">
        <v>115</v>
      </c>
      <c r="Q1334" s="1">
        <v>129</v>
      </c>
    </row>
    <row r="1335" spans="1:17" ht="15.75" customHeight="1">
      <c r="A1335" s="1">
        <v>2023</v>
      </c>
      <c r="B1335" s="1">
        <v>125</v>
      </c>
      <c r="C1335" s="1" t="s">
        <v>138</v>
      </c>
      <c r="D1335" s="1">
        <v>4.1859999999999999</v>
      </c>
      <c r="E1335" s="1" t="s">
        <v>723</v>
      </c>
      <c r="F1335" s="1">
        <v>128</v>
      </c>
      <c r="G1335" s="1">
        <v>102</v>
      </c>
      <c r="H1335" s="1">
        <v>95</v>
      </c>
      <c r="I1335" s="1">
        <v>43</v>
      </c>
      <c r="J1335" s="1">
        <v>90</v>
      </c>
      <c r="K1335" s="1">
        <v>132</v>
      </c>
      <c r="L1335" s="1">
        <v>33</v>
      </c>
      <c r="M1335" s="1">
        <v>125</v>
      </c>
      <c r="N1335" s="1">
        <v>135</v>
      </c>
      <c r="O1335" s="1">
        <v>132</v>
      </c>
      <c r="P1335" s="1">
        <v>136</v>
      </c>
      <c r="Q1335" s="1">
        <v>43</v>
      </c>
    </row>
    <row r="1336" spans="1:17" ht="15.75" customHeight="1">
      <c r="A1336" s="1">
        <v>2023</v>
      </c>
      <c r="B1336" s="1">
        <v>126</v>
      </c>
      <c r="C1336" s="1" t="s">
        <v>188</v>
      </c>
      <c r="D1336" s="1">
        <v>4.0540000000000003</v>
      </c>
      <c r="E1336" s="1" t="s">
        <v>724</v>
      </c>
      <c r="F1336" s="1">
        <v>108</v>
      </c>
      <c r="G1336" s="1">
        <v>123</v>
      </c>
      <c r="H1336" s="1">
        <v>96</v>
      </c>
      <c r="I1336" s="1">
        <v>95</v>
      </c>
      <c r="J1336" s="1">
        <v>29</v>
      </c>
      <c r="K1336" s="1">
        <v>55</v>
      </c>
      <c r="L1336" s="1">
        <v>70</v>
      </c>
      <c r="M1336" s="1">
        <v>59</v>
      </c>
      <c r="N1336" s="1">
        <v>119</v>
      </c>
      <c r="O1336" s="1">
        <v>55</v>
      </c>
      <c r="P1336" s="1">
        <v>10</v>
      </c>
      <c r="Q1336" s="1">
        <v>62</v>
      </c>
    </row>
    <row r="1337" spans="1:17" ht="15.75" customHeight="1">
      <c r="A1337" s="1">
        <v>2023</v>
      </c>
      <c r="B1337" s="1">
        <v>127</v>
      </c>
      <c r="C1337" s="1" t="s">
        <v>191</v>
      </c>
      <c r="D1337" s="1">
        <v>3.9769999999999999</v>
      </c>
      <c r="E1337" s="1" t="s">
        <v>225</v>
      </c>
      <c r="F1337" s="1">
        <v>54</v>
      </c>
      <c r="G1337" s="1">
        <v>101</v>
      </c>
      <c r="H1337" s="1">
        <v>71</v>
      </c>
      <c r="I1337" s="1">
        <v>88</v>
      </c>
      <c r="J1337" s="1">
        <v>126</v>
      </c>
      <c r="K1337" s="1">
        <v>137</v>
      </c>
      <c r="L1337" s="1">
        <v>137</v>
      </c>
      <c r="M1337" s="1">
        <v>104</v>
      </c>
      <c r="N1337" s="1">
        <v>137</v>
      </c>
      <c r="O1337" s="1">
        <v>141</v>
      </c>
      <c r="P1337" s="1">
        <v>19</v>
      </c>
      <c r="Q1337" s="1"/>
    </row>
    <row r="1338" spans="1:17" ht="15.75" customHeight="1">
      <c r="A1338" s="1">
        <v>2023</v>
      </c>
      <c r="B1338" s="1">
        <v>128</v>
      </c>
      <c r="C1338" s="1" t="s">
        <v>187</v>
      </c>
      <c r="D1338" s="1">
        <v>3.8980000000000001</v>
      </c>
      <c r="E1338" s="1" t="s">
        <v>369</v>
      </c>
      <c r="F1338" s="1">
        <v>91</v>
      </c>
      <c r="G1338" s="1">
        <v>84</v>
      </c>
      <c r="H1338" s="1">
        <v>83</v>
      </c>
      <c r="I1338" s="1">
        <v>34</v>
      </c>
      <c r="J1338" s="1">
        <v>92</v>
      </c>
      <c r="K1338" s="1">
        <v>61</v>
      </c>
      <c r="L1338" s="1">
        <v>131</v>
      </c>
      <c r="M1338" s="1">
        <v>51</v>
      </c>
      <c r="N1338" s="1">
        <v>105</v>
      </c>
      <c r="O1338" s="1">
        <v>61</v>
      </c>
      <c r="P1338" s="1">
        <v>9</v>
      </c>
      <c r="Q1338" s="1">
        <v>60</v>
      </c>
    </row>
    <row r="1339" spans="1:17" ht="15.75" customHeight="1">
      <c r="A1339" s="1">
        <v>2023</v>
      </c>
      <c r="B1339" s="1">
        <v>129</v>
      </c>
      <c r="C1339" s="1" t="s">
        <v>176</v>
      </c>
      <c r="D1339" s="1">
        <v>3.8860000000000001</v>
      </c>
      <c r="E1339" s="1" t="s">
        <v>725</v>
      </c>
      <c r="F1339" s="1">
        <v>78</v>
      </c>
      <c r="G1339" s="1">
        <v>139</v>
      </c>
      <c r="H1339" s="1">
        <v>99</v>
      </c>
      <c r="I1339" s="1">
        <v>68</v>
      </c>
      <c r="J1339" s="1">
        <v>15</v>
      </c>
      <c r="K1339" s="1">
        <v>81</v>
      </c>
      <c r="L1339" s="1">
        <v>63</v>
      </c>
      <c r="M1339" s="1">
        <v>138</v>
      </c>
      <c r="N1339" s="1">
        <v>134</v>
      </c>
      <c r="O1339" s="1">
        <v>81</v>
      </c>
      <c r="P1339" s="1">
        <v>103</v>
      </c>
      <c r="Q1339" s="1">
        <v>2</v>
      </c>
    </row>
    <row r="1340" spans="1:17" ht="15.75" customHeight="1">
      <c r="A1340" s="1">
        <v>2023</v>
      </c>
      <c r="B1340" s="1">
        <v>130</v>
      </c>
      <c r="C1340" s="1" t="s">
        <v>183</v>
      </c>
      <c r="D1340" s="1">
        <v>3.8610000000000002</v>
      </c>
      <c r="E1340" s="1" t="s">
        <v>726</v>
      </c>
      <c r="F1340" s="1">
        <v>85</v>
      </c>
      <c r="G1340" s="1">
        <v>115</v>
      </c>
      <c r="H1340" s="1">
        <v>126</v>
      </c>
      <c r="I1340" s="1"/>
      <c r="J1340" s="1">
        <v>125</v>
      </c>
      <c r="K1340" s="1">
        <v>51</v>
      </c>
      <c r="L1340" s="1">
        <v>82</v>
      </c>
      <c r="M1340" s="1">
        <v>119</v>
      </c>
      <c r="N1340" s="1">
        <v>77</v>
      </c>
      <c r="O1340" s="1">
        <v>51</v>
      </c>
      <c r="P1340" s="1">
        <v>41</v>
      </c>
      <c r="Q1340" s="1">
        <v>55</v>
      </c>
    </row>
    <row r="1341" spans="1:17" ht="15.75" customHeight="1">
      <c r="A1341" s="1">
        <v>2023</v>
      </c>
      <c r="B1341" s="1">
        <v>131</v>
      </c>
      <c r="C1341" s="1" t="s">
        <v>236</v>
      </c>
      <c r="D1341" s="1">
        <v>3.7810000000000001</v>
      </c>
      <c r="E1341" s="1">
        <v>1.0999999999999999E-2</v>
      </c>
      <c r="F1341" s="1">
        <v>125</v>
      </c>
      <c r="G1341" s="1">
        <v>118</v>
      </c>
      <c r="H1341" s="1">
        <v>119</v>
      </c>
      <c r="I1341" s="1">
        <v>96</v>
      </c>
      <c r="J1341" s="1">
        <v>47</v>
      </c>
      <c r="K1341" s="1">
        <v>68</v>
      </c>
      <c r="L1341" s="1">
        <v>25</v>
      </c>
      <c r="M1341" s="1">
        <v>58</v>
      </c>
      <c r="N1341" s="1">
        <v>29</v>
      </c>
      <c r="O1341" s="1">
        <v>68</v>
      </c>
      <c r="P1341" s="1">
        <v>112</v>
      </c>
      <c r="Q1341" s="1">
        <v>104</v>
      </c>
    </row>
    <row r="1342" spans="1:17" ht="15.75" customHeight="1">
      <c r="A1342" s="1">
        <v>2023</v>
      </c>
      <c r="B1342" s="1">
        <v>132</v>
      </c>
      <c r="C1342" s="1" t="s">
        <v>219</v>
      </c>
      <c r="D1342" s="1">
        <v>3.5659999999999998</v>
      </c>
      <c r="E1342" s="1" t="s">
        <v>727</v>
      </c>
      <c r="F1342" s="1">
        <v>138</v>
      </c>
      <c r="G1342" s="1">
        <v>137</v>
      </c>
      <c r="H1342" s="1">
        <v>120</v>
      </c>
      <c r="I1342" s="1"/>
      <c r="J1342" s="1">
        <v>138</v>
      </c>
      <c r="K1342" s="1">
        <v>100</v>
      </c>
      <c r="L1342" s="1">
        <v>46</v>
      </c>
      <c r="M1342" s="1">
        <v>120</v>
      </c>
      <c r="N1342" s="1">
        <v>123</v>
      </c>
      <c r="O1342" s="1">
        <v>100</v>
      </c>
      <c r="P1342" s="1">
        <v>13</v>
      </c>
      <c r="Q1342" s="1">
        <v>87</v>
      </c>
    </row>
    <row r="1343" spans="1:17" ht="15.75" customHeight="1">
      <c r="A1343" s="1">
        <v>2023</v>
      </c>
      <c r="B1343" s="1">
        <v>133</v>
      </c>
      <c r="C1343" s="1" t="s">
        <v>233</v>
      </c>
      <c r="D1343" s="1">
        <v>3.5609999999999999</v>
      </c>
      <c r="E1343" s="1" t="s">
        <v>418</v>
      </c>
      <c r="F1343" s="1">
        <v>99</v>
      </c>
      <c r="G1343" s="1">
        <v>73</v>
      </c>
      <c r="H1343" s="1">
        <v>130</v>
      </c>
      <c r="I1343" s="1"/>
      <c r="J1343" s="1">
        <v>139</v>
      </c>
      <c r="K1343" s="1">
        <v>71</v>
      </c>
      <c r="L1343" s="1">
        <v>136</v>
      </c>
      <c r="M1343" s="1">
        <v>100</v>
      </c>
      <c r="N1343" s="1">
        <v>139</v>
      </c>
      <c r="O1343" s="1">
        <v>131</v>
      </c>
      <c r="P1343" s="1">
        <v>116</v>
      </c>
    </row>
    <row r="1344" spans="1:17" ht="15.75" customHeight="1">
      <c r="A1344" s="1">
        <v>2023</v>
      </c>
      <c r="B1344" s="1">
        <v>134</v>
      </c>
      <c r="C1344" s="1" t="s">
        <v>170</v>
      </c>
      <c r="D1344" s="1">
        <v>3.5019999999999998</v>
      </c>
      <c r="E1344" s="1" t="s">
        <v>728</v>
      </c>
      <c r="F1344" s="1">
        <v>121</v>
      </c>
      <c r="G1344" s="1">
        <v>117</v>
      </c>
      <c r="H1344" s="1">
        <v>118</v>
      </c>
      <c r="I1344" s="1">
        <v>112</v>
      </c>
      <c r="J1344" s="1">
        <v>49</v>
      </c>
      <c r="K1344" s="1">
        <v>74</v>
      </c>
      <c r="L1344" s="1">
        <v>90</v>
      </c>
      <c r="M1344" s="1">
        <v>79</v>
      </c>
      <c r="N1344" s="1">
        <v>109</v>
      </c>
      <c r="O1344" s="1">
        <v>74</v>
      </c>
      <c r="P1344" s="1">
        <v>47</v>
      </c>
      <c r="Q1344" s="1">
        <v>37</v>
      </c>
    </row>
    <row r="1345" spans="1:17" ht="15.75" customHeight="1">
      <c r="A1345" s="1">
        <v>2023</v>
      </c>
      <c r="B1345" s="1">
        <v>135</v>
      </c>
      <c r="C1345" s="1" t="s">
        <v>453</v>
      </c>
      <c r="D1345" s="1">
        <v>3.5019999999999998</v>
      </c>
      <c r="E1345" s="1" t="s">
        <v>729</v>
      </c>
      <c r="F1345" s="1">
        <v>96</v>
      </c>
      <c r="G1345" s="1">
        <v>95</v>
      </c>
      <c r="H1345" s="1">
        <v>90</v>
      </c>
      <c r="I1345" s="1"/>
      <c r="J1345" s="1">
        <v>132</v>
      </c>
      <c r="K1345" s="1">
        <v>122</v>
      </c>
      <c r="L1345" s="1">
        <v>55</v>
      </c>
      <c r="M1345" s="1">
        <v>57</v>
      </c>
      <c r="N1345" s="1">
        <v>90</v>
      </c>
      <c r="O1345" s="1">
        <v>122</v>
      </c>
      <c r="P1345" s="1">
        <v>75</v>
      </c>
      <c r="Q1345" s="1">
        <v>27</v>
      </c>
    </row>
    <row r="1346" spans="1:17" ht="15.75" customHeight="1">
      <c r="A1346" s="1">
        <v>2023</v>
      </c>
      <c r="B1346" s="1">
        <v>136</v>
      </c>
      <c r="C1346" s="1" t="s">
        <v>210</v>
      </c>
      <c r="D1346" s="1">
        <v>3.4209999999999998</v>
      </c>
      <c r="E1346" s="1" t="s">
        <v>730</v>
      </c>
      <c r="F1346" s="1">
        <v>136</v>
      </c>
      <c r="G1346" s="1">
        <v>138</v>
      </c>
      <c r="H1346" s="1">
        <v>132</v>
      </c>
      <c r="I1346" s="1">
        <v>106</v>
      </c>
      <c r="J1346" s="1">
        <v>101</v>
      </c>
      <c r="K1346" s="1">
        <v>119</v>
      </c>
      <c r="L1346" s="1">
        <v>57</v>
      </c>
      <c r="M1346" s="1">
        <v>123</v>
      </c>
      <c r="N1346" s="1">
        <v>98</v>
      </c>
      <c r="O1346" s="1">
        <v>119</v>
      </c>
      <c r="P1346" s="1">
        <v>36</v>
      </c>
      <c r="Q1346" s="1">
        <v>9</v>
      </c>
    </row>
    <row r="1347" spans="1:17" ht="15.75" customHeight="1">
      <c r="A1347" s="1">
        <v>2023</v>
      </c>
      <c r="B1347" s="1">
        <v>137</v>
      </c>
      <c r="C1347" s="1" t="s">
        <v>218</v>
      </c>
      <c r="D1347" s="1">
        <v>3.383</v>
      </c>
      <c r="E1347" s="1" t="s">
        <v>488</v>
      </c>
      <c r="F1347" s="1">
        <v>120</v>
      </c>
      <c r="G1347" s="1">
        <v>107</v>
      </c>
      <c r="H1347" s="1">
        <v>67</v>
      </c>
      <c r="I1347" s="1"/>
      <c r="J1347" s="1">
        <v>99</v>
      </c>
      <c r="K1347" s="1">
        <v>141</v>
      </c>
      <c r="L1347" s="1">
        <v>89</v>
      </c>
      <c r="M1347" s="1">
        <v>76</v>
      </c>
      <c r="N1347" s="1">
        <v>51</v>
      </c>
      <c r="O1347" s="1">
        <v>141</v>
      </c>
      <c r="P1347" s="1">
        <v>117</v>
      </c>
      <c r="Q1347" s="1">
        <v>29</v>
      </c>
    </row>
    <row r="1348" spans="1:17" ht="15.75" customHeight="1">
      <c r="A1348" s="1">
        <v>2023</v>
      </c>
      <c r="B1348" s="1">
        <v>138</v>
      </c>
      <c r="C1348" s="1" t="s">
        <v>208</v>
      </c>
      <c r="D1348" s="1">
        <v>3.3410000000000002</v>
      </c>
      <c r="E1348" s="1" t="s">
        <v>731</v>
      </c>
      <c r="F1348" s="1">
        <v>87</v>
      </c>
      <c r="G1348" s="1">
        <v>109</v>
      </c>
      <c r="H1348" s="1">
        <v>121</v>
      </c>
      <c r="I1348" s="1">
        <v>115</v>
      </c>
      <c r="J1348" s="1">
        <v>104</v>
      </c>
      <c r="K1348" s="1">
        <v>135</v>
      </c>
      <c r="L1348" s="1">
        <v>65</v>
      </c>
      <c r="M1348" s="1">
        <v>96</v>
      </c>
      <c r="N1348" s="1">
        <v>10</v>
      </c>
      <c r="O1348" s="1">
        <v>135</v>
      </c>
      <c r="P1348" s="1">
        <v>97</v>
      </c>
      <c r="Q1348" s="1">
        <v>86</v>
      </c>
    </row>
    <row r="1349" spans="1:17" ht="15.75" customHeight="1">
      <c r="A1349" s="1">
        <v>2023</v>
      </c>
      <c r="B1349" s="1">
        <v>139</v>
      </c>
      <c r="C1349" s="1" t="s">
        <v>199</v>
      </c>
      <c r="D1349" s="1">
        <v>3.2949999999999999</v>
      </c>
      <c r="E1349" s="1" t="s">
        <v>732</v>
      </c>
      <c r="F1349" s="1">
        <v>130</v>
      </c>
      <c r="G1349" s="1">
        <v>132</v>
      </c>
      <c r="H1349" s="1">
        <v>136</v>
      </c>
      <c r="I1349" s="1"/>
      <c r="J1349" s="1">
        <v>120</v>
      </c>
      <c r="K1349" s="1">
        <v>75</v>
      </c>
      <c r="L1349" s="1">
        <v>101</v>
      </c>
      <c r="M1349" s="1">
        <v>113</v>
      </c>
      <c r="N1349" s="1">
        <v>139</v>
      </c>
      <c r="O1349" s="1">
        <v>75</v>
      </c>
      <c r="P1349" s="1">
        <v>24</v>
      </c>
      <c r="Q1349" s="1">
        <v>45</v>
      </c>
    </row>
    <row r="1350" spans="1:17" ht="15.75" customHeight="1">
      <c r="A1350" s="1">
        <v>2023</v>
      </c>
      <c r="B1350" s="1">
        <v>140</v>
      </c>
      <c r="C1350" s="1" t="s">
        <v>178</v>
      </c>
      <c r="D1350" s="1">
        <v>3.2450000000000001</v>
      </c>
      <c r="E1350" s="1" t="s">
        <v>733</v>
      </c>
      <c r="F1350" s="1">
        <v>74</v>
      </c>
      <c r="G1350" s="1">
        <v>129</v>
      </c>
      <c r="H1350" s="1">
        <v>122</v>
      </c>
      <c r="I1350" s="1">
        <v>111</v>
      </c>
      <c r="J1350" s="1">
        <v>119</v>
      </c>
      <c r="K1350" s="1">
        <v>85</v>
      </c>
      <c r="L1350" s="1">
        <v>113</v>
      </c>
      <c r="M1350" s="1">
        <v>128</v>
      </c>
      <c r="N1350" s="1">
        <v>133</v>
      </c>
      <c r="O1350" s="1">
        <v>85</v>
      </c>
      <c r="P1350" s="1">
        <v>21</v>
      </c>
      <c r="Q1350" s="1">
        <v>7</v>
      </c>
    </row>
    <row r="1351" spans="1:17" ht="15.75" customHeight="1">
      <c r="A1351" s="1">
        <v>2023</v>
      </c>
      <c r="B1351" s="1">
        <v>141</v>
      </c>
      <c r="C1351" s="1" t="s">
        <v>321</v>
      </c>
      <c r="D1351" s="1">
        <v>3.1859999999999999</v>
      </c>
      <c r="E1351" s="1" t="s">
        <v>734</v>
      </c>
      <c r="F1351" s="1"/>
      <c r="G1351" s="1"/>
      <c r="H1351" s="1"/>
      <c r="I1351" s="1"/>
      <c r="J1351" s="1"/>
      <c r="K1351" s="1"/>
      <c r="L1351" s="1"/>
      <c r="M1351" s="1"/>
      <c r="N1351" s="1"/>
      <c r="Q1351" s="1"/>
    </row>
    <row r="1352" spans="1:17" ht="15.75" customHeight="1">
      <c r="A1352" s="1">
        <v>2023</v>
      </c>
      <c r="B1352" s="1">
        <v>142</v>
      </c>
      <c r="C1352" s="1" t="s">
        <v>154</v>
      </c>
      <c r="D1352" s="1">
        <v>2.7069999999999999</v>
      </c>
      <c r="E1352" s="1" t="s">
        <v>735</v>
      </c>
      <c r="F1352" s="1">
        <v>70</v>
      </c>
      <c r="G1352" s="1">
        <v>112</v>
      </c>
      <c r="H1352" s="1">
        <v>89</v>
      </c>
      <c r="I1352" s="1">
        <v>66</v>
      </c>
      <c r="J1352" s="1">
        <v>136</v>
      </c>
      <c r="K1352" s="1">
        <v>103</v>
      </c>
      <c r="L1352" s="1">
        <v>125</v>
      </c>
      <c r="M1352" s="1">
        <v>139</v>
      </c>
      <c r="N1352" s="1">
        <v>118</v>
      </c>
      <c r="O1352" s="1">
        <v>103</v>
      </c>
      <c r="P1352" s="1">
        <v>134</v>
      </c>
      <c r="Q1352" s="1">
        <v>125</v>
      </c>
    </row>
    <row r="1353" spans="1:17" ht="15.75" customHeight="1">
      <c r="A1353" s="1">
        <v>2023</v>
      </c>
      <c r="B1353" s="1">
        <v>143</v>
      </c>
      <c r="C1353" s="1" t="s">
        <v>245</v>
      </c>
      <c r="D1353" s="1">
        <v>1.7210000000000001</v>
      </c>
      <c r="E1353" s="1" t="s">
        <v>736</v>
      </c>
      <c r="F1353" s="1">
        <v>1</v>
      </c>
      <c r="G1353" s="1">
        <v>141</v>
      </c>
      <c r="H1353" s="1">
        <v>129</v>
      </c>
      <c r="I1353" s="1">
        <v>116</v>
      </c>
      <c r="J1353" s="1">
        <v>139</v>
      </c>
      <c r="K1353" s="1">
        <v>136</v>
      </c>
      <c r="L1353" s="1">
        <v>54</v>
      </c>
      <c r="M1353" s="1">
        <v>141</v>
      </c>
      <c r="N1353" s="1">
        <v>136</v>
      </c>
      <c r="O1353" s="1">
        <v>136</v>
      </c>
      <c r="P1353" s="1">
        <v>128</v>
      </c>
      <c r="Q1353" s="1">
        <v>112</v>
      </c>
    </row>
    <row r="1354" spans="1:17" ht="15.75" customHeight="1">
      <c r="A1354" s="1">
        <v>2023</v>
      </c>
      <c r="B1354" s="1"/>
      <c r="C1354" s="1" t="s">
        <v>134</v>
      </c>
      <c r="D1354" s="1"/>
      <c r="E1354" s="1"/>
      <c r="F1354" s="1">
        <v>52</v>
      </c>
      <c r="G1354" s="1">
        <v>125</v>
      </c>
      <c r="H1354" s="1">
        <v>137</v>
      </c>
      <c r="I1354" s="1"/>
      <c r="J1354" s="1">
        <v>24</v>
      </c>
      <c r="K1354" s="1">
        <v>50</v>
      </c>
      <c r="L1354" s="1">
        <v>32</v>
      </c>
      <c r="M1354" s="1">
        <v>44</v>
      </c>
      <c r="N1354" s="1">
        <v>43</v>
      </c>
      <c r="O1354" s="1">
        <v>50</v>
      </c>
      <c r="P1354" s="1">
        <v>69</v>
      </c>
      <c r="Q1354" s="1">
        <v>52</v>
      </c>
    </row>
    <row r="1355" spans="1:17" ht="15.75" customHeight="1">
      <c r="A1355" s="1">
        <v>2024</v>
      </c>
      <c r="B1355" s="1">
        <v>1</v>
      </c>
      <c r="C1355" s="1" t="s">
        <v>37</v>
      </c>
      <c r="D1355" s="1">
        <v>7.7359999999999998</v>
      </c>
      <c r="E1355" s="1">
        <v>0.34699999999999998</v>
      </c>
      <c r="F1355" s="1">
        <v>2</v>
      </c>
      <c r="G1355" s="1">
        <v>2</v>
      </c>
      <c r="H1355" s="1">
        <v>15</v>
      </c>
      <c r="I1355" s="1">
        <v>18</v>
      </c>
      <c r="J1355" s="1">
        <v>4</v>
      </c>
      <c r="K1355" s="1">
        <v>56</v>
      </c>
      <c r="L1355" s="1">
        <v>2</v>
      </c>
      <c r="M1355" s="1">
        <v>25</v>
      </c>
      <c r="N1355" s="1">
        <v>7</v>
      </c>
      <c r="O1355" s="1">
        <v>56</v>
      </c>
      <c r="P1355" s="1">
        <v>75</v>
      </c>
      <c r="Q1355" s="1">
        <v>77</v>
      </c>
    </row>
    <row r="1356" spans="1:17" ht="15.75" customHeight="1">
      <c r="A1356" s="1">
        <v>2024</v>
      </c>
      <c r="B1356" s="1">
        <v>2</v>
      </c>
      <c r="C1356" s="1" t="s">
        <v>30</v>
      </c>
      <c r="D1356" s="1">
        <v>7.5209999999999999</v>
      </c>
      <c r="E1356" s="1" t="s">
        <v>419</v>
      </c>
      <c r="F1356" s="1">
        <v>28</v>
      </c>
      <c r="G1356" s="1">
        <v>4</v>
      </c>
      <c r="H1356" s="1">
        <v>5</v>
      </c>
      <c r="I1356" s="1">
        <v>15</v>
      </c>
      <c r="J1356" s="1">
        <v>10</v>
      </c>
      <c r="K1356" s="1">
        <v>31</v>
      </c>
      <c r="L1356" s="1">
        <v>4</v>
      </c>
      <c r="M1356" s="1">
        <v>11</v>
      </c>
      <c r="N1356" s="1">
        <v>35</v>
      </c>
      <c r="O1356" s="1">
        <v>31</v>
      </c>
      <c r="P1356" s="1">
        <v>60</v>
      </c>
      <c r="Q1356" s="1">
        <v>70</v>
      </c>
    </row>
    <row r="1357" spans="1:17" ht="15.75" customHeight="1">
      <c r="A1357" s="1">
        <v>2024</v>
      </c>
      <c r="B1357" s="1">
        <v>3</v>
      </c>
      <c r="C1357" s="1" t="s">
        <v>34</v>
      </c>
      <c r="D1357" s="1">
        <v>7.5149999999999997</v>
      </c>
      <c r="E1357" s="1">
        <v>0.16</v>
      </c>
      <c r="F1357" s="1">
        <v>5</v>
      </c>
      <c r="G1357" s="1">
        <v>1</v>
      </c>
      <c r="H1357" s="1">
        <v>8</v>
      </c>
      <c r="I1357" s="1">
        <v>4</v>
      </c>
      <c r="J1357" s="1">
        <v>3</v>
      </c>
      <c r="K1357" s="1">
        <v>5</v>
      </c>
      <c r="L1357" s="1">
        <v>31</v>
      </c>
      <c r="M1357" s="1">
        <v>8</v>
      </c>
      <c r="N1357" s="1">
        <v>8</v>
      </c>
      <c r="O1357" s="1">
        <v>5</v>
      </c>
      <c r="P1357" s="1">
        <v>66</v>
      </c>
      <c r="Q1357" s="1">
        <v>102</v>
      </c>
    </row>
    <row r="1358" spans="1:17" ht="15.75" customHeight="1">
      <c r="A1358" s="1">
        <v>2024</v>
      </c>
      <c r="B1358" s="1">
        <v>4</v>
      </c>
      <c r="C1358" s="1" t="s">
        <v>45</v>
      </c>
      <c r="D1358" s="1">
        <v>7.3449999999999998</v>
      </c>
      <c r="E1358" s="1" t="s">
        <v>256</v>
      </c>
      <c r="F1358" s="1">
        <v>11</v>
      </c>
      <c r="G1358" s="1">
        <v>27</v>
      </c>
      <c r="H1358" s="1">
        <v>12</v>
      </c>
      <c r="I1358" s="1">
        <v>7</v>
      </c>
      <c r="J1358" s="1">
        <v>21</v>
      </c>
      <c r="K1358" s="1">
        <v>20</v>
      </c>
      <c r="L1358" s="1">
        <v>5</v>
      </c>
      <c r="M1358" s="1">
        <v>23</v>
      </c>
      <c r="N1358" s="1">
        <v>24</v>
      </c>
      <c r="O1358" s="1">
        <v>20</v>
      </c>
      <c r="P1358" s="1">
        <v>78</v>
      </c>
      <c r="Q1358" s="1">
        <v>71</v>
      </c>
    </row>
    <row r="1359" spans="1:17" ht="15.75" customHeight="1">
      <c r="A1359" s="1">
        <v>2024</v>
      </c>
      <c r="B1359" s="1">
        <v>5</v>
      </c>
      <c r="C1359" s="1" t="s">
        <v>40</v>
      </c>
      <c r="D1359" s="1">
        <v>7.306</v>
      </c>
      <c r="E1359" s="1" t="s">
        <v>595</v>
      </c>
      <c r="F1359" s="1">
        <v>1</v>
      </c>
      <c r="G1359" s="1">
        <v>28</v>
      </c>
      <c r="H1359" s="1">
        <v>6</v>
      </c>
      <c r="I1359" s="1"/>
      <c r="J1359" s="1">
        <v>41</v>
      </c>
      <c r="K1359" s="1">
        <v>9</v>
      </c>
      <c r="L1359" s="1">
        <v>11</v>
      </c>
      <c r="M1359" s="1">
        <v>41</v>
      </c>
      <c r="N1359" s="1">
        <v>34</v>
      </c>
      <c r="O1359" s="1">
        <v>9</v>
      </c>
      <c r="P1359" s="1">
        <v>46</v>
      </c>
      <c r="Q1359" s="1">
        <v>128</v>
      </c>
    </row>
    <row r="1360" spans="1:17" ht="15.75" customHeight="1">
      <c r="A1360" s="1">
        <v>2024</v>
      </c>
      <c r="B1360" s="1">
        <v>6</v>
      </c>
      <c r="C1360" s="1" t="s">
        <v>52</v>
      </c>
      <c r="D1360" s="1">
        <v>7.274</v>
      </c>
      <c r="E1360" s="1">
        <v>1.7000000000000001E-2</v>
      </c>
      <c r="F1360" s="1">
        <v>58</v>
      </c>
      <c r="G1360" s="1">
        <v>36</v>
      </c>
      <c r="H1360" s="1">
        <v>50</v>
      </c>
      <c r="I1360" s="1">
        <v>29</v>
      </c>
      <c r="J1360" s="1">
        <v>13</v>
      </c>
      <c r="K1360" s="1">
        <v>115</v>
      </c>
      <c r="L1360" s="1">
        <v>70</v>
      </c>
      <c r="M1360" s="1">
        <v>9</v>
      </c>
      <c r="N1360" s="1">
        <v>75</v>
      </c>
      <c r="O1360" s="1">
        <v>115</v>
      </c>
      <c r="P1360" s="1">
        <v>84</v>
      </c>
      <c r="Q1360" s="1">
        <v>60</v>
      </c>
    </row>
    <row r="1361" spans="1:17" ht="15.75" customHeight="1">
      <c r="A1361" s="1">
        <v>2024</v>
      </c>
      <c r="B1361" s="1">
        <v>7</v>
      </c>
      <c r="C1361" s="1" t="s">
        <v>35</v>
      </c>
      <c r="D1361" s="1">
        <v>7.2619999999999996</v>
      </c>
      <c r="E1361" s="1" t="s">
        <v>737</v>
      </c>
      <c r="F1361" s="1">
        <v>17</v>
      </c>
      <c r="G1361" s="1">
        <v>19</v>
      </c>
      <c r="H1361" s="1">
        <v>2</v>
      </c>
      <c r="I1361" s="1">
        <v>5</v>
      </c>
      <c r="J1361" s="1">
        <v>17</v>
      </c>
      <c r="K1361" s="1">
        <v>18</v>
      </c>
      <c r="L1361" s="1">
        <v>8</v>
      </c>
      <c r="M1361" s="1">
        <v>29</v>
      </c>
      <c r="N1361" s="1">
        <v>46</v>
      </c>
      <c r="O1361" s="1">
        <v>18</v>
      </c>
      <c r="P1361" s="1">
        <v>25</v>
      </c>
      <c r="Q1361" s="1">
        <v>92</v>
      </c>
    </row>
    <row r="1362" spans="1:17" ht="15.75" customHeight="1">
      <c r="A1362" s="1">
        <v>2024</v>
      </c>
      <c r="B1362" s="1">
        <v>8</v>
      </c>
      <c r="C1362" s="1" t="s">
        <v>47</v>
      </c>
      <c r="D1362" s="1">
        <v>7.234</v>
      </c>
      <c r="E1362" s="1" t="s">
        <v>680</v>
      </c>
      <c r="F1362" s="1">
        <v>15</v>
      </c>
      <c r="G1362" s="1">
        <v>13</v>
      </c>
      <c r="H1362" s="1">
        <v>25</v>
      </c>
      <c r="I1362" s="1">
        <v>9</v>
      </c>
      <c r="J1362" s="1">
        <v>87</v>
      </c>
      <c r="K1362" s="1">
        <v>19</v>
      </c>
      <c r="L1362" s="1">
        <v>32</v>
      </c>
      <c r="M1362" s="1">
        <v>100</v>
      </c>
      <c r="N1362" s="1">
        <v>80</v>
      </c>
      <c r="O1362" s="1">
        <v>19</v>
      </c>
      <c r="P1362" s="1">
        <v>49</v>
      </c>
      <c r="Q1362" s="1">
        <v>63</v>
      </c>
    </row>
    <row r="1363" spans="1:17" ht="15.75" customHeight="1">
      <c r="A1363" s="1">
        <v>2024</v>
      </c>
      <c r="B1363" s="1">
        <v>9</v>
      </c>
      <c r="C1363" s="1" t="s">
        <v>59</v>
      </c>
      <c r="D1363" s="1">
        <v>7.1219999999999999</v>
      </c>
      <c r="E1363" s="1">
        <v>6.8000000000000005E-2</v>
      </c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</row>
    <row r="1364" spans="1:17" ht="15.75" customHeight="1">
      <c r="A1364" s="1">
        <v>2024</v>
      </c>
      <c r="B1364" s="1">
        <v>10</v>
      </c>
      <c r="C1364" s="1" t="s">
        <v>61</v>
      </c>
      <c r="D1364" s="1">
        <v>6.9790000000000001</v>
      </c>
      <c r="E1364" s="1" t="s">
        <v>350</v>
      </c>
      <c r="F1364" s="1">
        <v>71</v>
      </c>
      <c r="G1364" s="1">
        <v>61</v>
      </c>
      <c r="H1364" s="1">
        <v>57</v>
      </c>
      <c r="I1364" s="1">
        <v>79</v>
      </c>
      <c r="J1364" s="1">
        <v>27</v>
      </c>
      <c r="K1364" s="1">
        <v>104</v>
      </c>
      <c r="L1364" s="1">
        <v>59</v>
      </c>
      <c r="M1364" s="1">
        <v>6</v>
      </c>
      <c r="N1364" s="1">
        <v>14</v>
      </c>
      <c r="O1364" s="1">
        <v>104</v>
      </c>
      <c r="P1364" s="1">
        <v>81</v>
      </c>
      <c r="Q1364" s="1">
        <v>44</v>
      </c>
    </row>
    <row r="1365" spans="1:17" ht="15.75" customHeight="1">
      <c r="A1365" s="1">
        <v>2024</v>
      </c>
      <c r="B1365" s="1">
        <v>11</v>
      </c>
      <c r="C1365" s="1" t="s">
        <v>43</v>
      </c>
      <c r="D1365" s="1">
        <v>6.9740000000000002</v>
      </c>
      <c r="E1365" s="1" t="s">
        <v>495</v>
      </c>
      <c r="F1365" s="1">
        <v>36</v>
      </c>
      <c r="G1365" s="1">
        <v>42</v>
      </c>
      <c r="H1365" s="1">
        <v>13</v>
      </c>
      <c r="I1365" s="1">
        <v>12</v>
      </c>
      <c r="J1365" s="1">
        <v>49</v>
      </c>
      <c r="K1365" s="1">
        <v>22</v>
      </c>
      <c r="L1365" s="1">
        <v>19</v>
      </c>
      <c r="M1365" s="1">
        <v>51</v>
      </c>
      <c r="N1365" s="1">
        <v>72</v>
      </c>
      <c r="O1365" s="1">
        <v>22</v>
      </c>
      <c r="P1365" s="1">
        <v>40</v>
      </c>
      <c r="Q1365" s="1">
        <v>28</v>
      </c>
    </row>
    <row r="1366" spans="1:17" ht="15.75" customHeight="1">
      <c r="A1366" s="1">
        <v>2024</v>
      </c>
      <c r="B1366" s="1">
        <v>12</v>
      </c>
      <c r="C1366" s="1" t="s">
        <v>42</v>
      </c>
      <c r="D1366" s="1">
        <v>6.952</v>
      </c>
      <c r="E1366" s="1" t="s">
        <v>738</v>
      </c>
      <c r="F1366" s="1">
        <v>32</v>
      </c>
      <c r="G1366" s="1">
        <v>24</v>
      </c>
      <c r="H1366" s="1">
        <v>24</v>
      </c>
      <c r="I1366" s="1">
        <v>17</v>
      </c>
      <c r="J1366" s="1">
        <v>32</v>
      </c>
      <c r="K1366" s="1">
        <v>25</v>
      </c>
      <c r="L1366" s="1">
        <v>6</v>
      </c>
      <c r="M1366" s="1">
        <v>26</v>
      </c>
      <c r="N1366" s="1">
        <v>45</v>
      </c>
      <c r="O1366" s="1">
        <v>25</v>
      </c>
      <c r="P1366" s="1">
        <v>27</v>
      </c>
      <c r="Q1366" s="1">
        <v>41</v>
      </c>
    </row>
    <row r="1367" spans="1:17" ht="15.75" customHeight="1">
      <c r="A1367" s="1">
        <v>2024</v>
      </c>
      <c r="B1367" s="1">
        <v>13</v>
      </c>
      <c r="C1367" s="1" t="s">
        <v>32</v>
      </c>
      <c r="D1367" s="1">
        <v>6.9349999999999996</v>
      </c>
      <c r="E1367" s="1" t="s">
        <v>739</v>
      </c>
      <c r="F1367" s="1">
        <v>3</v>
      </c>
      <c r="G1367" s="1">
        <v>20</v>
      </c>
      <c r="H1367" s="1">
        <v>3</v>
      </c>
      <c r="I1367" s="1">
        <v>6</v>
      </c>
      <c r="J1367" s="1">
        <v>20</v>
      </c>
      <c r="K1367" s="1">
        <v>12</v>
      </c>
      <c r="L1367" s="1">
        <v>3</v>
      </c>
      <c r="M1367" s="1">
        <v>54</v>
      </c>
      <c r="N1367" s="1">
        <v>13</v>
      </c>
      <c r="O1367" s="1">
        <v>12</v>
      </c>
      <c r="P1367" s="1">
        <v>52</v>
      </c>
      <c r="Q1367" s="1">
        <v>126</v>
      </c>
    </row>
    <row r="1368" spans="1:17" ht="15.75" customHeight="1">
      <c r="A1368" s="1">
        <v>2024</v>
      </c>
      <c r="B1368" s="1">
        <v>14</v>
      </c>
      <c r="C1368" s="1" t="s">
        <v>415</v>
      </c>
      <c r="D1368" s="1">
        <v>6.91</v>
      </c>
      <c r="E1368" s="1" t="s">
        <v>280</v>
      </c>
      <c r="F1368" s="1">
        <v>4</v>
      </c>
      <c r="G1368" s="1">
        <v>31</v>
      </c>
      <c r="H1368" s="1">
        <v>11</v>
      </c>
      <c r="I1368" s="1">
        <v>20</v>
      </c>
      <c r="J1368" s="1">
        <v>26</v>
      </c>
      <c r="K1368" s="1">
        <v>48</v>
      </c>
      <c r="L1368" s="1">
        <v>14</v>
      </c>
      <c r="M1368" s="1">
        <v>58</v>
      </c>
      <c r="N1368" s="1">
        <v>37</v>
      </c>
      <c r="O1368" s="1">
        <v>48</v>
      </c>
      <c r="P1368" s="1">
        <v>61</v>
      </c>
      <c r="Q1368" s="1">
        <v>114</v>
      </c>
    </row>
    <row r="1369" spans="1:17" ht="15.75" customHeight="1">
      <c r="A1369" s="1">
        <v>2024</v>
      </c>
      <c r="B1369" s="12">
        <v>15</v>
      </c>
      <c r="C1369" s="8" t="s">
        <v>740</v>
      </c>
      <c r="D1369" s="5">
        <v>6.8890000000000002</v>
      </c>
      <c r="E1369" s="9" t="s">
        <v>741</v>
      </c>
      <c r="F1369" s="6">
        <v>8</v>
      </c>
      <c r="G1369" s="6">
        <v>22</v>
      </c>
      <c r="H1369" s="6">
        <v>1</v>
      </c>
      <c r="I1369" s="10">
        <v>16</v>
      </c>
      <c r="J1369" s="6">
        <v>33</v>
      </c>
      <c r="K1369" s="6">
        <v>3</v>
      </c>
      <c r="L1369" s="6">
        <v>10</v>
      </c>
      <c r="M1369" s="6">
        <v>50</v>
      </c>
      <c r="N1369" s="6">
        <v>44</v>
      </c>
      <c r="O1369" s="6">
        <v>3</v>
      </c>
      <c r="P1369" s="6">
        <v>24</v>
      </c>
      <c r="Q1369" s="6">
        <v>76</v>
      </c>
    </row>
    <row r="1370" spans="1:17" ht="15.75" customHeight="1">
      <c r="A1370" s="1">
        <v>2024</v>
      </c>
      <c r="B1370" s="12">
        <v>16</v>
      </c>
      <c r="C1370" s="8" t="s">
        <v>742</v>
      </c>
      <c r="D1370" s="5">
        <v>6.8289999999999997</v>
      </c>
      <c r="E1370" s="6">
        <v>1.403</v>
      </c>
      <c r="F1370" s="6">
        <v>27</v>
      </c>
      <c r="G1370" s="6">
        <v>3</v>
      </c>
      <c r="H1370" s="6">
        <v>27</v>
      </c>
      <c r="I1370" s="7">
        <v>52</v>
      </c>
      <c r="J1370" s="6">
        <v>62</v>
      </c>
      <c r="K1370" s="6">
        <v>92</v>
      </c>
      <c r="L1370" s="6">
        <v>87</v>
      </c>
      <c r="M1370" s="6">
        <v>69</v>
      </c>
      <c r="N1370" s="6">
        <v>20</v>
      </c>
      <c r="O1370" s="6">
        <v>92</v>
      </c>
      <c r="P1370" s="6">
        <v>115</v>
      </c>
      <c r="Q1370" s="6">
        <v>84</v>
      </c>
    </row>
    <row r="1371" spans="1:17" ht="15.75" customHeight="1">
      <c r="A1371" s="1">
        <v>2024</v>
      </c>
      <c r="B1371" s="12">
        <v>17</v>
      </c>
      <c r="C1371" s="8" t="s">
        <v>743</v>
      </c>
      <c r="D1371" s="5">
        <v>6.81</v>
      </c>
      <c r="E1371" s="9" t="s">
        <v>516</v>
      </c>
      <c r="F1371" s="6">
        <v>18</v>
      </c>
      <c r="G1371" s="6">
        <v>25</v>
      </c>
      <c r="H1371" s="6">
        <v>10</v>
      </c>
      <c r="I1371" s="10">
        <v>19</v>
      </c>
      <c r="J1371" s="6">
        <v>54</v>
      </c>
      <c r="K1371" s="6">
        <v>7</v>
      </c>
      <c r="L1371" s="6">
        <v>18</v>
      </c>
      <c r="M1371" s="6">
        <v>62</v>
      </c>
      <c r="N1371" s="6">
        <v>32</v>
      </c>
      <c r="O1371" s="6">
        <v>7</v>
      </c>
      <c r="P1371" s="6">
        <v>48</v>
      </c>
      <c r="Q1371" s="6">
        <v>85</v>
      </c>
    </row>
    <row r="1372" spans="1:17" ht="15.75" customHeight="1">
      <c r="A1372" s="1">
        <v>2024</v>
      </c>
      <c r="B1372" s="1">
        <v>18</v>
      </c>
      <c r="C1372" s="1" t="s">
        <v>38</v>
      </c>
      <c r="D1372" s="1">
        <v>6.8029999999999999</v>
      </c>
      <c r="E1372" s="1" t="s">
        <v>465</v>
      </c>
      <c r="F1372" s="1">
        <v>44</v>
      </c>
      <c r="G1372" s="1">
        <v>35</v>
      </c>
      <c r="H1372" s="1">
        <v>16</v>
      </c>
      <c r="I1372" s="1">
        <v>21</v>
      </c>
      <c r="J1372" s="1">
        <v>68</v>
      </c>
      <c r="K1372" s="1">
        <v>27</v>
      </c>
      <c r="L1372" s="1">
        <v>15</v>
      </c>
      <c r="M1372" s="1">
        <v>56</v>
      </c>
      <c r="N1372" s="1">
        <v>92</v>
      </c>
      <c r="O1372" s="1">
        <v>27</v>
      </c>
      <c r="P1372" s="1">
        <v>22</v>
      </c>
      <c r="Q1372" s="1">
        <v>43</v>
      </c>
    </row>
    <row r="1373" spans="1:17" ht="15.75" customHeight="1">
      <c r="A1373" s="1">
        <v>2024</v>
      </c>
      <c r="B1373" s="1">
        <v>19</v>
      </c>
      <c r="C1373" s="1" t="s">
        <v>116</v>
      </c>
      <c r="D1373" s="1">
        <v>6.7919999999999998</v>
      </c>
      <c r="E1373" s="1">
        <v>0.73199999999999998</v>
      </c>
      <c r="F1373" s="1">
        <v>29</v>
      </c>
      <c r="G1373" s="1">
        <v>6</v>
      </c>
      <c r="H1373" s="1">
        <v>23</v>
      </c>
      <c r="I1373" s="1">
        <v>23</v>
      </c>
      <c r="J1373" s="1">
        <v>8</v>
      </c>
      <c r="K1373" s="1">
        <v>40</v>
      </c>
      <c r="L1373" s="1">
        <v>79</v>
      </c>
      <c r="M1373" s="1">
        <v>95</v>
      </c>
      <c r="N1373" s="1">
        <v>57</v>
      </c>
      <c r="O1373" s="1">
        <v>40</v>
      </c>
      <c r="P1373" s="1">
        <v>33</v>
      </c>
      <c r="Q1373" s="1">
        <v>123</v>
      </c>
    </row>
    <row r="1374" spans="1:17" ht="15.75" customHeight="1">
      <c r="A1374" s="1">
        <v>2024</v>
      </c>
      <c r="B1374" s="1">
        <v>20</v>
      </c>
      <c r="C1374" s="1" t="s">
        <v>70</v>
      </c>
      <c r="D1374" s="1">
        <v>6.7750000000000004</v>
      </c>
      <c r="E1374" s="1">
        <v>0.48499999999999999</v>
      </c>
      <c r="F1374" s="1">
        <v>34</v>
      </c>
      <c r="G1374" s="1">
        <v>9</v>
      </c>
      <c r="H1374" s="1">
        <v>26</v>
      </c>
      <c r="I1374" s="1">
        <v>36</v>
      </c>
      <c r="J1374" s="1">
        <v>31</v>
      </c>
      <c r="K1374" s="1">
        <v>44</v>
      </c>
      <c r="L1374" s="1">
        <v>73</v>
      </c>
      <c r="M1374" s="1">
        <v>34</v>
      </c>
      <c r="N1374" s="1">
        <v>71</v>
      </c>
      <c r="O1374" s="1">
        <v>44</v>
      </c>
      <c r="P1374" s="1">
        <v>57</v>
      </c>
      <c r="Q1374" s="1">
        <v>61</v>
      </c>
    </row>
    <row r="1375" spans="1:17" ht="15.75" customHeight="1">
      <c r="A1375" s="1">
        <v>2024</v>
      </c>
      <c r="B1375" s="1">
        <v>21</v>
      </c>
      <c r="C1375" s="1" t="s">
        <v>71</v>
      </c>
      <c r="D1375" s="1">
        <v>6.7590000000000003</v>
      </c>
      <c r="E1375" s="1" t="s">
        <v>744</v>
      </c>
      <c r="F1375" s="1">
        <v>63</v>
      </c>
      <c r="G1375" s="1">
        <v>92</v>
      </c>
      <c r="H1375" s="1">
        <v>7</v>
      </c>
      <c r="I1375" s="1">
        <v>30</v>
      </c>
      <c r="J1375" s="1">
        <v>14</v>
      </c>
      <c r="K1375" s="1">
        <v>23</v>
      </c>
      <c r="L1375" s="1">
        <v>80</v>
      </c>
      <c r="M1375" s="1">
        <v>58</v>
      </c>
      <c r="N1375" s="1">
        <v>23</v>
      </c>
      <c r="O1375" s="1">
        <v>14</v>
      </c>
      <c r="P1375" s="1">
        <v>68</v>
      </c>
      <c r="Q1375" s="1"/>
    </row>
    <row r="1376" spans="1:17" ht="15.75" customHeight="1">
      <c r="A1376" s="1">
        <v>2024</v>
      </c>
      <c r="B1376" s="1">
        <v>22</v>
      </c>
      <c r="C1376" s="1" t="s">
        <v>539</v>
      </c>
      <c r="D1376" s="1">
        <v>6.7530000000000001</v>
      </c>
      <c r="E1376" s="1">
        <v>8.1000000000000003E-2</v>
      </c>
      <c r="F1376" s="1">
        <v>31</v>
      </c>
      <c r="G1376" s="1">
        <v>37</v>
      </c>
      <c r="H1376" s="1">
        <v>9</v>
      </c>
      <c r="I1376" s="1">
        <v>24</v>
      </c>
      <c r="J1376" s="1">
        <v>56</v>
      </c>
      <c r="K1376" s="1">
        <v>14</v>
      </c>
      <c r="L1376" s="1">
        <v>9</v>
      </c>
      <c r="M1376" s="1">
        <v>67</v>
      </c>
      <c r="N1376" s="1">
        <v>40</v>
      </c>
      <c r="O1376" s="1">
        <v>14</v>
      </c>
      <c r="P1376" s="1">
        <v>47</v>
      </c>
      <c r="Q1376" s="1">
        <v>73</v>
      </c>
    </row>
    <row r="1377" spans="1:17" ht="15.75" customHeight="1">
      <c r="A1377" s="1">
        <v>2024</v>
      </c>
      <c r="B1377" s="1">
        <v>23</v>
      </c>
      <c r="C1377" s="1" t="s">
        <v>64</v>
      </c>
      <c r="D1377" s="1">
        <v>6.7279999999999998</v>
      </c>
      <c r="E1377" s="1" t="s">
        <v>701</v>
      </c>
      <c r="F1377" s="1">
        <v>7</v>
      </c>
      <c r="G1377" s="1">
        <v>44</v>
      </c>
      <c r="H1377" s="1">
        <v>20</v>
      </c>
      <c r="I1377" s="1">
        <v>25</v>
      </c>
      <c r="J1377" s="1">
        <v>35</v>
      </c>
      <c r="K1377" s="1">
        <v>6</v>
      </c>
      <c r="L1377" s="1">
        <v>16</v>
      </c>
      <c r="M1377" s="1">
        <v>45</v>
      </c>
      <c r="N1377" s="1">
        <v>49</v>
      </c>
      <c r="O1377" s="1">
        <v>6</v>
      </c>
      <c r="P1377" s="1">
        <v>36</v>
      </c>
      <c r="Q1377" s="1">
        <v>91</v>
      </c>
    </row>
    <row r="1378" spans="1:17" ht="15.75" customHeight="1">
      <c r="A1378" s="1">
        <v>2024</v>
      </c>
      <c r="B1378" s="1">
        <v>24</v>
      </c>
      <c r="C1378" s="1" t="s">
        <v>51</v>
      </c>
      <c r="D1378" s="1">
        <v>6.7240000000000002</v>
      </c>
      <c r="E1378" s="1" t="s">
        <v>439</v>
      </c>
      <c r="F1378" s="1">
        <v>13</v>
      </c>
      <c r="G1378" s="1">
        <v>12</v>
      </c>
      <c r="H1378" s="1">
        <v>4</v>
      </c>
      <c r="I1378" s="1">
        <v>56</v>
      </c>
      <c r="J1378" s="1">
        <v>115</v>
      </c>
      <c r="K1378" s="1">
        <v>16</v>
      </c>
      <c r="L1378" s="1">
        <v>37</v>
      </c>
      <c r="M1378" s="1">
        <v>30</v>
      </c>
      <c r="N1378" s="1">
        <v>51</v>
      </c>
      <c r="O1378" s="1">
        <v>16</v>
      </c>
      <c r="P1378" s="1">
        <v>15</v>
      </c>
      <c r="Q1378" s="1">
        <v>22</v>
      </c>
    </row>
    <row r="1379" spans="1:17" ht="15.75" customHeight="1">
      <c r="A1379" s="1">
        <v>2024</v>
      </c>
      <c r="B1379" s="1">
        <v>25</v>
      </c>
      <c r="C1379" s="1" t="s">
        <v>103</v>
      </c>
      <c r="D1379" s="1">
        <v>6.7110000000000003</v>
      </c>
      <c r="E1379" s="1">
        <v>99</v>
      </c>
      <c r="F1379" s="1">
        <v>57</v>
      </c>
      <c r="G1379" s="1">
        <v>83</v>
      </c>
      <c r="H1379" s="1">
        <v>1</v>
      </c>
      <c r="I1379" s="1"/>
      <c r="J1379" s="1">
        <v>96</v>
      </c>
      <c r="K1379" s="1">
        <v>92</v>
      </c>
      <c r="L1379" s="1">
        <v>13</v>
      </c>
      <c r="M1379" s="1">
        <v>16</v>
      </c>
      <c r="N1379" s="1">
        <v>96</v>
      </c>
      <c r="O1379" s="1">
        <v>37</v>
      </c>
      <c r="P1379" s="1">
        <v>21</v>
      </c>
      <c r="Q1379" s="1"/>
    </row>
    <row r="1380" spans="1:17" ht="15.75" customHeight="1">
      <c r="A1380" s="1">
        <v>2024</v>
      </c>
      <c r="B1380" s="1">
        <v>26</v>
      </c>
      <c r="C1380" s="1" t="s">
        <v>109</v>
      </c>
      <c r="D1380" s="1">
        <v>6.673</v>
      </c>
      <c r="E1380" s="1">
        <v>0.85099999999999998</v>
      </c>
      <c r="F1380" s="1">
        <v>6</v>
      </c>
      <c r="G1380" s="1">
        <v>34</v>
      </c>
      <c r="H1380" s="1">
        <v>30</v>
      </c>
      <c r="I1380" s="1">
        <v>40</v>
      </c>
      <c r="J1380" s="1">
        <v>37</v>
      </c>
      <c r="K1380" s="1">
        <v>114</v>
      </c>
      <c r="L1380" s="1">
        <v>52</v>
      </c>
      <c r="M1380" s="1">
        <v>113</v>
      </c>
      <c r="N1380" s="1">
        <v>5</v>
      </c>
      <c r="O1380" s="1">
        <v>114</v>
      </c>
      <c r="P1380" s="1">
        <v>126</v>
      </c>
      <c r="Q1380" s="1">
        <v>141</v>
      </c>
    </row>
    <row r="1381" spans="1:17" ht="15.75" customHeight="1">
      <c r="A1381" s="1">
        <v>2024</v>
      </c>
      <c r="B1381" s="1">
        <v>27</v>
      </c>
      <c r="C1381" s="1" t="s">
        <v>81</v>
      </c>
      <c r="D1381" s="1">
        <v>6.6689999999999996</v>
      </c>
      <c r="E1381" s="1">
        <v>0.44800000000000001</v>
      </c>
      <c r="F1381" s="1">
        <v>33</v>
      </c>
      <c r="G1381" s="1">
        <v>33</v>
      </c>
      <c r="H1381" s="1">
        <v>74</v>
      </c>
      <c r="I1381" s="1"/>
      <c r="J1381" s="1">
        <v>34</v>
      </c>
      <c r="K1381" s="1">
        <v>42</v>
      </c>
      <c r="L1381" s="1">
        <v>53</v>
      </c>
      <c r="M1381" s="1">
        <v>4</v>
      </c>
      <c r="N1381" s="1">
        <v>34</v>
      </c>
      <c r="O1381" s="1">
        <v>106</v>
      </c>
      <c r="P1381" s="1">
        <v>86</v>
      </c>
      <c r="Q1381" s="1"/>
    </row>
    <row r="1382" spans="1:17" ht="15.75" customHeight="1">
      <c r="A1382" s="1">
        <v>2024</v>
      </c>
      <c r="B1382" s="1">
        <v>28</v>
      </c>
      <c r="C1382" s="1" t="s">
        <v>73</v>
      </c>
      <c r="D1382" s="1">
        <v>6.6609999999999996</v>
      </c>
      <c r="E1382" s="1">
        <v>0.30599999999999999</v>
      </c>
      <c r="F1382" s="1">
        <v>48</v>
      </c>
      <c r="G1382" s="1">
        <v>17</v>
      </c>
      <c r="H1382" s="1">
        <v>46</v>
      </c>
      <c r="I1382" s="1">
        <v>45</v>
      </c>
      <c r="J1382" s="1">
        <v>18</v>
      </c>
      <c r="K1382" s="1">
        <v>83</v>
      </c>
      <c r="L1382" s="1">
        <v>29</v>
      </c>
      <c r="M1382" s="1">
        <v>27</v>
      </c>
      <c r="N1382" s="1">
        <v>60</v>
      </c>
      <c r="O1382" s="1">
        <v>83</v>
      </c>
      <c r="P1382" s="1">
        <v>105</v>
      </c>
      <c r="Q1382" s="1">
        <v>40</v>
      </c>
    </row>
    <row r="1383" spans="1:17" ht="15.75" customHeight="1">
      <c r="A1383" s="1">
        <v>2024</v>
      </c>
      <c r="B1383" s="1">
        <v>29</v>
      </c>
      <c r="C1383" s="1" t="s">
        <v>135</v>
      </c>
      <c r="D1383" s="1">
        <v>6.6589999999999998</v>
      </c>
      <c r="E1383" s="1">
        <v>1.4370000000000001</v>
      </c>
      <c r="F1383" s="1">
        <v>41</v>
      </c>
      <c r="G1383" s="1">
        <v>70</v>
      </c>
      <c r="H1383" s="1">
        <v>77</v>
      </c>
      <c r="I1383" s="1"/>
      <c r="J1383" s="1">
        <v>28</v>
      </c>
      <c r="K1383" s="1">
        <v>17</v>
      </c>
      <c r="L1383" s="1">
        <v>69</v>
      </c>
      <c r="M1383" s="1">
        <v>74</v>
      </c>
      <c r="N1383" s="1">
        <v>17</v>
      </c>
      <c r="O1383" s="1">
        <v>130</v>
      </c>
      <c r="P1383" s="1">
        <v>51</v>
      </c>
      <c r="Q1383" s="1"/>
    </row>
    <row r="1384" spans="1:17" ht="15.75" customHeight="1">
      <c r="A1384" s="1">
        <v>2024</v>
      </c>
      <c r="B1384" s="1">
        <v>30</v>
      </c>
      <c r="C1384" s="1" t="s">
        <v>88</v>
      </c>
      <c r="D1384" s="1">
        <v>6.6289999999999996</v>
      </c>
      <c r="E1384" s="1">
        <v>0.114</v>
      </c>
      <c r="F1384" s="1">
        <v>125</v>
      </c>
      <c r="G1384" s="1">
        <v>87</v>
      </c>
      <c r="H1384" s="1">
        <v>29</v>
      </c>
      <c r="I1384" s="1"/>
      <c r="J1384" s="1">
        <v>42</v>
      </c>
      <c r="K1384" s="1">
        <v>41</v>
      </c>
      <c r="L1384" s="1">
        <v>91</v>
      </c>
      <c r="M1384" s="1">
        <v>94</v>
      </c>
      <c r="N1384" s="1">
        <v>41</v>
      </c>
      <c r="O1384" s="1">
        <v>110</v>
      </c>
      <c r="P1384" s="1">
        <v>27</v>
      </c>
      <c r="Q1384" s="1"/>
    </row>
    <row r="1385" spans="1:17" ht="15.75" customHeight="1">
      <c r="A1385" s="1">
        <v>2024</v>
      </c>
      <c r="B1385" s="1">
        <v>31</v>
      </c>
      <c r="C1385" s="1" t="s">
        <v>145</v>
      </c>
      <c r="D1385" s="1">
        <v>6.6059999999999999</v>
      </c>
      <c r="E1385" s="1">
        <v>1.7929999999999999</v>
      </c>
      <c r="F1385" s="1">
        <v>45</v>
      </c>
      <c r="G1385" s="1">
        <v>29</v>
      </c>
      <c r="H1385" s="1">
        <v>51</v>
      </c>
      <c r="I1385" s="1">
        <v>57</v>
      </c>
      <c r="J1385" s="1">
        <v>66</v>
      </c>
      <c r="K1385" s="1">
        <v>36</v>
      </c>
      <c r="L1385" s="1">
        <v>61</v>
      </c>
      <c r="M1385" s="1">
        <v>117</v>
      </c>
      <c r="N1385" s="1">
        <v>26</v>
      </c>
      <c r="O1385" s="1">
        <v>36</v>
      </c>
      <c r="P1385" s="1">
        <v>137</v>
      </c>
      <c r="Q1385" s="1">
        <v>129</v>
      </c>
    </row>
    <row r="1386" spans="1:17" ht="15.75" customHeight="1">
      <c r="A1386" s="1">
        <v>2024</v>
      </c>
      <c r="B1386" s="1">
        <v>32</v>
      </c>
      <c r="C1386" s="1" t="s">
        <v>79</v>
      </c>
      <c r="D1386" s="1">
        <v>6.6</v>
      </c>
      <c r="E1386" s="1">
        <v>0.12</v>
      </c>
      <c r="F1386" s="1">
        <v>65</v>
      </c>
      <c r="G1386" s="1">
        <v>59</v>
      </c>
      <c r="H1386" s="1">
        <v>17</v>
      </c>
      <c r="I1386" s="1">
        <v>38</v>
      </c>
      <c r="J1386" s="1">
        <v>35</v>
      </c>
      <c r="K1386" s="1">
        <v>43</v>
      </c>
      <c r="L1386" s="1">
        <v>38</v>
      </c>
      <c r="M1386" s="1">
        <v>35</v>
      </c>
      <c r="N1386" s="1">
        <v>90</v>
      </c>
      <c r="O1386" s="1">
        <v>47</v>
      </c>
      <c r="P1386" s="1"/>
      <c r="Q1386" s="1"/>
    </row>
    <row r="1387" spans="1:17" ht="15.75" customHeight="1">
      <c r="A1387" s="1">
        <v>2024</v>
      </c>
      <c r="B1387" s="1">
        <v>33</v>
      </c>
      <c r="C1387" s="1" t="s">
        <v>76</v>
      </c>
      <c r="D1387" s="1">
        <v>6.593</v>
      </c>
      <c r="E1387" s="1" t="s">
        <v>254</v>
      </c>
      <c r="F1387" s="1">
        <v>10</v>
      </c>
      <c r="G1387" s="1">
        <v>41</v>
      </c>
      <c r="H1387" s="1">
        <v>18</v>
      </c>
      <c r="I1387" s="1">
        <v>14</v>
      </c>
      <c r="J1387" s="1">
        <v>84</v>
      </c>
      <c r="K1387" s="1">
        <v>45</v>
      </c>
      <c r="L1387" s="1">
        <v>22</v>
      </c>
      <c r="M1387" s="1">
        <v>76</v>
      </c>
      <c r="N1387" s="1">
        <v>47</v>
      </c>
      <c r="O1387" s="1">
        <v>45</v>
      </c>
      <c r="P1387" s="1">
        <v>38</v>
      </c>
      <c r="Q1387" s="1">
        <v>130</v>
      </c>
    </row>
    <row r="1388" spans="1:17" ht="15.75" customHeight="1">
      <c r="A1388" s="1">
        <v>2024</v>
      </c>
      <c r="B1388" s="1">
        <v>34</v>
      </c>
      <c r="C1388" s="1" t="s">
        <v>63</v>
      </c>
      <c r="D1388" s="1">
        <v>6.5650000000000004</v>
      </c>
      <c r="E1388" s="1">
        <v>1.9E-2</v>
      </c>
      <c r="F1388" s="1">
        <v>16</v>
      </c>
      <c r="G1388" s="1">
        <v>53</v>
      </c>
      <c r="H1388" s="1">
        <v>55</v>
      </c>
      <c r="I1388" s="1">
        <v>1</v>
      </c>
      <c r="J1388" s="1">
        <v>24</v>
      </c>
      <c r="K1388" s="1">
        <v>1</v>
      </c>
      <c r="L1388" s="1">
        <v>60</v>
      </c>
      <c r="M1388" s="1">
        <v>28</v>
      </c>
      <c r="N1388" s="1">
        <v>24</v>
      </c>
      <c r="O1388" s="1">
        <v>30</v>
      </c>
      <c r="P1388" s="1">
        <v>65</v>
      </c>
      <c r="Q1388" s="1"/>
    </row>
    <row r="1389" spans="1:17" ht="15.75" customHeight="1">
      <c r="A1389" s="1">
        <v>2024</v>
      </c>
      <c r="B1389" s="12">
        <v>35</v>
      </c>
      <c r="C1389" s="8" t="s">
        <v>745</v>
      </c>
      <c r="D1389" s="5">
        <v>6.5629999999999997</v>
      </c>
      <c r="E1389" s="6">
        <v>1.53</v>
      </c>
      <c r="F1389" s="6">
        <v>46</v>
      </c>
      <c r="G1389" s="6">
        <v>81</v>
      </c>
      <c r="H1389" s="6">
        <v>34</v>
      </c>
      <c r="I1389" s="10">
        <v>58</v>
      </c>
      <c r="J1389" s="6">
        <v>38</v>
      </c>
      <c r="K1389" s="6">
        <v>117</v>
      </c>
      <c r="L1389" s="6">
        <v>126</v>
      </c>
      <c r="M1389" s="6">
        <v>70</v>
      </c>
      <c r="N1389" s="6">
        <v>55</v>
      </c>
      <c r="O1389" s="6">
        <v>117</v>
      </c>
      <c r="P1389" s="6">
        <v>135</v>
      </c>
      <c r="Q1389" s="6">
        <v>107</v>
      </c>
    </row>
    <row r="1390" spans="1:17" ht="15.75" customHeight="1">
      <c r="A1390" s="1">
        <v>2024</v>
      </c>
      <c r="B1390" s="12">
        <v>36</v>
      </c>
      <c r="C1390" s="8" t="s">
        <v>746</v>
      </c>
      <c r="D1390" s="5">
        <v>6.4939999999999998</v>
      </c>
      <c r="E1390" s="9" t="s">
        <v>747</v>
      </c>
      <c r="F1390" s="6">
        <v>79</v>
      </c>
      <c r="G1390" s="6">
        <v>56</v>
      </c>
      <c r="H1390" s="6">
        <v>62</v>
      </c>
      <c r="I1390" s="7">
        <v>75</v>
      </c>
      <c r="J1390" s="6">
        <v>59</v>
      </c>
      <c r="K1390" s="6">
        <v>71</v>
      </c>
      <c r="L1390" s="6">
        <v>66</v>
      </c>
      <c r="M1390" s="6">
        <v>49</v>
      </c>
      <c r="N1390" s="6">
        <v>90</v>
      </c>
      <c r="O1390" s="6">
        <v>71</v>
      </c>
      <c r="P1390" s="6">
        <v>88</v>
      </c>
      <c r="Q1390" s="6">
        <v>50</v>
      </c>
    </row>
    <row r="1391" spans="1:17" ht="15.75" customHeight="1">
      <c r="A1391" s="1">
        <v>2024</v>
      </c>
      <c r="B1391" s="1">
        <v>37</v>
      </c>
      <c r="C1391" s="1" t="s">
        <v>96</v>
      </c>
      <c r="D1391" s="1">
        <v>6.492</v>
      </c>
      <c r="E1391" s="1">
        <v>0.68300000000000005</v>
      </c>
      <c r="F1391" s="1">
        <v>98</v>
      </c>
      <c r="G1391" s="1">
        <v>100</v>
      </c>
      <c r="H1391" s="1">
        <v>86</v>
      </c>
      <c r="I1391" s="1">
        <v>73</v>
      </c>
      <c r="J1391" s="1">
        <v>11</v>
      </c>
      <c r="K1391" s="1">
        <v>133</v>
      </c>
      <c r="L1391" s="1">
        <v>20</v>
      </c>
      <c r="M1391" s="1">
        <v>16</v>
      </c>
      <c r="N1391" s="1">
        <v>76</v>
      </c>
      <c r="O1391" s="1">
        <v>133</v>
      </c>
      <c r="P1391" s="1">
        <v>86</v>
      </c>
      <c r="Q1391" s="1">
        <v>118</v>
      </c>
    </row>
    <row r="1392" spans="1:17" ht="15.75" customHeight="1">
      <c r="A1392" s="1">
        <v>2024</v>
      </c>
      <c r="B1392" s="1">
        <v>38</v>
      </c>
      <c r="C1392" s="1" t="s">
        <v>274</v>
      </c>
      <c r="D1392" s="1">
        <v>6.4660000000000002</v>
      </c>
      <c r="E1392" s="1">
        <v>0.14399999999999999</v>
      </c>
      <c r="F1392" s="1">
        <v>9</v>
      </c>
      <c r="G1392" s="1">
        <v>16</v>
      </c>
      <c r="H1392" s="1">
        <v>22</v>
      </c>
      <c r="I1392" s="1">
        <v>8</v>
      </c>
      <c r="J1392" s="1">
        <v>88</v>
      </c>
      <c r="K1392" s="1">
        <v>32</v>
      </c>
      <c r="L1392" s="1">
        <v>33</v>
      </c>
      <c r="M1392" s="1">
        <v>78</v>
      </c>
      <c r="N1392" s="1">
        <v>89</v>
      </c>
      <c r="O1392" s="1">
        <v>32</v>
      </c>
      <c r="P1392" s="1">
        <v>79</v>
      </c>
      <c r="Q1392" s="1">
        <v>48</v>
      </c>
    </row>
    <row r="1393" spans="1:17" ht="15.75" customHeight="1">
      <c r="A1393" s="1">
        <v>2024</v>
      </c>
      <c r="B1393" s="1">
        <v>39</v>
      </c>
      <c r="C1393" s="1" t="s">
        <v>129</v>
      </c>
      <c r="D1393" s="1">
        <v>6.4169999999999998</v>
      </c>
      <c r="E1393" s="1">
        <v>0.99099999999999999</v>
      </c>
      <c r="F1393" s="1">
        <v>30</v>
      </c>
      <c r="G1393" s="1">
        <v>23</v>
      </c>
      <c r="H1393" s="1">
        <v>35</v>
      </c>
      <c r="I1393" s="1">
        <v>32</v>
      </c>
      <c r="J1393" s="1">
        <v>52</v>
      </c>
      <c r="K1393" s="1">
        <v>39</v>
      </c>
      <c r="L1393" s="1">
        <v>13</v>
      </c>
      <c r="M1393" s="1">
        <v>32</v>
      </c>
      <c r="N1393" s="1">
        <v>25</v>
      </c>
      <c r="O1393" s="1">
        <v>39</v>
      </c>
      <c r="P1393" s="1">
        <v>73</v>
      </c>
      <c r="Q1393" s="1">
        <v>95</v>
      </c>
    </row>
    <row r="1394" spans="1:17" ht="15.75" customHeight="1">
      <c r="A1394" s="1">
        <v>2024</v>
      </c>
      <c r="B1394" s="1">
        <v>40</v>
      </c>
      <c r="C1394" s="1" t="s">
        <v>100</v>
      </c>
      <c r="D1394" s="1">
        <v>6.415</v>
      </c>
      <c r="E1394" s="1">
        <v>0.39400000000000002</v>
      </c>
      <c r="F1394" s="1">
        <v>19</v>
      </c>
      <c r="G1394" s="1">
        <v>52</v>
      </c>
      <c r="H1394" s="1">
        <v>19</v>
      </c>
      <c r="I1394" s="1">
        <v>13</v>
      </c>
      <c r="J1394" s="1">
        <v>103</v>
      </c>
      <c r="K1394" s="1">
        <v>89</v>
      </c>
      <c r="L1394" s="1">
        <v>112</v>
      </c>
      <c r="M1394" s="1">
        <v>103</v>
      </c>
      <c r="N1394" s="1">
        <v>62</v>
      </c>
      <c r="O1394" s="1">
        <v>89</v>
      </c>
      <c r="P1394" s="1">
        <v>100</v>
      </c>
      <c r="Q1394" s="1">
        <v>119</v>
      </c>
    </row>
    <row r="1395" spans="1:17" ht="15.75" customHeight="1">
      <c r="A1395" s="1">
        <v>2024</v>
      </c>
      <c r="B1395" s="1">
        <v>41</v>
      </c>
      <c r="C1395" s="1" t="s">
        <v>67</v>
      </c>
      <c r="D1395" s="1">
        <v>6.407</v>
      </c>
      <c r="E1395" s="1" t="s">
        <v>684</v>
      </c>
      <c r="F1395" s="1">
        <v>93</v>
      </c>
      <c r="G1395" s="1">
        <v>38</v>
      </c>
      <c r="H1395" s="1">
        <v>41</v>
      </c>
      <c r="I1395" s="1">
        <v>33</v>
      </c>
      <c r="J1395" s="1">
        <v>44</v>
      </c>
      <c r="K1395" s="1">
        <v>124</v>
      </c>
      <c r="L1395" s="1">
        <v>116</v>
      </c>
      <c r="M1395" s="1">
        <v>3</v>
      </c>
      <c r="N1395" s="1">
        <v>48</v>
      </c>
      <c r="O1395" s="1">
        <v>124</v>
      </c>
      <c r="P1395" s="1">
        <v>102</v>
      </c>
      <c r="Q1395" s="1">
        <v>111</v>
      </c>
    </row>
    <row r="1396" spans="1:17" ht="15.75" customHeight="1">
      <c r="A1396" s="1">
        <v>2024</v>
      </c>
      <c r="B1396" s="1">
        <v>42</v>
      </c>
      <c r="C1396" s="1" t="s">
        <v>69</v>
      </c>
      <c r="D1396" s="1">
        <v>6.3970000000000002</v>
      </c>
      <c r="E1396" s="1" t="s">
        <v>648</v>
      </c>
      <c r="F1396" s="1">
        <v>38</v>
      </c>
      <c r="G1396" s="1">
        <v>21</v>
      </c>
      <c r="H1396" s="1">
        <v>52</v>
      </c>
      <c r="I1396" s="1">
        <v>49</v>
      </c>
      <c r="J1396" s="1">
        <v>47</v>
      </c>
      <c r="K1396" s="1">
        <v>112</v>
      </c>
      <c r="L1396" s="1">
        <v>75</v>
      </c>
      <c r="M1396" s="1">
        <v>28</v>
      </c>
      <c r="N1396" s="1">
        <v>59</v>
      </c>
      <c r="O1396" s="1">
        <v>112</v>
      </c>
      <c r="P1396" s="1">
        <v>111</v>
      </c>
      <c r="Q1396" s="1">
        <v>55</v>
      </c>
    </row>
    <row r="1397" spans="1:17" ht="15.75" customHeight="1">
      <c r="A1397" s="1">
        <v>2024</v>
      </c>
      <c r="B1397" s="1">
        <v>43</v>
      </c>
      <c r="C1397" s="1" t="s">
        <v>106</v>
      </c>
      <c r="D1397" s="1">
        <v>6.3780000000000001</v>
      </c>
      <c r="E1397" s="1">
        <v>0.70699999999999996</v>
      </c>
      <c r="F1397" s="1">
        <v>25</v>
      </c>
      <c r="G1397" s="1">
        <v>18</v>
      </c>
      <c r="H1397" s="1">
        <v>42</v>
      </c>
      <c r="I1397" s="1">
        <v>77</v>
      </c>
      <c r="J1397" s="1">
        <v>57</v>
      </c>
      <c r="K1397" s="1">
        <v>49</v>
      </c>
      <c r="L1397" s="1">
        <v>64</v>
      </c>
      <c r="M1397" s="1">
        <v>119</v>
      </c>
      <c r="N1397" s="1">
        <v>3</v>
      </c>
      <c r="O1397" s="1">
        <v>49</v>
      </c>
      <c r="P1397" s="1">
        <v>116</v>
      </c>
      <c r="Q1397" s="1">
        <v>136</v>
      </c>
    </row>
    <row r="1398" spans="1:17" ht="15.75" customHeight="1">
      <c r="A1398" s="1">
        <v>2024</v>
      </c>
      <c r="B1398" s="1">
        <v>44</v>
      </c>
      <c r="C1398" s="1" t="s">
        <v>86</v>
      </c>
      <c r="D1398" s="1">
        <v>6.3620000000000001</v>
      </c>
      <c r="E1398" s="1">
        <v>0.39700000000000002</v>
      </c>
      <c r="F1398" s="1">
        <v>131</v>
      </c>
      <c r="G1398" s="1">
        <v>94</v>
      </c>
      <c r="H1398" s="1">
        <v>84</v>
      </c>
      <c r="I1398" s="1"/>
      <c r="J1398" s="1">
        <v>22</v>
      </c>
      <c r="K1398" s="1">
        <v>106</v>
      </c>
      <c r="L1398" s="1">
        <v>74</v>
      </c>
      <c r="M1398" s="1">
        <v>2</v>
      </c>
      <c r="N1398" s="1">
        <v>85</v>
      </c>
      <c r="O1398" s="1">
        <v>106</v>
      </c>
      <c r="P1398" s="1">
        <v>45</v>
      </c>
      <c r="Q1398" s="1">
        <v>96</v>
      </c>
    </row>
    <row r="1399" spans="1:17" ht="15.75" customHeight="1">
      <c r="A1399" s="1">
        <v>2024</v>
      </c>
      <c r="B1399" s="1">
        <v>45</v>
      </c>
      <c r="C1399" s="1" t="s">
        <v>66</v>
      </c>
      <c r="D1399" s="1">
        <v>6.3609999999999998</v>
      </c>
      <c r="E1399" s="1" t="s">
        <v>748</v>
      </c>
      <c r="F1399" s="1">
        <v>53</v>
      </c>
      <c r="G1399" s="1">
        <v>43</v>
      </c>
      <c r="H1399" s="1">
        <v>47</v>
      </c>
      <c r="I1399" s="1">
        <v>28</v>
      </c>
      <c r="J1399" s="1">
        <v>63</v>
      </c>
      <c r="K1399" s="1">
        <v>75</v>
      </c>
      <c r="L1399" s="1">
        <v>85</v>
      </c>
      <c r="M1399" s="1">
        <v>21</v>
      </c>
      <c r="N1399" s="1">
        <v>73</v>
      </c>
      <c r="O1399" s="1">
        <v>75</v>
      </c>
      <c r="P1399" s="1">
        <v>104</v>
      </c>
      <c r="Q1399" s="1">
        <v>31</v>
      </c>
    </row>
    <row r="1400" spans="1:17" ht="15.75" customHeight="1">
      <c r="A1400" s="1">
        <v>2024</v>
      </c>
      <c r="B1400" s="1">
        <v>46</v>
      </c>
      <c r="C1400" s="1" t="s">
        <v>157</v>
      </c>
      <c r="D1400" s="1">
        <v>6.3520000000000003</v>
      </c>
      <c r="E1400" s="1">
        <v>0.81899999999999995</v>
      </c>
      <c r="F1400" s="1">
        <v>20</v>
      </c>
      <c r="G1400" s="1">
        <v>49</v>
      </c>
      <c r="H1400" s="1">
        <v>78</v>
      </c>
      <c r="I1400" s="1">
        <v>41</v>
      </c>
      <c r="J1400" s="1">
        <v>2</v>
      </c>
      <c r="K1400" s="1">
        <v>129</v>
      </c>
      <c r="L1400" s="1">
        <v>39</v>
      </c>
      <c r="M1400" s="1">
        <v>48</v>
      </c>
      <c r="N1400" s="1">
        <v>2</v>
      </c>
      <c r="O1400" s="1">
        <v>129</v>
      </c>
      <c r="P1400" s="1">
        <v>123</v>
      </c>
      <c r="Q1400" s="1">
        <v>98</v>
      </c>
    </row>
    <row r="1401" spans="1:17" ht="15.75" customHeight="1">
      <c r="A1401" s="1">
        <v>2024</v>
      </c>
      <c r="B1401" s="1">
        <v>47</v>
      </c>
      <c r="C1401" s="1" t="s">
        <v>98</v>
      </c>
      <c r="D1401" s="1">
        <v>6.33</v>
      </c>
      <c r="E1401" s="1">
        <v>0.82299999999999995</v>
      </c>
      <c r="F1401" s="1">
        <v>112</v>
      </c>
      <c r="G1401" s="1">
        <v>60</v>
      </c>
      <c r="H1401" s="1">
        <v>98</v>
      </c>
      <c r="I1401" s="1">
        <v>50</v>
      </c>
      <c r="J1401" s="1">
        <v>39</v>
      </c>
      <c r="K1401" s="1">
        <v>82</v>
      </c>
      <c r="L1401" s="1">
        <v>17</v>
      </c>
      <c r="M1401" s="1">
        <v>14</v>
      </c>
      <c r="N1401" s="1">
        <v>91</v>
      </c>
      <c r="O1401" s="1">
        <v>82</v>
      </c>
      <c r="P1401" s="1">
        <v>51</v>
      </c>
      <c r="Q1401" s="1">
        <v>82</v>
      </c>
    </row>
    <row r="1402" spans="1:17" ht="15.75" customHeight="1">
      <c r="A1402" s="1">
        <v>2024</v>
      </c>
      <c r="B1402" s="1">
        <v>48</v>
      </c>
      <c r="C1402" s="1" t="s">
        <v>74</v>
      </c>
      <c r="D1402" s="1">
        <v>6.3159999999999998</v>
      </c>
      <c r="E1402" s="1">
        <v>0.35199999999999998</v>
      </c>
      <c r="F1402" s="1">
        <v>43</v>
      </c>
      <c r="G1402" s="1">
        <v>26</v>
      </c>
      <c r="H1402" s="1">
        <v>50</v>
      </c>
      <c r="I1402" s="1">
        <v>11</v>
      </c>
      <c r="J1402" s="1">
        <v>15</v>
      </c>
      <c r="K1402" s="1">
        <v>67</v>
      </c>
      <c r="L1402" s="1">
        <v>88</v>
      </c>
      <c r="M1402" s="1">
        <v>109</v>
      </c>
      <c r="N1402" s="1">
        <v>15</v>
      </c>
      <c r="O1402" s="1">
        <v>53</v>
      </c>
      <c r="P1402" s="1">
        <v>103</v>
      </c>
      <c r="Q1402" s="1"/>
    </row>
    <row r="1403" spans="1:17" ht="15.75" customHeight="1">
      <c r="A1403" s="1">
        <v>2024</v>
      </c>
      <c r="B1403" s="1">
        <v>49</v>
      </c>
      <c r="C1403" s="1" t="s">
        <v>78</v>
      </c>
      <c r="D1403" s="1">
        <v>6.2220000000000004</v>
      </c>
      <c r="E1403" s="1" t="s">
        <v>336</v>
      </c>
      <c r="F1403" s="1">
        <v>67</v>
      </c>
      <c r="G1403" s="1">
        <v>50</v>
      </c>
      <c r="H1403" s="1">
        <v>59</v>
      </c>
      <c r="I1403" s="1">
        <v>37</v>
      </c>
      <c r="J1403" s="1">
        <v>16</v>
      </c>
      <c r="K1403" s="1">
        <v>8</v>
      </c>
      <c r="L1403" s="1">
        <v>120</v>
      </c>
      <c r="M1403" s="1">
        <v>12</v>
      </c>
      <c r="N1403" s="1">
        <v>36</v>
      </c>
      <c r="O1403" s="1">
        <v>8</v>
      </c>
      <c r="P1403" s="1">
        <v>74</v>
      </c>
      <c r="Q1403" s="1">
        <v>87</v>
      </c>
    </row>
    <row r="1404" spans="1:17" ht="15.75" customHeight="1">
      <c r="A1404" s="1">
        <v>2024</v>
      </c>
      <c r="B1404" s="1">
        <v>50</v>
      </c>
      <c r="C1404" s="1" t="s">
        <v>95</v>
      </c>
      <c r="D1404" s="1">
        <v>6.2210000000000001</v>
      </c>
      <c r="E1404" s="1">
        <v>0.252</v>
      </c>
      <c r="F1404" s="1">
        <v>12</v>
      </c>
      <c r="G1404" s="1">
        <v>5</v>
      </c>
      <c r="H1404" s="1">
        <v>37</v>
      </c>
      <c r="I1404" s="1">
        <v>47</v>
      </c>
      <c r="J1404" s="1">
        <v>80</v>
      </c>
      <c r="K1404" s="1">
        <v>80</v>
      </c>
      <c r="L1404" s="1">
        <v>95</v>
      </c>
      <c r="M1404" s="1">
        <v>83</v>
      </c>
      <c r="N1404" s="1">
        <v>33</v>
      </c>
      <c r="O1404" s="1">
        <v>80</v>
      </c>
      <c r="P1404" s="1">
        <v>97</v>
      </c>
      <c r="Q1404" s="1">
        <v>133</v>
      </c>
    </row>
    <row r="1405" spans="1:17" ht="15.75" customHeight="1">
      <c r="A1405" s="1">
        <v>2024</v>
      </c>
      <c r="B1405" s="1">
        <v>51</v>
      </c>
      <c r="C1405" s="1" t="s">
        <v>123</v>
      </c>
      <c r="D1405" s="1">
        <v>6.2069999999999999</v>
      </c>
      <c r="E1405" s="1">
        <v>1.161</v>
      </c>
      <c r="F1405" s="1">
        <v>39</v>
      </c>
      <c r="G1405" s="1">
        <v>8</v>
      </c>
      <c r="H1405" s="1">
        <v>38</v>
      </c>
      <c r="I1405" s="1">
        <v>59</v>
      </c>
      <c r="J1405" s="1">
        <v>64</v>
      </c>
      <c r="K1405" s="1">
        <v>66</v>
      </c>
      <c r="L1405" s="1">
        <v>88</v>
      </c>
      <c r="M1405" s="1">
        <v>73</v>
      </c>
      <c r="N1405" s="1">
        <v>53</v>
      </c>
      <c r="O1405" s="1">
        <v>66</v>
      </c>
      <c r="P1405" s="1">
        <v>122</v>
      </c>
      <c r="Q1405" s="1">
        <v>124</v>
      </c>
    </row>
    <row r="1406" spans="1:17" ht="15.75" customHeight="1">
      <c r="A1406" s="1">
        <v>2024</v>
      </c>
      <c r="B1406" s="1">
        <v>52</v>
      </c>
      <c r="C1406" s="1" t="s">
        <v>749</v>
      </c>
      <c r="D1406" s="1">
        <v>6.1970000000000001</v>
      </c>
      <c r="E1406" s="1" t="s">
        <v>750</v>
      </c>
      <c r="F1406" s="1">
        <v>121</v>
      </c>
      <c r="G1406" s="1">
        <v>71</v>
      </c>
      <c r="H1406" s="1">
        <v>40</v>
      </c>
      <c r="I1406" s="1"/>
      <c r="J1406" s="1">
        <v>25</v>
      </c>
      <c r="K1406" s="1">
        <v>29</v>
      </c>
      <c r="L1406" s="1">
        <v>37</v>
      </c>
      <c r="M1406" s="1">
        <v>43</v>
      </c>
      <c r="N1406" s="1">
        <v>29</v>
      </c>
      <c r="O1406" s="1">
        <v>77</v>
      </c>
      <c r="P1406" s="1">
        <v>17</v>
      </c>
      <c r="Q1406" s="1"/>
    </row>
    <row r="1407" spans="1:17" ht="15.75" customHeight="1">
      <c r="A1407" s="1">
        <v>2024</v>
      </c>
      <c r="B1407" s="1">
        <v>53</v>
      </c>
      <c r="C1407" s="1" t="s">
        <v>99</v>
      </c>
      <c r="D1407" s="1">
        <v>6.1929999999999996</v>
      </c>
      <c r="E1407" s="1">
        <v>0.56999999999999995</v>
      </c>
      <c r="F1407" s="1">
        <v>87</v>
      </c>
      <c r="G1407" s="1">
        <v>30</v>
      </c>
      <c r="H1407" s="1">
        <v>90</v>
      </c>
      <c r="I1407" s="1">
        <v>65</v>
      </c>
      <c r="J1407" s="1">
        <v>6</v>
      </c>
      <c r="K1407" s="1">
        <v>33</v>
      </c>
      <c r="L1407" s="1">
        <v>27</v>
      </c>
      <c r="M1407" s="1">
        <v>22</v>
      </c>
      <c r="N1407" s="1">
        <v>42</v>
      </c>
      <c r="O1407" s="1">
        <v>33</v>
      </c>
      <c r="P1407" s="1">
        <v>113</v>
      </c>
      <c r="Q1407" s="1">
        <v>109</v>
      </c>
    </row>
    <row r="1408" spans="1:17" ht="15.75" customHeight="1">
      <c r="A1408" s="1">
        <v>2024</v>
      </c>
      <c r="B1408" s="12">
        <v>54</v>
      </c>
      <c r="C1408" s="8" t="s">
        <v>751</v>
      </c>
      <c r="D1408" s="5">
        <v>6.1719999999999997</v>
      </c>
      <c r="E1408" s="6">
        <v>0.39300000000000002</v>
      </c>
      <c r="F1408" s="6">
        <v>110</v>
      </c>
      <c r="G1408" s="6">
        <v>32</v>
      </c>
      <c r="H1408" s="6">
        <v>72</v>
      </c>
      <c r="I1408" s="7">
        <v>84</v>
      </c>
      <c r="J1408" s="6">
        <v>30</v>
      </c>
      <c r="K1408" s="6">
        <v>84</v>
      </c>
      <c r="L1408" s="6">
        <v>108</v>
      </c>
      <c r="M1408" s="6">
        <v>5</v>
      </c>
      <c r="N1408" s="6">
        <v>41</v>
      </c>
      <c r="O1408" s="6">
        <v>84</v>
      </c>
      <c r="P1408" s="6">
        <v>29</v>
      </c>
      <c r="Q1408" s="6">
        <v>53</v>
      </c>
    </row>
    <row r="1409" spans="1:17" ht="15.75" customHeight="1">
      <c r="A1409" s="1">
        <v>2024</v>
      </c>
      <c r="B1409" s="12">
        <v>55</v>
      </c>
      <c r="C1409" s="8" t="s">
        <v>752</v>
      </c>
      <c r="D1409" s="5">
        <v>6.1470000000000002</v>
      </c>
      <c r="E1409" s="6">
        <v>8.3000000000000004E-2</v>
      </c>
      <c r="F1409" s="6">
        <v>47</v>
      </c>
      <c r="G1409" s="6">
        <v>48</v>
      </c>
      <c r="H1409" s="6">
        <v>28</v>
      </c>
      <c r="I1409" s="10">
        <v>2</v>
      </c>
      <c r="J1409" s="6">
        <v>79</v>
      </c>
      <c r="K1409" s="6">
        <v>130</v>
      </c>
      <c r="L1409" s="6">
        <v>41</v>
      </c>
      <c r="M1409" s="6">
        <v>64</v>
      </c>
      <c r="N1409" s="6">
        <v>9</v>
      </c>
      <c r="O1409" s="6">
        <v>130</v>
      </c>
      <c r="P1409" s="6">
        <v>103</v>
      </c>
      <c r="Q1409" s="6">
        <v>142</v>
      </c>
    </row>
    <row r="1410" spans="1:17" ht="15.75" customHeight="1">
      <c r="A1410" s="1">
        <v>2024</v>
      </c>
      <c r="B1410" s="1">
        <v>56</v>
      </c>
      <c r="C1410" s="1" t="s">
        <v>146</v>
      </c>
      <c r="D1410" s="1">
        <v>6.1360000000000001</v>
      </c>
      <c r="E1410" s="1">
        <v>1.323</v>
      </c>
      <c r="F1410" s="1">
        <v>66</v>
      </c>
      <c r="G1410" s="1">
        <v>47</v>
      </c>
      <c r="H1410" s="1">
        <v>60</v>
      </c>
      <c r="I1410" s="1">
        <v>46</v>
      </c>
      <c r="J1410" s="1">
        <v>89</v>
      </c>
      <c r="K1410" s="1">
        <v>28</v>
      </c>
      <c r="L1410" s="1">
        <v>124</v>
      </c>
      <c r="M1410" s="1">
        <v>96</v>
      </c>
      <c r="N1410" s="1">
        <v>69</v>
      </c>
      <c r="O1410" s="1">
        <v>28</v>
      </c>
      <c r="P1410" s="1">
        <v>120</v>
      </c>
      <c r="Q1410" s="1">
        <v>117</v>
      </c>
    </row>
    <row r="1411" spans="1:17" ht="15.75" customHeight="1">
      <c r="A1411" s="1">
        <v>2024</v>
      </c>
      <c r="B1411" s="1">
        <v>57</v>
      </c>
      <c r="C1411" s="1" t="s">
        <v>141</v>
      </c>
      <c r="D1411" s="1">
        <v>6.1070000000000002</v>
      </c>
      <c r="E1411" s="1">
        <v>1.1220000000000001</v>
      </c>
      <c r="F1411" s="1">
        <v>104</v>
      </c>
      <c r="G1411" s="1">
        <v>68</v>
      </c>
      <c r="H1411" s="1">
        <v>89</v>
      </c>
      <c r="I1411" s="1">
        <v>93</v>
      </c>
      <c r="J1411" s="1">
        <v>19</v>
      </c>
      <c r="K1411" s="1">
        <v>91</v>
      </c>
      <c r="L1411" s="1">
        <v>78</v>
      </c>
      <c r="M1411" s="1">
        <v>7</v>
      </c>
      <c r="N1411" s="1">
        <v>103</v>
      </c>
      <c r="O1411" s="1">
        <v>91</v>
      </c>
      <c r="P1411" s="1">
        <v>4</v>
      </c>
      <c r="Q1411" s="1">
        <v>20</v>
      </c>
    </row>
    <row r="1412" spans="1:17" ht="15.75" customHeight="1">
      <c r="A1412" s="1">
        <v>2024</v>
      </c>
      <c r="B1412" s="1">
        <v>58</v>
      </c>
      <c r="C1412" s="1" t="s">
        <v>110</v>
      </c>
      <c r="D1412" s="1">
        <v>6.0380000000000003</v>
      </c>
      <c r="E1412" s="1" t="s">
        <v>434</v>
      </c>
      <c r="F1412" s="1">
        <v>69</v>
      </c>
      <c r="G1412" s="1">
        <v>84</v>
      </c>
      <c r="H1412" s="1">
        <v>21</v>
      </c>
      <c r="I1412" s="1">
        <v>3</v>
      </c>
      <c r="J1412" s="1">
        <v>104</v>
      </c>
      <c r="K1412" s="1">
        <v>55</v>
      </c>
      <c r="L1412" s="1">
        <v>54</v>
      </c>
      <c r="M1412" s="1">
        <v>111</v>
      </c>
      <c r="N1412" s="1">
        <v>70</v>
      </c>
      <c r="O1412" s="1">
        <v>55</v>
      </c>
      <c r="P1412" s="1">
        <v>83</v>
      </c>
      <c r="Q1412" s="1">
        <v>108</v>
      </c>
    </row>
    <row r="1413" spans="1:17" ht="15.75" customHeight="1">
      <c r="A1413" s="1">
        <v>2024</v>
      </c>
      <c r="B1413" s="1">
        <v>59</v>
      </c>
      <c r="C1413" s="1" t="s">
        <v>90</v>
      </c>
      <c r="D1413" s="1">
        <v>6.03</v>
      </c>
      <c r="E1413" s="1">
        <v>0.71799999999999997</v>
      </c>
      <c r="F1413" s="1">
        <v>108</v>
      </c>
      <c r="G1413" s="1">
        <v>76</v>
      </c>
      <c r="H1413" s="1">
        <v>14</v>
      </c>
      <c r="I1413" s="1"/>
      <c r="J1413" s="1">
        <v>15</v>
      </c>
      <c r="K1413" s="1">
        <v>30</v>
      </c>
      <c r="L1413" s="1">
        <v>66</v>
      </c>
      <c r="M1413" s="1">
        <v>84</v>
      </c>
      <c r="N1413" s="1">
        <v>30</v>
      </c>
      <c r="O1413" s="1">
        <v>64</v>
      </c>
      <c r="P1413" s="1">
        <v>37</v>
      </c>
      <c r="Q1413" s="1"/>
    </row>
    <row r="1414" spans="1:17" ht="15.75" customHeight="1">
      <c r="A1414" s="1">
        <v>2024</v>
      </c>
      <c r="B1414" s="1">
        <v>60</v>
      </c>
      <c r="C1414" s="1" t="s">
        <v>155</v>
      </c>
      <c r="D1414" s="1">
        <v>6.0129999999999999</v>
      </c>
      <c r="E1414" s="1">
        <v>0.91200000000000003</v>
      </c>
      <c r="F1414" s="1">
        <v>57</v>
      </c>
      <c r="G1414" s="1">
        <v>51</v>
      </c>
      <c r="H1414" s="1">
        <v>32</v>
      </c>
      <c r="I1414" s="1">
        <v>22</v>
      </c>
      <c r="J1414" s="1">
        <v>40</v>
      </c>
      <c r="K1414" s="1">
        <v>111</v>
      </c>
      <c r="L1414" s="1">
        <v>122</v>
      </c>
      <c r="M1414" s="1">
        <v>82</v>
      </c>
      <c r="N1414" s="1">
        <v>83</v>
      </c>
      <c r="O1414" s="1">
        <v>111</v>
      </c>
      <c r="P1414" s="1">
        <v>118</v>
      </c>
      <c r="Q1414" s="1">
        <v>112</v>
      </c>
    </row>
    <row r="1415" spans="1:17" ht="15.75" customHeight="1">
      <c r="A1415" s="1">
        <v>2024</v>
      </c>
      <c r="B1415" s="1">
        <v>61</v>
      </c>
      <c r="C1415" s="1" t="s">
        <v>75</v>
      </c>
      <c r="D1415" s="1">
        <v>6.0039999999999996</v>
      </c>
      <c r="E1415" s="1" t="s">
        <v>753</v>
      </c>
      <c r="F1415" s="1">
        <v>105</v>
      </c>
      <c r="G1415" s="1">
        <v>55</v>
      </c>
      <c r="H1415" s="1">
        <v>66</v>
      </c>
      <c r="I1415" s="1">
        <v>44</v>
      </c>
      <c r="J1415" s="1">
        <v>73</v>
      </c>
      <c r="K1415" s="1">
        <v>131</v>
      </c>
      <c r="L1415" s="1">
        <v>110</v>
      </c>
      <c r="M1415" s="1">
        <v>15</v>
      </c>
      <c r="N1415" s="1">
        <v>64</v>
      </c>
      <c r="O1415" s="1">
        <v>131</v>
      </c>
      <c r="P1415" s="1">
        <v>112</v>
      </c>
      <c r="Q1415" s="1">
        <v>122</v>
      </c>
    </row>
    <row r="1416" spans="1:17" ht="15.75" customHeight="1">
      <c r="A1416" s="1">
        <v>2024</v>
      </c>
      <c r="B1416" s="1">
        <v>62</v>
      </c>
      <c r="C1416" s="1" t="s">
        <v>102</v>
      </c>
      <c r="D1416" s="1">
        <v>5.9649999999999999</v>
      </c>
      <c r="E1416" s="1">
        <v>0.1</v>
      </c>
      <c r="F1416" s="1">
        <v>84</v>
      </c>
      <c r="G1416" s="1">
        <v>97</v>
      </c>
      <c r="H1416" s="1">
        <v>76</v>
      </c>
      <c r="I1416" s="1">
        <v>51</v>
      </c>
      <c r="J1416" s="1">
        <v>70</v>
      </c>
      <c r="K1416" s="1">
        <v>122</v>
      </c>
      <c r="L1416" s="1">
        <v>91</v>
      </c>
      <c r="M1416" s="1">
        <v>10</v>
      </c>
      <c r="N1416" s="1">
        <v>110</v>
      </c>
      <c r="O1416" s="1">
        <v>122</v>
      </c>
      <c r="P1416" s="1">
        <v>107</v>
      </c>
      <c r="Q1416" s="1">
        <v>121</v>
      </c>
    </row>
    <row r="1417" spans="1:17" ht="15.75" customHeight="1">
      <c r="A1417" s="1">
        <v>2024</v>
      </c>
      <c r="B1417" s="1">
        <v>63</v>
      </c>
      <c r="C1417" s="1" t="s">
        <v>167</v>
      </c>
      <c r="D1417" s="1">
        <v>5.9640000000000004</v>
      </c>
      <c r="E1417" s="1">
        <v>0.82199999999999995</v>
      </c>
      <c r="F1417" s="1">
        <v>128</v>
      </c>
      <c r="G1417" s="1">
        <v>95</v>
      </c>
      <c r="H1417" s="1">
        <v>103</v>
      </c>
      <c r="I1417" s="1">
        <v>90</v>
      </c>
      <c r="J1417" s="1">
        <v>45</v>
      </c>
      <c r="K1417" s="1">
        <v>69</v>
      </c>
      <c r="L1417" s="1">
        <v>96</v>
      </c>
      <c r="M1417" s="1">
        <v>19</v>
      </c>
      <c r="N1417" s="1">
        <v>86</v>
      </c>
      <c r="O1417" s="1">
        <v>69</v>
      </c>
      <c r="P1417" s="1">
        <v>50</v>
      </c>
      <c r="Q1417" s="1">
        <v>42</v>
      </c>
    </row>
    <row r="1418" spans="1:17" ht="15.75" customHeight="1">
      <c r="A1418" s="1">
        <v>2024</v>
      </c>
      <c r="B1418" s="1">
        <v>64</v>
      </c>
      <c r="C1418" s="1" t="s">
        <v>97</v>
      </c>
      <c r="D1418" s="1">
        <v>5.9550000000000001</v>
      </c>
      <c r="E1418" s="1">
        <v>0.19500000000000001</v>
      </c>
      <c r="F1418" s="1">
        <v>76</v>
      </c>
      <c r="G1418" s="1">
        <v>91</v>
      </c>
      <c r="H1418" s="1">
        <v>45</v>
      </c>
      <c r="I1418" s="1">
        <v>55</v>
      </c>
      <c r="J1418" s="1">
        <v>9</v>
      </c>
      <c r="K1418" s="1">
        <v>11</v>
      </c>
      <c r="L1418" s="1">
        <v>72</v>
      </c>
      <c r="M1418" s="1">
        <v>36</v>
      </c>
      <c r="N1418" s="1">
        <v>54</v>
      </c>
      <c r="O1418" s="1">
        <v>11</v>
      </c>
      <c r="P1418" s="1">
        <v>23</v>
      </c>
      <c r="Q1418" s="1">
        <v>62</v>
      </c>
    </row>
    <row r="1419" spans="1:17" ht="15.75" customHeight="1">
      <c r="A1419" s="1">
        <v>2024</v>
      </c>
      <c r="B1419" s="1">
        <v>65</v>
      </c>
      <c r="C1419" s="1" t="s">
        <v>118</v>
      </c>
      <c r="D1419" s="1">
        <v>5.9470000000000001</v>
      </c>
      <c r="E1419" s="1">
        <v>0.17100000000000001</v>
      </c>
      <c r="F1419" s="1">
        <v>89</v>
      </c>
      <c r="G1419" s="1">
        <v>78</v>
      </c>
      <c r="H1419" s="1">
        <v>73</v>
      </c>
      <c r="I1419" s="1">
        <v>69</v>
      </c>
      <c r="J1419" s="1">
        <v>91</v>
      </c>
      <c r="K1419" s="1">
        <v>128</v>
      </c>
      <c r="L1419" s="1">
        <v>129</v>
      </c>
      <c r="M1419" s="1">
        <v>20</v>
      </c>
      <c r="N1419" s="1">
        <v>112</v>
      </c>
      <c r="O1419" s="1">
        <v>128</v>
      </c>
      <c r="P1419" s="1">
        <v>101</v>
      </c>
      <c r="Q1419" s="1">
        <v>113</v>
      </c>
    </row>
    <row r="1420" spans="1:17" ht="15.75" customHeight="1">
      <c r="A1420" s="1">
        <v>2024</v>
      </c>
      <c r="B1420" s="1">
        <v>66</v>
      </c>
      <c r="C1420" s="1" t="s">
        <v>108</v>
      </c>
      <c r="D1420" s="1">
        <v>5.9450000000000003</v>
      </c>
      <c r="E1420" s="1">
        <v>0.48099999999999998</v>
      </c>
      <c r="F1420" s="1">
        <v>75</v>
      </c>
      <c r="G1420" s="1">
        <v>65</v>
      </c>
      <c r="H1420" s="1">
        <v>33</v>
      </c>
      <c r="I1420" s="1">
        <v>83</v>
      </c>
      <c r="J1420" s="1">
        <v>101</v>
      </c>
      <c r="K1420" s="1">
        <v>58</v>
      </c>
      <c r="L1420" s="1">
        <v>65</v>
      </c>
      <c r="M1420" s="1">
        <v>112</v>
      </c>
      <c r="N1420" s="1">
        <v>19</v>
      </c>
      <c r="O1420" s="1">
        <v>58</v>
      </c>
      <c r="P1420" s="1">
        <v>85</v>
      </c>
      <c r="Q1420" s="1">
        <v>72</v>
      </c>
    </row>
    <row r="1421" spans="1:17" ht="15.75" customHeight="1">
      <c r="A1421" s="1">
        <v>2024</v>
      </c>
      <c r="B1421" s="1">
        <v>67</v>
      </c>
      <c r="C1421" s="1" t="s">
        <v>124</v>
      </c>
      <c r="D1421" s="1">
        <v>5.9420000000000002</v>
      </c>
      <c r="E1421" s="1" t="s">
        <v>508</v>
      </c>
      <c r="F1421" s="1">
        <v>55</v>
      </c>
      <c r="G1421" s="1">
        <v>88</v>
      </c>
      <c r="H1421" s="1">
        <v>122</v>
      </c>
      <c r="I1421" s="1">
        <v>10</v>
      </c>
      <c r="J1421" s="1">
        <v>67</v>
      </c>
      <c r="K1421" s="1">
        <v>128</v>
      </c>
      <c r="L1421" s="1">
        <v>87</v>
      </c>
      <c r="M1421" s="1">
        <v>97</v>
      </c>
      <c r="N1421" s="1">
        <v>67</v>
      </c>
      <c r="O1421" s="1">
        <v>65</v>
      </c>
      <c r="P1421" s="1">
        <v>79</v>
      </c>
      <c r="Q1421" s="1"/>
    </row>
    <row r="1422" spans="1:17" ht="15.75" customHeight="1">
      <c r="A1422" s="1">
        <v>2024</v>
      </c>
      <c r="B1422" s="1">
        <v>68</v>
      </c>
      <c r="C1422" s="1" t="s">
        <v>142</v>
      </c>
      <c r="D1422" s="1">
        <v>5.9210000000000003</v>
      </c>
      <c r="E1422" s="1">
        <v>0.94299999999999995</v>
      </c>
      <c r="F1422" s="1">
        <v>85</v>
      </c>
      <c r="G1422" s="1">
        <v>98</v>
      </c>
      <c r="H1422" s="1">
        <v>56</v>
      </c>
      <c r="I1422" s="1">
        <v>26</v>
      </c>
      <c r="J1422" s="1">
        <v>65</v>
      </c>
      <c r="K1422" s="1">
        <v>105</v>
      </c>
      <c r="L1422" s="1">
        <v>68</v>
      </c>
      <c r="M1422" s="1">
        <v>27</v>
      </c>
      <c r="N1422" s="1">
        <v>105</v>
      </c>
      <c r="O1422" s="1">
        <v>80</v>
      </c>
      <c r="P1422" s="1">
        <v>131</v>
      </c>
      <c r="Q1422" s="1"/>
    </row>
    <row r="1423" spans="1:17" ht="15.75" customHeight="1">
      <c r="A1423" s="1">
        <v>2024</v>
      </c>
      <c r="B1423" s="1">
        <v>69</v>
      </c>
      <c r="C1423" s="1" t="s">
        <v>151</v>
      </c>
      <c r="D1423" s="1">
        <v>5.915</v>
      </c>
      <c r="E1423" s="1">
        <v>1.1399999999999999</v>
      </c>
      <c r="F1423" s="1">
        <v>50</v>
      </c>
      <c r="G1423" s="1">
        <v>7</v>
      </c>
      <c r="H1423" s="1">
        <v>36</v>
      </c>
      <c r="I1423" s="1">
        <v>48</v>
      </c>
      <c r="J1423" s="1">
        <v>117</v>
      </c>
      <c r="K1423" s="1">
        <v>57</v>
      </c>
      <c r="L1423" s="1">
        <v>115</v>
      </c>
      <c r="M1423" s="1">
        <v>90</v>
      </c>
      <c r="N1423" s="1">
        <v>31</v>
      </c>
      <c r="O1423" s="1">
        <v>57</v>
      </c>
      <c r="P1423" s="1">
        <v>119</v>
      </c>
      <c r="Q1423" s="1">
        <v>35</v>
      </c>
    </row>
    <row r="1424" spans="1:17" ht="15.75" customHeight="1">
      <c r="A1424" s="1">
        <v>2024</v>
      </c>
      <c r="B1424" s="1">
        <v>70</v>
      </c>
      <c r="C1424" s="1" t="s">
        <v>91</v>
      </c>
      <c r="D1424" s="1">
        <v>5.9050000000000002</v>
      </c>
      <c r="E1424" s="1" t="s">
        <v>754</v>
      </c>
      <c r="F1424" s="1">
        <v>82</v>
      </c>
      <c r="G1424" s="1">
        <v>58</v>
      </c>
      <c r="H1424" s="1">
        <v>82</v>
      </c>
      <c r="I1424" s="1"/>
      <c r="J1424" s="1">
        <v>38</v>
      </c>
      <c r="K1424" s="1">
        <v>133</v>
      </c>
      <c r="L1424" s="1">
        <v>24</v>
      </c>
      <c r="M1424" s="1">
        <v>104</v>
      </c>
      <c r="N1424" s="1">
        <v>38</v>
      </c>
      <c r="O1424" s="1">
        <v>31</v>
      </c>
      <c r="P1424" s="1">
        <v>5</v>
      </c>
      <c r="Q1424" s="1"/>
    </row>
    <row r="1425" spans="1:17" ht="15.75" customHeight="1">
      <c r="A1425" s="1">
        <v>2024</v>
      </c>
      <c r="B1425" s="1">
        <v>71</v>
      </c>
      <c r="C1425" s="1" t="s">
        <v>147</v>
      </c>
      <c r="D1425" s="1">
        <v>5.8769999999999998</v>
      </c>
      <c r="E1425" s="1">
        <v>0.57799999999999996</v>
      </c>
      <c r="F1425" s="1">
        <v>26</v>
      </c>
      <c r="G1425" s="1">
        <v>39</v>
      </c>
      <c r="H1425" s="1">
        <v>48</v>
      </c>
      <c r="I1425" s="1"/>
      <c r="J1425" s="1">
        <v>61</v>
      </c>
      <c r="K1425" s="1">
        <v>99</v>
      </c>
      <c r="L1425" s="1">
        <v>44</v>
      </c>
      <c r="M1425" s="1">
        <v>124</v>
      </c>
      <c r="N1425" s="1">
        <v>65</v>
      </c>
      <c r="O1425" s="1">
        <v>99</v>
      </c>
      <c r="P1425" s="1">
        <v>138</v>
      </c>
      <c r="Q1425" s="1">
        <v>137</v>
      </c>
    </row>
    <row r="1426" spans="1:17" ht="15.75" customHeight="1">
      <c r="A1426" s="1">
        <v>2024</v>
      </c>
      <c r="B1426" s="1">
        <v>72</v>
      </c>
      <c r="C1426" s="1" t="s">
        <v>131</v>
      </c>
      <c r="D1426" s="1">
        <v>5.87</v>
      </c>
      <c r="E1426" s="1">
        <v>0.20899999999999999</v>
      </c>
      <c r="F1426" s="1">
        <v>23</v>
      </c>
      <c r="G1426" s="1">
        <v>10</v>
      </c>
      <c r="H1426" s="1">
        <v>31</v>
      </c>
      <c r="I1426" s="1">
        <v>31</v>
      </c>
      <c r="J1426" s="1">
        <v>124</v>
      </c>
      <c r="K1426" s="1">
        <v>119</v>
      </c>
      <c r="L1426" s="1">
        <v>97</v>
      </c>
      <c r="M1426" s="1">
        <v>106</v>
      </c>
      <c r="N1426" s="1">
        <v>39</v>
      </c>
      <c r="O1426" s="1">
        <v>119</v>
      </c>
      <c r="P1426" s="1">
        <v>129</v>
      </c>
      <c r="Q1426" s="1">
        <v>139</v>
      </c>
    </row>
    <row r="1427" spans="1:17" ht="15.75" customHeight="1">
      <c r="A1427" s="1">
        <v>2024</v>
      </c>
      <c r="B1427" s="1">
        <v>73</v>
      </c>
      <c r="C1427" s="1" t="s">
        <v>130</v>
      </c>
      <c r="D1427" s="1">
        <v>5.87</v>
      </c>
      <c r="E1427" s="1">
        <v>0.496</v>
      </c>
      <c r="F1427" s="1"/>
      <c r="G1427" s="1"/>
      <c r="H1427" s="1"/>
      <c r="I1427" s="1">
        <v>76</v>
      </c>
      <c r="J1427" s="1"/>
      <c r="K1427" s="1"/>
      <c r="L1427" s="1"/>
      <c r="M1427" s="1"/>
      <c r="N1427" s="1"/>
      <c r="O1427" s="1"/>
      <c r="P1427" s="1"/>
      <c r="Q1427" s="1"/>
    </row>
    <row r="1428" spans="1:17" ht="15.75" customHeight="1">
      <c r="A1428" s="1">
        <v>2024</v>
      </c>
      <c r="B1428" s="12">
        <v>74</v>
      </c>
      <c r="C1428" s="8" t="s">
        <v>755</v>
      </c>
      <c r="D1428" s="5">
        <v>5.8680000000000003</v>
      </c>
      <c r="E1428" s="6">
        <v>1.0999999999999999E-2</v>
      </c>
      <c r="F1428" s="6">
        <v>96</v>
      </c>
      <c r="G1428" s="6">
        <v>86</v>
      </c>
      <c r="H1428" s="6">
        <v>92</v>
      </c>
      <c r="I1428" s="7">
        <v>98</v>
      </c>
      <c r="J1428" s="6">
        <v>76</v>
      </c>
      <c r="K1428" s="6">
        <v>127</v>
      </c>
      <c r="L1428" s="6">
        <v>98</v>
      </c>
      <c r="M1428" s="6">
        <v>42</v>
      </c>
      <c r="N1428" s="6">
        <v>123</v>
      </c>
      <c r="O1428" s="6">
        <v>127</v>
      </c>
      <c r="P1428" s="6">
        <v>96</v>
      </c>
      <c r="Q1428" s="6">
        <v>116</v>
      </c>
    </row>
    <row r="1429" spans="1:17" ht="15.75" customHeight="1">
      <c r="A1429" s="1">
        <v>2024</v>
      </c>
      <c r="B1429" s="1">
        <v>75</v>
      </c>
      <c r="C1429" s="1" t="s">
        <v>144</v>
      </c>
      <c r="D1429" s="1">
        <v>5.8579999999999997</v>
      </c>
      <c r="E1429" s="1">
        <v>0.81599999999999995</v>
      </c>
      <c r="F1429" s="1">
        <v>24</v>
      </c>
      <c r="G1429" s="1">
        <v>14</v>
      </c>
      <c r="H1429" s="1">
        <v>102</v>
      </c>
      <c r="I1429" s="1">
        <v>64</v>
      </c>
      <c r="J1429" s="1">
        <v>5</v>
      </c>
      <c r="K1429" s="1">
        <v>42</v>
      </c>
      <c r="L1429" s="1">
        <v>77</v>
      </c>
      <c r="M1429" s="1">
        <v>81</v>
      </c>
      <c r="N1429" s="1">
        <v>17</v>
      </c>
      <c r="O1429" s="1">
        <v>42</v>
      </c>
      <c r="P1429" s="1">
        <v>67</v>
      </c>
      <c r="Q1429" s="1">
        <v>56</v>
      </c>
    </row>
    <row r="1430" spans="1:17" ht="15.75" customHeight="1">
      <c r="A1430" s="1">
        <v>2024</v>
      </c>
      <c r="B1430" s="1">
        <v>76</v>
      </c>
      <c r="C1430" s="1" t="s">
        <v>149</v>
      </c>
      <c r="D1430" s="1">
        <v>5.8460000000000001</v>
      </c>
      <c r="E1430" s="1">
        <v>0.88300000000000001</v>
      </c>
      <c r="F1430" s="1">
        <v>133</v>
      </c>
      <c r="G1430" s="1">
        <v>46</v>
      </c>
      <c r="H1430" s="1">
        <v>53</v>
      </c>
      <c r="I1430" s="1">
        <v>63</v>
      </c>
      <c r="J1430" s="1">
        <v>36</v>
      </c>
      <c r="K1430" s="1">
        <v>101</v>
      </c>
      <c r="L1430" s="1">
        <v>34</v>
      </c>
      <c r="M1430" s="1">
        <v>31</v>
      </c>
      <c r="N1430" s="1">
        <v>63</v>
      </c>
      <c r="O1430" s="1">
        <v>101</v>
      </c>
      <c r="P1430" s="1">
        <v>41</v>
      </c>
      <c r="Q1430" s="1">
        <v>36</v>
      </c>
    </row>
    <row r="1431" spans="1:17" ht="15.75" customHeight="1">
      <c r="A1431" s="1">
        <v>2024</v>
      </c>
      <c r="B1431" s="1">
        <v>77</v>
      </c>
      <c r="C1431" s="1" t="s">
        <v>163</v>
      </c>
      <c r="D1431" s="1">
        <v>5.8330000000000002</v>
      </c>
      <c r="E1431" s="1">
        <v>0.999</v>
      </c>
      <c r="F1431" s="1">
        <v>54</v>
      </c>
      <c r="G1431" s="1">
        <v>11</v>
      </c>
      <c r="H1431" s="1">
        <v>69</v>
      </c>
      <c r="I1431" s="1">
        <v>80</v>
      </c>
      <c r="J1431" s="1">
        <v>113</v>
      </c>
      <c r="K1431" s="1">
        <v>26</v>
      </c>
      <c r="L1431" s="1">
        <v>107</v>
      </c>
      <c r="M1431" s="1">
        <v>110</v>
      </c>
      <c r="N1431" s="1">
        <v>10</v>
      </c>
      <c r="O1431" s="1">
        <v>26</v>
      </c>
      <c r="P1431" s="1">
        <v>21</v>
      </c>
      <c r="Q1431" s="1">
        <v>135</v>
      </c>
    </row>
    <row r="1432" spans="1:17" ht="15.75" customHeight="1">
      <c r="A1432" s="1">
        <v>2024</v>
      </c>
      <c r="B1432" s="1">
        <v>78</v>
      </c>
      <c r="C1432" s="1" t="s">
        <v>121</v>
      </c>
      <c r="D1432" s="1">
        <v>5.8319999999999999</v>
      </c>
      <c r="E1432" s="1">
        <v>0.35499999999999998</v>
      </c>
      <c r="F1432" s="1">
        <v>81</v>
      </c>
      <c r="G1432" s="1">
        <v>62</v>
      </c>
      <c r="H1432" s="1">
        <v>49</v>
      </c>
      <c r="I1432" s="1">
        <v>61</v>
      </c>
      <c r="J1432" s="1">
        <v>71</v>
      </c>
      <c r="K1432" s="1">
        <v>70</v>
      </c>
      <c r="L1432" s="1">
        <v>46</v>
      </c>
      <c r="M1432" s="1">
        <v>55</v>
      </c>
      <c r="N1432" s="1">
        <v>6</v>
      </c>
      <c r="O1432" s="1">
        <v>70</v>
      </c>
      <c r="P1432" s="1">
        <v>35</v>
      </c>
      <c r="Q1432" s="1">
        <v>99</v>
      </c>
    </row>
    <row r="1433" spans="1:17" ht="15.75" customHeight="1">
      <c r="A1433" s="1">
        <v>2024</v>
      </c>
      <c r="B1433" s="1">
        <v>79</v>
      </c>
      <c r="C1433" s="1" t="s">
        <v>122</v>
      </c>
      <c r="D1433" s="1">
        <v>5.82</v>
      </c>
      <c r="E1433" s="1">
        <v>0.48</v>
      </c>
      <c r="F1433" s="1">
        <v>56</v>
      </c>
      <c r="G1433" s="1">
        <v>82</v>
      </c>
      <c r="H1433" s="1">
        <v>81</v>
      </c>
      <c r="I1433" s="1"/>
      <c r="J1433" s="1">
        <v>77</v>
      </c>
      <c r="K1433" s="1">
        <v>77</v>
      </c>
      <c r="L1433" s="1">
        <v>23</v>
      </c>
      <c r="M1433" s="1">
        <v>105</v>
      </c>
      <c r="N1433" s="1">
        <v>81</v>
      </c>
      <c r="O1433" s="1">
        <v>77</v>
      </c>
      <c r="P1433" s="1">
        <v>99</v>
      </c>
      <c r="Q1433" s="1">
        <v>90</v>
      </c>
    </row>
    <row r="1434" spans="1:17" ht="15.75" customHeight="1">
      <c r="A1434" s="1">
        <v>2024</v>
      </c>
      <c r="B1434" s="1">
        <v>80</v>
      </c>
      <c r="C1434" s="1" t="s">
        <v>285</v>
      </c>
      <c r="D1434" s="1">
        <v>5.819</v>
      </c>
      <c r="E1434" s="1">
        <v>2.8000000000000001E-2</v>
      </c>
      <c r="F1434" s="1">
        <v>60</v>
      </c>
      <c r="G1434" s="1">
        <v>72</v>
      </c>
      <c r="H1434" s="1">
        <v>70</v>
      </c>
      <c r="I1434" s="1">
        <v>81</v>
      </c>
      <c r="J1434" s="1">
        <v>51</v>
      </c>
      <c r="K1434" s="1">
        <v>116</v>
      </c>
      <c r="L1434" s="1">
        <v>125</v>
      </c>
      <c r="M1434" s="1">
        <v>93</v>
      </c>
      <c r="N1434" s="1">
        <v>78</v>
      </c>
      <c r="O1434" s="1">
        <v>116</v>
      </c>
      <c r="P1434" s="1">
        <v>121</v>
      </c>
      <c r="Q1434" s="1">
        <v>78</v>
      </c>
    </row>
    <row r="1435" spans="1:17" ht="15.75" customHeight="1">
      <c r="A1435" s="1">
        <v>2024</v>
      </c>
      <c r="B1435" s="1">
        <v>81</v>
      </c>
      <c r="C1435" s="1" t="s">
        <v>160</v>
      </c>
      <c r="D1435" s="1">
        <v>5.7759999999999998</v>
      </c>
      <c r="E1435" s="1">
        <v>0.34100000000000003</v>
      </c>
      <c r="F1435" s="1">
        <v>59</v>
      </c>
      <c r="G1435" s="1">
        <v>77</v>
      </c>
      <c r="H1435" s="1">
        <v>39</v>
      </c>
      <c r="I1435" s="1">
        <v>27</v>
      </c>
      <c r="J1435" s="1">
        <v>136</v>
      </c>
      <c r="K1435" s="1">
        <v>132</v>
      </c>
      <c r="L1435" s="1">
        <v>113</v>
      </c>
      <c r="M1435" s="1">
        <v>109</v>
      </c>
      <c r="N1435" s="1">
        <v>96</v>
      </c>
      <c r="O1435" s="1">
        <v>132</v>
      </c>
      <c r="P1435" s="1">
        <v>82</v>
      </c>
      <c r="Q1435" s="1">
        <v>83</v>
      </c>
    </row>
    <row r="1436" spans="1:17" ht="15.75" customHeight="1">
      <c r="A1436" s="1">
        <v>2024</v>
      </c>
      <c r="B1436" s="1">
        <v>82</v>
      </c>
      <c r="C1436" s="1" t="s">
        <v>93</v>
      </c>
      <c r="D1436" s="1">
        <v>5.6829999999999998</v>
      </c>
      <c r="E1436" s="1" t="s">
        <v>756</v>
      </c>
      <c r="F1436" s="1">
        <v>97</v>
      </c>
      <c r="G1436" s="1">
        <v>89</v>
      </c>
      <c r="H1436" s="1">
        <v>102</v>
      </c>
      <c r="I1436" s="1">
        <v>74</v>
      </c>
      <c r="J1436" s="1">
        <v>88</v>
      </c>
      <c r="K1436" s="1">
        <v>36</v>
      </c>
      <c r="L1436" s="1">
        <v>35</v>
      </c>
      <c r="M1436" s="1">
        <v>108</v>
      </c>
      <c r="N1436" s="1">
        <v>88</v>
      </c>
      <c r="O1436" s="1">
        <v>9</v>
      </c>
      <c r="P1436" s="1">
        <v>2</v>
      </c>
      <c r="Q1436" s="1"/>
    </row>
    <row r="1437" spans="1:17" ht="15.75" customHeight="1">
      <c r="A1437" s="1">
        <v>2024</v>
      </c>
      <c r="B1437" s="1">
        <v>83</v>
      </c>
      <c r="C1437" s="1" t="s">
        <v>137</v>
      </c>
      <c r="D1437" s="1">
        <v>5.617</v>
      </c>
      <c r="E1437" s="1">
        <v>0.26900000000000002</v>
      </c>
      <c r="F1437" s="1">
        <v>100</v>
      </c>
      <c r="G1437" s="1">
        <v>74</v>
      </c>
      <c r="H1437" s="1">
        <v>75</v>
      </c>
      <c r="I1437" s="1">
        <v>85</v>
      </c>
      <c r="J1437" s="1">
        <v>24</v>
      </c>
      <c r="K1437" s="1">
        <v>1</v>
      </c>
      <c r="L1437" s="1">
        <v>123</v>
      </c>
      <c r="M1437" s="1">
        <v>4</v>
      </c>
      <c r="N1437" s="1">
        <v>77</v>
      </c>
      <c r="O1437" s="1">
        <v>1</v>
      </c>
      <c r="P1437" s="1">
        <v>1</v>
      </c>
      <c r="Q1437" s="1">
        <v>46</v>
      </c>
    </row>
    <row r="1438" spans="1:17" ht="15.75" customHeight="1">
      <c r="A1438" s="1">
        <v>2024</v>
      </c>
      <c r="B1438" s="1">
        <v>84</v>
      </c>
      <c r="C1438" s="1" t="s">
        <v>85</v>
      </c>
      <c r="D1438" s="1">
        <v>5.5709999999999997</v>
      </c>
      <c r="E1438" s="1">
        <v>0.14899999999999999</v>
      </c>
      <c r="F1438" s="1">
        <v>22</v>
      </c>
      <c r="G1438" s="1">
        <v>69</v>
      </c>
      <c r="H1438" s="1">
        <v>74</v>
      </c>
      <c r="I1438" s="1">
        <v>39</v>
      </c>
      <c r="J1438" s="1">
        <v>75</v>
      </c>
      <c r="K1438" s="1">
        <v>123</v>
      </c>
      <c r="L1438" s="1">
        <v>131</v>
      </c>
      <c r="M1438" s="1">
        <v>30</v>
      </c>
      <c r="N1438" s="1">
        <v>123</v>
      </c>
      <c r="O1438" s="1">
        <v>127</v>
      </c>
      <c r="P1438" s="1">
        <v>69</v>
      </c>
      <c r="Q1438" s="1"/>
    </row>
    <row r="1439" spans="1:17" ht="15.75" customHeight="1">
      <c r="A1439" s="1">
        <v>2024</v>
      </c>
      <c r="B1439" s="1">
        <v>85</v>
      </c>
      <c r="C1439" s="1" t="s">
        <v>205</v>
      </c>
      <c r="D1439" s="1">
        <v>5.5540000000000003</v>
      </c>
      <c r="E1439" s="1">
        <v>1.573</v>
      </c>
      <c r="F1439" s="1">
        <v>40</v>
      </c>
      <c r="G1439" s="1">
        <v>15</v>
      </c>
      <c r="H1439" s="1">
        <v>44</v>
      </c>
      <c r="I1439" s="1">
        <v>71</v>
      </c>
      <c r="J1439" s="1">
        <v>83</v>
      </c>
      <c r="K1439" s="1">
        <v>85</v>
      </c>
      <c r="L1439" s="1">
        <v>130</v>
      </c>
      <c r="M1439" s="1">
        <v>108</v>
      </c>
      <c r="N1439" s="1">
        <v>15</v>
      </c>
      <c r="O1439" s="1">
        <v>85</v>
      </c>
      <c r="P1439" s="1">
        <v>141</v>
      </c>
      <c r="Q1439" s="1">
        <v>104</v>
      </c>
    </row>
    <row r="1440" spans="1:17" ht="15.75" customHeight="1">
      <c r="A1440" s="1">
        <v>2024</v>
      </c>
      <c r="B1440" s="1">
        <v>86</v>
      </c>
      <c r="C1440" s="1" t="s">
        <v>156</v>
      </c>
      <c r="D1440" s="1">
        <v>5.5030000000000001</v>
      </c>
      <c r="E1440" s="1">
        <v>0.92900000000000005</v>
      </c>
      <c r="F1440" s="1">
        <v>51</v>
      </c>
      <c r="G1440" s="1">
        <v>54</v>
      </c>
      <c r="H1440" s="1">
        <v>54</v>
      </c>
      <c r="I1440" s="1">
        <v>60</v>
      </c>
      <c r="J1440" s="1">
        <v>119</v>
      </c>
      <c r="K1440" s="1">
        <v>46</v>
      </c>
      <c r="L1440" s="1">
        <v>131</v>
      </c>
      <c r="M1440" s="1">
        <v>135</v>
      </c>
      <c r="N1440" s="1">
        <v>61</v>
      </c>
      <c r="O1440" s="1">
        <v>46</v>
      </c>
      <c r="P1440" s="1">
        <v>133</v>
      </c>
      <c r="Q1440" s="1">
        <v>132</v>
      </c>
    </row>
    <row r="1441" spans="1:17" ht="15.75" customHeight="1">
      <c r="A1441" s="1">
        <v>2024</v>
      </c>
      <c r="B1441" s="1">
        <v>87</v>
      </c>
      <c r="C1441" s="1" t="s">
        <v>192</v>
      </c>
      <c r="D1441" s="1">
        <v>5.4939999999999998</v>
      </c>
      <c r="E1441" s="1">
        <v>1.1779999999999999</v>
      </c>
      <c r="F1441" s="1">
        <v>70</v>
      </c>
      <c r="G1441" s="1">
        <v>93</v>
      </c>
      <c r="H1441" s="1">
        <v>61</v>
      </c>
      <c r="I1441" s="1">
        <v>53</v>
      </c>
      <c r="J1441" s="1">
        <v>60</v>
      </c>
      <c r="K1441" s="1">
        <v>136</v>
      </c>
      <c r="L1441" s="1">
        <v>51</v>
      </c>
      <c r="M1441" s="1">
        <v>128</v>
      </c>
      <c r="N1441" s="1">
        <v>138</v>
      </c>
      <c r="O1441" s="1">
        <v>136</v>
      </c>
      <c r="P1441" s="1">
        <v>134</v>
      </c>
      <c r="Q1441" s="1">
        <v>97</v>
      </c>
    </row>
    <row r="1442" spans="1:17" ht="15.75" customHeight="1">
      <c r="A1442" s="1">
        <v>2024</v>
      </c>
      <c r="B1442" s="1">
        <v>88</v>
      </c>
      <c r="C1442" s="1" t="s">
        <v>132</v>
      </c>
      <c r="D1442" s="1">
        <v>5.4909999999999997</v>
      </c>
      <c r="E1442" s="1" t="s">
        <v>504</v>
      </c>
      <c r="F1442" s="1">
        <v>21</v>
      </c>
      <c r="G1442" s="1">
        <v>64</v>
      </c>
      <c r="H1442" s="1">
        <v>90</v>
      </c>
      <c r="I1442" s="1"/>
      <c r="J1442" s="1">
        <v>54</v>
      </c>
      <c r="K1442" s="1">
        <v>7</v>
      </c>
      <c r="L1442" s="1">
        <v>120</v>
      </c>
      <c r="M1442" s="1">
        <v>18</v>
      </c>
      <c r="N1442" s="1">
        <v>54</v>
      </c>
      <c r="O1442" s="1">
        <v>89</v>
      </c>
      <c r="P1442" s="1">
        <v>115</v>
      </c>
      <c r="Q1442" s="1"/>
    </row>
    <row r="1443" spans="1:17" ht="15.75" customHeight="1">
      <c r="A1443" s="1">
        <v>2024</v>
      </c>
      <c r="B1443" s="1">
        <v>89</v>
      </c>
      <c r="C1443" s="1" t="s">
        <v>174</v>
      </c>
      <c r="D1443" s="1">
        <v>5.4109999999999996</v>
      </c>
      <c r="E1443" s="1" t="s">
        <v>757</v>
      </c>
      <c r="F1443" s="1">
        <v>95</v>
      </c>
      <c r="G1443" s="1">
        <v>111</v>
      </c>
      <c r="H1443" s="1">
        <v>65</v>
      </c>
      <c r="I1443" s="1">
        <v>35</v>
      </c>
      <c r="J1443" s="1">
        <v>34</v>
      </c>
      <c r="K1443" s="1">
        <v>72</v>
      </c>
      <c r="L1443" s="1">
        <v>114</v>
      </c>
      <c r="M1443" s="1">
        <v>115</v>
      </c>
      <c r="N1443" s="1">
        <v>87</v>
      </c>
      <c r="O1443" s="1">
        <v>72</v>
      </c>
      <c r="P1443" s="1">
        <v>140</v>
      </c>
      <c r="Q1443" s="1">
        <v>105</v>
      </c>
    </row>
    <row r="1444" spans="1:17" ht="15.75" customHeight="1">
      <c r="A1444" s="1">
        <v>2024</v>
      </c>
      <c r="B1444" s="1">
        <v>90</v>
      </c>
      <c r="C1444" s="1" t="s">
        <v>162</v>
      </c>
      <c r="D1444" s="1">
        <v>5.4109999999999996</v>
      </c>
      <c r="E1444" s="1">
        <v>1.0309999999999999</v>
      </c>
      <c r="F1444" s="1">
        <v>14</v>
      </c>
      <c r="G1444" s="1">
        <v>40</v>
      </c>
      <c r="H1444" s="1">
        <v>112</v>
      </c>
      <c r="I1444" s="1">
        <v>67</v>
      </c>
      <c r="J1444" s="1">
        <v>134</v>
      </c>
      <c r="K1444" s="1">
        <v>12</v>
      </c>
      <c r="L1444" s="1">
        <v>39</v>
      </c>
      <c r="M1444" s="1">
        <v>23</v>
      </c>
      <c r="N1444" s="1">
        <v>134</v>
      </c>
      <c r="O1444" s="1">
        <v>11</v>
      </c>
      <c r="P1444" s="1">
        <v>58</v>
      </c>
      <c r="Q1444" s="1"/>
    </row>
    <row r="1445" spans="1:17" ht="15.75" customHeight="1">
      <c r="A1445" s="1">
        <v>2024</v>
      </c>
      <c r="B1445" s="1">
        <v>91</v>
      </c>
      <c r="C1445" s="1" t="s">
        <v>201</v>
      </c>
      <c r="D1445" s="1">
        <v>5.4</v>
      </c>
      <c r="E1445" s="1">
        <v>1.2130000000000001</v>
      </c>
      <c r="F1445" s="1">
        <v>49</v>
      </c>
      <c r="G1445" s="1">
        <v>85</v>
      </c>
      <c r="H1445" s="1">
        <v>55</v>
      </c>
      <c r="I1445" s="1">
        <v>70</v>
      </c>
      <c r="J1445" s="1">
        <v>48</v>
      </c>
      <c r="K1445" s="1">
        <v>141</v>
      </c>
      <c r="L1445" s="1">
        <v>43</v>
      </c>
      <c r="M1445" s="1">
        <v>114</v>
      </c>
      <c r="N1445" s="1">
        <v>11</v>
      </c>
      <c r="O1445" s="1">
        <v>141</v>
      </c>
      <c r="P1445" s="1">
        <v>98</v>
      </c>
      <c r="Q1445" s="1">
        <v>67</v>
      </c>
    </row>
    <row r="1446" spans="1:17" ht="15.75" customHeight="1">
      <c r="A1446" s="1">
        <v>2024</v>
      </c>
      <c r="B1446" s="1">
        <v>92</v>
      </c>
      <c r="C1446" s="1" t="s">
        <v>172</v>
      </c>
      <c r="D1446" s="1">
        <v>5.3109999999999999</v>
      </c>
      <c r="E1446" s="1">
        <v>1.155</v>
      </c>
      <c r="F1446" s="1">
        <v>116</v>
      </c>
      <c r="G1446" s="1">
        <v>105</v>
      </c>
      <c r="H1446" s="1">
        <v>110</v>
      </c>
      <c r="I1446" s="1">
        <v>89</v>
      </c>
      <c r="J1446" s="1">
        <v>78</v>
      </c>
      <c r="K1446" s="1">
        <v>76</v>
      </c>
      <c r="L1446" s="1">
        <v>93</v>
      </c>
      <c r="M1446" s="1">
        <v>138</v>
      </c>
      <c r="N1446" s="1">
        <v>100</v>
      </c>
      <c r="O1446" s="1">
        <v>76</v>
      </c>
      <c r="P1446" s="1">
        <v>55</v>
      </c>
      <c r="Q1446" s="1">
        <v>100</v>
      </c>
    </row>
    <row r="1447" spans="1:17" ht="15.75" customHeight="1">
      <c r="A1447" s="1">
        <v>2024</v>
      </c>
      <c r="B1447" s="12">
        <v>93</v>
      </c>
      <c r="C1447" s="8" t="s">
        <v>758</v>
      </c>
      <c r="D1447" s="5">
        <v>5.3010000000000002</v>
      </c>
      <c r="E1447" s="6">
        <v>0.51400000000000001</v>
      </c>
      <c r="F1447" s="6">
        <v>90</v>
      </c>
      <c r="G1447" s="6">
        <v>119</v>
      </c>
      <c r="H1447" s="6">
        <v>97</v>
      </c>
      <c r="I1447" s="10">
        <v>87</v>
      </c>
      <c r="J1447" s="6">
        <v>29</v>
      </c>
      <c r="K1447" s="6">
        <v>43</v>
      </c>
      <c r="L1447" s="6">
        <v>28</v>
      </c>
      <c r="M1447" s="6">
        <v>65</v>
      </c>
      <c r="N1447" s="6">
        <v>82</v>
      </c>
      <c r="O1447" s="6">
        <v>43</v>
      </c>
      <c r="P1447" s="6">
        <v>117</v>
      </c>
      <c r="Q1447" s="6">
        <v>138</v>
      </c>
    </row>
    <row r="1448" spans="1:17" ht="15.75" customHeight="1">
      <c r="A1448" s="1">
        <v>2024</v>
      </c>
      <c r="B1448" s="12">
        <v>94</v>
      </c>
      <c r="C1448" s="8" t="s">
        <v>759</v>
      </c>
      <c r="D1448" s="5">
        <v>5.2619999999999996</v>
      </c>
      <c r="E1448" s="9" t="s">
        <v>760</v>
      </c>
      <c r="F1448" s="6">
        <v>37</v>
      </c>
      <c r="G1448" s="6">
        <v>73</v>
      </c>
      <c r="H1448" s="6">
        <v>43</v>
      </c>
      <c r="I1448" s="7">
        <v>42</v>
      </c>
      <c r="J1448" s="6">
        <v>140</v>
      </c>
      <c r="K1448" s="6">
        <v>107</v>
      </c>
      <c r="L1448" s="6">
        <v>94</v>
      </c>
      <c r="M1448" s="6">
        <v>142</v>
      </c>
      <c r="N1448" s="6">
        <v>101</v>
      </c>
      <c r="O1448" s="6">
        <v>107</v>
      </c>
      <c r="P1448" s="6">
        <v>128</v>
      </c>
      <c r="Q1448" s="6">
        <v>120</v>
      </c>
    </row>
    <row r="1449" spans="1:17" ht="15.75" customHeight="1">
      <c r="A1449" s="1">
        <v>2024</v>
      </c>
      <c r="B1449" s="1">
        <v>95</v>
      </c>
      <c r="C1449" s="1" t="s">
        <v>185</v>
      </c>
      <c r="D1449" s="1">
        <v>5.2130000000000001</v>
      </c>
      <c r="E1449" s="1">
        <v>0.25</v>
      </c>
      <c r="F1449" s="1">
        <v>127</v>
      </c>
      <c r="G1449" s="1">
        <v>80</v>
      </c>
      <c r="H1449" s="1">
        <v>79</v>
      </c>
      <c r="I1449" s="1">
        <v>114</v>
      </c>
      <c r="J1449" s="1">
        <v>96</v>
      </c>
      <c r="K1449" s="1">
        <v>121</v>
      </c>
      <c r="L1449" s="1">
        <v>106</v>
      </c>
      <c r="M1449" s="1">
        <v>46</v>
      </c>
      <c r="N1449" s="1">
        <v>56</v>
      </c>
      <c r="O1449" s="1">
        <v>121</v>
      </c>
      <c r="P1449" s="1">
        <v>76</v>
      </c>
      <c r="Q1449" s="1">
        <v>74</v>
      </c>
    </row>
    <row r="1450" spans="1:17" ht="15.75" customHeight="1">
      <c r="A1450" s="1">
        <v>2024</v>
      </c>
      <c r="B1450" s="1">
        <v>96</v>
      </c>
      <c r="C1450" s="1" t="s">
        <v>252</v>
      </c>
      <c r="D1450" s="1">
        <v>5.19</v>
      </c>
      <c r="E1450" s="1">
        <v>0.219</v>
      </c>
      <c r="F1450" s="1">
        <v>140</v>
      </c>
      <c r="G1450" s="1">
        <v>102</v>
      </c>
      <c r="H1450" s="1">
        <v>133</v>
      </c>
      <c r="I1450" s="1">
        <v>117</v>
      </c>
      <c r="J1450" s="1">
        <v>100</v>
      </c>
      <c r="K1450" s="1">
        <v>97</v>
      </c>
      <c r="L1450" s="1">
        <v>38</v>
      </c>
      <c r="M1450" s="1">
        <v>99</v>
      </c>
      <c r="N1450" s="1">
        <v>127</v>
      </c>
      <c r="O1450" s="1">
        <v>97</v>
      </c>
      <c r="P1450" s="1">
        <v>34</v>
      </c>
      <c r="Q1450" s="1">
        <v>81</v>
      </c>
    </row>
    <row r="1451" spans="1:17" ht="15.75" customHeight="1">
      <c r="A1451" s="1">
        <v>2024</v>
      </c>
      <c r="B1451" s="1">
        <v>97</v>
      </c>
      <c r="C1451" s="1" t="s">
        <v>306</v>
      </c>
      <c r="D1451" s="1">
        <v>5.12</v>
      </c>
      <c r="E1451" s="1">
        <v>1.006</v>
      </c>
      <c r="F1451" s="1">
        <v>111</v>
      </c>
      <c r="G1451" s="1">
        <v>99</v>
      </c>
      <c r="H1451" s="1">
        <v>64</v>
      </c>
      <c r="I1451" s="1">
        <v>101</v>
      </c>
      <c r="J1451" s="1">
        <v>99</v>
      </c>
      <c r="K1451" s="1">
        <v>110</v>
      </c>
      <c r="L1451" s="1">
        <v>84</v>
      </c>
      <c r="M1451" s="1">
        <v>92</v>
      </c>
      <c r="N1451" s="1">
        <v>130</v>
      </c>
      <c r="O1451" s="1">
        <v>110</v>
      </c>
      <c r="P1451" s="1">
        <v>108</v>
      </c>
      <c r="Q1451" s="1">
        <v>11</v>
      </c>
    </row>
    <row r="1452" spans="1:17" ht="15.75" customHeight="1">
      <c r="A1452" s="1">
        <v>2024</v>
      </c>
      <c r="B1452" s="1">
        <v>98</v>
      </c>
      <c r="C1452" s="1" t="s">
        <v>220</v>
      </c>
      <c r="D1452" s="1">
        <v>5.1020000000000003</v>
      </c>
      <c r="E1452" s="1">
        <v>106</v>
      </c>
      <c r="F1452" s="1">
        <v>133</v>
      </c>
      <c r="G1452" s="1">
        <v>101</v>
      </c>
      <c r="H1452" s="1">
        <v>112</v>
      </c>
      <c r="I1452" s="1"/>
      <c r="J1452" s="1">
        <v>79</v>
      </c>
      <c r="K1452" s="1">
        <v>40</v>
      </c>
      <c r="L1452" s="1">
        <v>71</v>
      </c>
      <c r="M1452" s="1">
        <v>106</v>
      </c>
      <c r="N1452" s="1">
        <v>79</v>
      </c>
      <c r="O1452" s="1">
        <v>72</v>
      </c>
      <c r="P1452" s="1">
        <v>26</v>
      </c>
      <c r="Q1452" s="1"/>
    </row>
    <row r="1453" spans="1:17" ht="15.75" customHeight="1">
      <c r="A1453" s="1">
        <v>2024</v>
      </c>
      <c r="B1453" s="1">
        <v>99</v>
      </c>
      <c r="C1453" s="1" t="s">
        <v>169</v>
      </c>
      <c r="D1453" s="1">
        <v>5.093</v>
      </c>
      <c r="E1453" s="1">
        <v>0.45</v>
      </c>
      <c r="F1453" s="1">
        <v>78</v>
      </c>
      <c r="G1453" s="1">
        <v>75</v>
      </c>
      <c r="H1453" s="1">
        <v>71</v>
      </c>
      <c r="I1453" s="1">
        <v>54</v>
      </c>
      <c r="J1453" s="1">
        <v>132</v>
      </c>
      <c r="K1453" s="1">
        <v>13</v>
      </c>
      <c r="L1453" s="1">
        <v>57</v>
      </c>
      <c r="M1453" s="1">
        <v>127</v>
      </c>
      <c r="N1453" s="1">
        <v>136</v>
      </c>
      <c r="O1453" s="1">
        <v>13</v>
      </c>
      <c r="P1453" s="1">
        <v>109</v>
      </c>
      <c r="Q1453" s="1">
        <v>19</v>
      </c>
    </row>
    <row r="1454" spans="1:17" ht="15.75" customHeight="1">
      <c r="A1454" s="1">
        <v>2024</v>
      </c>
      <c r="B1454" s="1">
        <v>100</v>
      </c>
      <c r="C1454" s="1" t="s">
        <v>202</v>
      </c>
      <c r="D1454" s="1">
        <v>5.03</v>
      </c>
      <c r="E1454" s="1">
        <v>0.73299999999999998</v>
      </c>
      <c r="F1454" s="1">
        <v>139</v>
      </c>
      <c r="G1454" s="1">
        <v>134</v>
      </c>
      <c r="H1454" s="1">
        <v>105</v>
      </c>
      <c r="I1454" s="1">
        <v>105</v>
      </c>
      <c r="J1454" s="1">
        <v>111</v>
      </c>
      <c r="K1454" s="1">
        <v>113</v>
      </c>
      <c r="L1454" s="1">
        <v>58</v>
      </c>
      <c r="M1454" s="1">
        <v>130</v>
      </c>
      <c r="N1454" s="1">
        <v>133</v>
      </c>
      <c r="O1454" s="1">
        <v>113</v>
      </c>
      <c r="P1454" s="1">
        <v>59</v>
      </c>
      <c r="Q1454" s="1">
        <v>23</v>
      </c>
    </row>
    <row r="1455" spans="1:17" ht="15.75" customHeight="1">
      <c r="A1455" s="1">
        <v>2024</v>
      </c>
      <c r="B1455" s="1">
        <v>101</v>
      </c>
      <c r="C1455" s="1" t="s">
        <v>179</v>
      </c>
      <c r="D1455" s="1">
        <v>4.976</v>
      </c>
      <c r="E1455" s="1">
        <v>0.159</v>
      </c>
      <c r="F1455" s="1">
        <v>62</v>
      </c>
      <c r="G1455" s="1">
        <v>63</v>
      </c>
      <c r="H1455" s="1">
        <v>85</v>
      </c>
      <c r="I1455" s="1">
        <v>82</v>
      </c>
      <c r="J1455" s="1">
        <v>134</v>
      </c>
      <c r="K1455" s="1">
        <v>90</v>
      </c>
      <c r="L1455" s="1">
        <v>76</v>
      </c>
      <c r="M1455" s="1">
        <v>121</v>
      </c>
      <c r="N1455" s="1">
        <v>137</v>
      </c>
      <c r="O1455" s="1">
        <v>90</v>
      </c>
      <c r="P1455" s="1">
        <v>91</v>
      </c>
      <c r="Q1455" s="1">
        <v>34</v>
      </c>
    </row>
    <row r="1456" spans="1:17" ht="15.75" customHeight="1">
      <c r="A1456" s="1">
        <v>2024</v>
      </c>
      <c r="B1456" s="1">
        <v>102</v>
      </c>
      <c r="C1456" s="1" t="s">
        <v>240</v>
      </c>
      <c r="D1456" s="1">
        <v>4.9290000000000003</v>
      </c>
      <c r="E1456" s="1">
        <v>1.0820000000000001</v>
      </c>
      <c r="F1456" s="1">
        <v>129</v>
      </c>
      <c r="G1456" s="1">
        <v>125</v>
      </c>
      <c r="H1456" s="1">
        <v>114</v>
      </c>
      <c r="I1456" s="1">
        <v>110</v>
      </c>
      <c r="J1456" s="1">
        <v>95</v>
      </c>
      <c r="K1456" s="1">
        <v>61</v>
      </c>
      <c r="L1456" s="1">
        <v>82</v>
      </c>
      <c r="M1456" s="1">
        <v>38</v>
      </c>
      <c r="N1456" s="1">
        <v>141</v>
      </c>
      <c r="O1456" s="1">
        <v>61</v>
      </c>
      <c r="P1456" s="1">
        <v>18</v>
      </c>
      <c r="Q1456" s="1">
        <v>14</v>
      </c>
    </row>
    <row r="1457" spans="1:17" ht="15.75" customHeight="1">
      <c r="A1457" s="1">
        <v>2024</v>
      </c>
      <c r="B1457" s="1">
        <v>103</v>
      </c>
      <c r="C1457" s="1" t="s">
        <v>181</v>
      </c>
      <c r="D1457" s="1">
        <v>4.9109999999999996</v>
      </c>
      <c r="E1457" s="1">
        <v>42</v>
      </c>
      <c r="F1457" s="1">
        <v>45</v>
      </c>
      <c r="G1457" s="1">
        <v>91</v>
      </c>
      <c r="H1457" s="1">
        <v>129</v>
      </c>
      <c r="I1457" s="1">
        <v>113</v>
      </c>
      <c r="J1457" s="1">
        <v>135</v>
      </c>
      <c r="K1457" s="1">
        <v>99</v>
      </c>
      <c r="L1457" s="1">
        <v>98</v>
      </c>
      <c r="M1457" s="1">
        <v>22</v>
      </c>
      <c r="N1457" s="1">
        <v>135</v>
      </c>
      <c r="O1457" s="1">
        <v>56</v>
      </c>
      <c r="P1457" s="1">
        <v>88</v>
      </c>
      <c r="Q1457" s="1"/>
    </row>
    <row r="1458" spans="1:17" ht="15.75" customHeight="1">
      <c r="A1458" s="1">
        <v>2024</v>
      </c>
      <c r="B1458" s="1">
        <v>104</v>
      </c>
      <c r="C1458" s="1" t="s">
        <v>182</v>
      </c>
      <c r="D1458" s="1">
        <v>4.8869999999999996</v>
      </c>
      <c r="E1458" s="1">
        <v>0.46700000000000003</v>
      </c>
      <c r="F1458" s="1">
        <v>122</v>
      </c>
      <c r="G1458" s="1">
        <v>123</v>
      </c>
      <c r="H1458" s="1">
        <v>111</v>
      </c>
      <c r="I1458" s="1">
        <v>108</v>
      </c>
      <c r="J1458" s="1">
        <v>85</v>
      </c>
      <c r="K1458" s="1">
        <v>98</v>
      </c>
      <c r="L1458" s="1">
        <v>100</v>
      </c>
      <c r="M1458" s="1">
        <v>104</v>
      </c>
      <c r="N1458" s="1">
        <v>105</v>
      </c>
      <c r="O1458" s="1">
        <v>98</v>
      </c>
      <c r="P1458" s="1">
        <v>58</v>
      </c>
      <c r="Q1458" s="1">
        <v>38</v>
      </c>
    </row>
    <row r="1459" spans="1:17" ht="15.75" customHeight="1">
      <c r="A1459" s="1">
        <v>2024</v>
      </c>
      <c r="B1459" s="1">
        <v>105</v>
      </c>
      <c r="C1459" s="1" t="s">
        <v>165</v>
      </c>
      <c r="D1459" s="1">
        <v>4.8849999999999998</v>
      </c>
      <c r="E1459" s="1" t="s">
        <v>261</v>
      </c>
      <c r="F1459" s="1">
        <v>74</v>
      </c>
      <c r="G1459" s="1">
        <v>112</v>
      </c>
      <c r="H1459" s="1">
        <v>107</v>
      </c>
      <c r="I1459" s="1">
        <v>104</v>
      </c>
      <c r="J1459" s="1">
        <v>127</v>
      </c>
      <c r="K1459" s="1">
        <v>47</v>
      </c>
      <c r="L1459" s="1">
        <v>121</v>
      </c>
      <c r="M1459" s="1">
        <v>77</v>
      </c>
      <c r="N1459" s="1">
        <v>68</v>
      </c>
      <c r="O1459" s="1">
        <v>47</v>
      </c>
      <c r="P1459" s="1">
        <v>8</v>
      </c>
      <c r="Q1459" s="1">
        <v>13</v>
      </c>
    </row>
    <row r="1460" spans="1:17" ht="15.75" customHeight="1">
      <c r="A1460" s="1">
        <v>2024</v>
      </c>
      <c r="B1460" s="1">
        <v>106</v>
      </c>
      <c r="C1460" s="1" t="s">
        <v>140</v>
      </c>
      <c r="D1460" s="1">
        <v>4.875</v>
      </c>
      <c r="E1460" s="1">
        <v>0.27100000000000002</v>
      </c>
      <c r="F1460" s="1">
        <v>35</v>
      </c>
      <c r="G1460" s="1">
        <v>117</v>
      </c>
      <c r="H1460" s="1">
        <v>58</v>
      </c>
      <c r="I1460" s="1"/>
      <c r="J1460" s="1">
        <v>67</v>
      </c>
      <c r="K1460" s="1">
        <v>95</v>
      </c>
      <c r="L1460" s="1">
        <v>45</v>
      </c>
      <c r="M1460" s="1">
        <v>136</v>
      </c>
      <c r="N1460" s="1">
        <v>12</v>
      </c>
      <c r="O1460" s="1">
        <v>95</v>
      </c>
      <c r="P1460" s="1">
        <v>131</v>
      </c>
      <c r="Q1460" s="1">
        <v>64</v>
      </c>
    </row>
    <row r="1461" spans="1:17" ht="15.75" customHeight="1">
      <c r="A1461" s="1">
        <v>2024</v>
      </c>
      <c r="B1461" s="1">
        <v>107</v>
      </c>
      <c r="C1461" s="1" t="s">
        <v>204</v>
      </c>
      <c r="D1461" s="1">
        <v>4.8559999999999999</v>
      </c>
      <c r="E1461" s="1">
        <v>0.89700000000000002</v>
      </c>
      <c r="F1461" s="1">
        <v>107</v>
      </c>
      <c r="G1461" s="1">
        <v>113</v>
      </c>
      <c r="H1461" s="1">
        <v>113</v>
      </c>
      <c r="I1461" s="1">
        <v>92</v>
      </c>
      <c r="J1461" s="1">
        <v>53</v>
      </c>
      <c r="K1461" s="1">
        <v>68</v>
      </c>
      <c r="L1461" s="1">
        <v>53</v>
      </c>
      <c r="M1461" s="1">
        <v>1</v>
      </c>
      <c r="N1461" s="1">
        <v>79</v>
      </c>
      <c r="O1461" s="1">
        <v>68</v>
      </c>
      <c r="P1461" s="1">
        <v>19</v>
      </c>
      <c r="Q1461" s="1">
        <v>7</v>
      </c>
    </row>
    <row r="1462" spans="1:17" ht="15.75" customHeight="1">
      <c r="A1462" s="1">
        <v>2024</v>
      </c>
      <c r="B1462" s="1">
        <v>108</v>
      </c>
      <c r="C1462" s="1" t="s">
        <v>173</v>
      </c>
      <c r="D1462" s="1">
        <v>4.78</v>
      </c>
      <c r="E1462" s="1">
        <v>0.08</v>
      </c>
      <c r="F1462" s="1">
        <v>115</v>
      </c>
      <c r="G1462" s="1">
        <v>66</v>
      </c>
      <c r="H1462" s="1">
        <v>114</v>
      </c>
      <c r="I1462" s="1"/>
      <c r="J1462" s="1">
        <v>137</v>
      </c>
      <c r="K1462" s="1">
        <v>90</v>
      </c>
      <c r="L1462" s="1">
        <v>118</v>
      </c>
      <c r="M1462" s="1">
        <v>137</v>
      </c>
      <c r="N1462" s="1">
        <v>125</v>
      </c>
      <c r="O1462" s="1">
        <v>125</v>
      </c>
      <c r="P1462" s="1"/>
      <c r="Q1462" s="1"/>
    </row>
    <row r="1463" spans="1:17" ht="15.75" customHeight="1">
      <c r="A1463" s="1">
        <v>2024</v>
      </c>
      <c r="B1463" s="1">
        <v>109</v>
      </c>
      <c r="C1463" s="1" t="s">
        <v>152</v>
      </c>
      <c r="D1463" s="1">
        <v>4.7679999999999998</v>
      </c>
      <c r="E1463" s="1" t="s">
        <v>508</v>
      </c>
      <c r="F1463" s="1">
        <v>101</v>
      </c>
      <c r="G1463" s="1">
        <v>131</v>
      </c>
      <c r="H1463" s="1">
        <v>108</v>
      </c>
      <c r="I1463" s="1">
        <v>100</v>
      </c>
      <c r="J1463" s="1">
        <v>135</v>
      </c>
      <c r="K1463" s="1">
        <v>37</v>
      </c>
      <c r="L1463" s="1">
        <v>104</v>
      </c>
      <c r="M1463" s="1">
        <v>139</v>
      </c>
      <c r="N1463" s="1">
        <v>114</v>
      </c>
      <c r="O1463" s="1">
        <v>37</v>
      </c>
      <c r="P1463" s="1">
        <v>93</v>
      </c>
      <c r="Q1463" s="1">
        <v>101</v>
      </c>
    </row>
    <row r="1464" spans="1:17" ht="15.75" customHeight="1">
      <c r="A1464" s="1">
        <v>2024</v>
      </c>
      <c r="B1464" s="1">
        <v>110</v>
      </c>
      <c r="C1464" s="1" t="s">
        <v>224</v>
      </c>
      <c r="D1464" s="1">
        <v>4.7249999999999996</v>
      </c>
      <c r="E1464" s="1">
        <v>0.57299999999999995</v>
      </c>
      <c r="F1464" s="1">
        <v>138</v>
      </c>
      <c r="G1464" s="1">
        <v>137</v>
      </c>
      <c r="H1464" s="1">
        <v>128</v>
      </c>
      <c r="I1464" s="1"/>
      <c r="J1464" s="1">
        <v>58</v>
      </c>
      <c r="K1464" s="1">
        <v>86</v>
      </c>
      <c r="L1464" s="1">
        <v>18</v>
      </c>
      <c r="M1464" s="1">
        <v>129</v>
      </c>
      <c r="N1464" s="1">
        <v>86</v>
      </c>
      <c r="O1464" s="1">
        <v>44</v>
      </c>
      <c r="P1464" s="1">
        <v>8</v>
      </c>
      <c r="Q1464" s="1"/>
    </row>
    <row r="1465" spans="1:17" ht="15.75" customHeight="1">
      <c r="A1465" s="1">
        <v>2024</v>
      </c>
      <c r="B1465" s="1">
        <v>111</v>
      </c>
      <c r="C1465" s="1" t="s">
        <v>195</v>
      </c>
      <c r="D1465" s="1">
        <v>4.68</v>
      </c>
      <c r="E1465" s="1" t="s">
        <v>761</v>
      </c>
      <c r="F1465" s="1">
        <v>77</v>
      </c>
      <c r="G1465" s="1">
        <v>67</v>
      </c>
      <c r="H1465" s="1">
        <v>67</v>
      </c>
      <c r="I1465" s="1">
        <v>78</v>
      </c>
      <c r="J1465" s="1">
        <v>128</v>
      </c>
      <c r="K1465" s="1">
        <v>4</v>
      </c>
      <c r="L1465" s="1">
        <v>132</v>
      </c>
      <c r="M1465" s="1">
        <v>129</v>
      </c>
      <c r="N1465" s="1">
        <v>113</v>
      </c>
      <c r="O1465" s="1">
        <v>4</v>
      </c>
      <c r="P1465" s="1">
        <v>68</v>
      </c>
      <c r="Q1465" s="1">
        <v>24</v>
      </c>
    </row>
    <row r="1466" spans="1:17" ht="15.75" customHeight="1">
      <c r="A1466" s="1">
        <v>2024</v>
      </c>
      <c r="B1466" s="12">
        <v>112</v>
      </c>
      <c r="C1466" s="8" t="s">
        <v>762</v>
      </c>
      <c r="D1466" s="5">
        <v>4.6219999999999999</v>
      </c>
      <c r="E1466" s="9" t="s">
        <v>537</v>
      </c>
      <c r="F1466" s="6">
        <v>130</v>
      </c>
      <c r="G1466" s="6">
        <v>138</v>
      </c>
      <c r="H1466" s="6">
        <v>95</v>
      </c>
      <c r="I1466" s="7">
        <v>72</v>
      </c>
      <c r="J1466" s="6">
        <v>94</v>
      </c>
      <c r="K1466" s="6">
        <v>142</v>
      </c>
      <c r="L1466" s="6">
        <v>60</v>
      </c>
      <c r="M1466" s="6">
        <v>134</v>
      </c>
      <c r="N1466" s="6">
        <v>118</v>
      </c>
      <c r="O1466" s="6">
        <v>142</v>
      </c>
      <c r="P1466" s="6">
        <v>124</v>
      </c>
      <c r="Q1466" s="6">
        <v>52</v>
      </c>
    </row>
    <row r="1467" spans="1:17" ht="15.75" customHeight="1">
      <c r="A1467" s="1">
        <v>2024</v>
      </c>
      <c r="B1467" s="12">
        <v>113</v>
      </c>
      <c r="C1467" s="8" t="s">
        <v>763</v>
      </c>
      <c r="D1467" s="5">
        <v>4.5519999999999996</v>
      </c>
      <c r="E1467" s="9" t="s">
        <v>764</v>
      </c>
      <c r="F1467" s="6">
        <v>61</v>
      </c>
      <c r="G1467" s="6">
        <v>79</v>
      </c>
      <c r="H1467" s="6">
        <v>82</v>
      </c>
      <c r="I1467" s="10">
        <v>62</v>
      </c>
      <c r="J1467" s="6">
        <v>118</v>
      </c>
      <c r="K1467" s="6">
        <v>108</v>
      </c>
      <c r="L1467" s="6">
        <v>80</v>
      </c>
      <c r="M1467" s="6">
        <v>107</v>
      </c>
      <c r="N1467" s="6">
        <v>98</v>
      </c>
      <c r="O1467" s="6">
        <v>108</v>
      </c>
      <c r="P1467" s="6">
        <v>71</v>
      </c>
      <c r="Q1467" s="6">
        <v>29</v>
      </c>
    </row>
    <row r="1468" spans="1:17" ht="15.75" customHeight="1">
      <c r="A1468" s="1">
        <v>2024</v>
      </c>
      <c r="B1468" s="1">
        <v>114</v>
      </c>
      <c r="C1468" s="1" t="s">
        <v>206</v>
      </c>
      <c r="D1468" s="1">
        <v>4.5419999999999998</v>
      </c>
      <c r="E1468" s="1" t="s">
        <v>765</v>
      </c>
      <c r="F1468" s="1">
        <v>117</v>
      </c>
      <c r="G1468" s="1">
        <v>116</v>
      </c>
      <c r="H1468" s="1">
        <v>104</v>
      </c>
      <c r="I1468" s="1"/>
      <c r="J1468" s="1">
        <v>131</v>
      </c>
      <c r="K1468" s="1">
        <v>74</v>
      </c>
      <c r="L1468" s="1">
        <v>26</v>
      </c>
      <c r="M1468" s="1">
        <v>57</v>
      </c>
      <c r="N1468" s="1">
        <v>107</v>
      </c>
      <c r="O1468" s="1">
        <v>74</v>
      </c>
      <c r="P1468" s="1">
        <v>54</v>
      </c>
      <c r="Q1468" s="1">
        <v>18</v>
      </c>
    </row>
    <row r="1469" spans="1:17" ht="15.75" customHeight="1">
      <c r="A1469" s="1">
        <v>2024</v>
      </c>
      <c r="B1469" s="1">
        <v>115</v>
      </c>
      <c r="C1469" s="1" t="s">
        <v>193</v>
      </c>
      <c r="D1469" s="1">
        <v>4.51</v>
      </c>
      <c r="E1469" s="1">
        <v>0.107</v>
      </c>
      <c r="F1469" s="1">
        <v>135</v>
      </c>
      <c r="G1469" s="1">
        <v>115</v>
      </c>
      <c r="H1469" s="1">
        <v>106</v>
      </c>
      <c r="I1469" s="1">
        <v>94</v>
      </c>
      <c r="J1469" s="1">
        <v>108</v>
      </c>
      <c r="K1469" s="1">
        <v>21</v>
      </c>
      <c r="L1469" s="1">
        <v>89</v>
      </c>
      <c r="M1469" s="1">
        <v>40</v>
      </c>
      <c r="N1469" s="1">
        <v>52</v>
      </c>
      <c r="O1469" s="1">
        <v>21</v>
      </c>
      <c r="P1469" s="1">
        <v>3</v>
      </c>
      <c r="Q1469" s="1">
        <v>6</v>
      </c>
    </row>
    <row r="1470" spans="1:17" ht="15.75" customHeight="1">
      <c r="A1470" s="1">
        <v>2024</v>
      </c>
      <c r="B1470" s="1">
        <v>116</v>
      </c>
      <c r="C1470" s="1" t="s">
        <v>231</v>
      </c>
      <c r="D1470" s="1">
        <v>4.4610000000000003</v>
      </c>
      <c r="E1470" s="1">
        <v>1.7999999999999999E-2</v>
      </c>
      <c r="F1470" s="1">
        <v>114</v>
      </c>
      <c r="G1470" s="1">
        <v>83</v>
      </c>
      <c r="H1470" s="1">
        <v>122</v>
      </c>
      <c r="I1470" s="1">
        <v>99</v>
      </c>
      <c r="J1470" s="1">
        <v>72</v>
      </c>
      <c r="K1470" s="1">
        <v>59</v>
      </c>
      <c r="L1470" s="1">
        <v>102</v>
      </c>
      <c r="M1470" s="1">
        <v>47</v>
      </c>
      <c r="N1470" s="1">
        <v>125</v>
      </c>
      <c r="O1470" s="1">
        <v>59</v>
      </c>
      <c r="P1470" s="1">
        <v>12</v>
      </c>
      <c r="Q1470" s="1">
        <v>9</v>
      </c>
    </row>
    <row r="1471" spans="1:17" ht="15.75" customHeight="1">
      <c r="A1471" s="1">
        <v>2024</v>
      </c>
      <c r="B1471" s="1">
        <v>117</v>
      </c>
      <c r="C1471" s="1" t="s">
        <v>403</v>
      </c>
      <c r="D1471" s="1">
        <v>4.423</v>
      </c>
      <c r="E1471" s="1">
        <v>64</v>
      </c>
      <c r="F1471" s="1">
        <v>109</v>
      </c>
      <c r="G1471" s="1">
        <v>121</v>
      </c>
      <c r="H1471" s="1">
        <v>93</v>
      </c>
      <c r="I1471" s="1"/>
      <c r="J1471" s="1">
        <v>10</v>
      </c>
      <c r="K1471" s="1">
        <v>119</v>
      </c>
      <c r="L1471" s="1">
        <v>33</v>
      </c>
      <c r="M1471" s="1">
        <v>66</v>
      </c>
      <c r="N1471" s="1">
        <v>10</v>
      </c>
      <c r="O1471" s="1">
        <v>20</v>
      </c>
      <c r="P1471" s="1">
        <v>16</v>
      </c>
      <c r="Q1471" s="1"/>
    </row>
    <row r="1472" spans="1:17" ht="15.75" customHeight="1">
      <c r="A1472" s="1">
        <v>2024</v>
      </c>
      <c r="B1472" s="1">
        <v>118</v>
      </c>
      <c r="C1472" s="1" t="s">
        <v>188</v>
      </c>
      <c r="D1472" s="1">
        <v>4.3890000000000002</v>
      </c>
      <c r="E1472" s="1" t="s">
        <v>513</v>
      </c>
      <c r="F1472" s="1">
        <v>118</v>
      </c>
      <c r="G1472" s="1">
        <v>128</v>
      </c>
      <c r="H1472" s="1">
        <v>93</v>
      </c>
      <c r="I1472" s="1">
        <v>95</v>
      </c>
      <c r="J1472" s="1">
        <v>23</v>
      </c>
      <c r="K1472" s="1">
        <v>51</v>
      </c>
      <c r="L1472" s="1">
        <v>56</v>
      </c>
      <c r="M1472" s="1">
        <v>89</v>
      </c>
      <c r="N1472" s="1">
        <v>117</v>
      </c>
      <c r="O1472" s="1">
        <v>51</v>
      </c>
      <c r="P1472" s="1">
        <v>16</v>
      </c>
      <c r="Q1472" s="1">
        <v>80</v>
      </c>
    </row>
    <row r="1473" spans="1:17" ht="15.75" customHeight="1">
      <c r="A1473" s="1">
        <v>2024</v>
      </c>
      <c r="B1473" s="1">
        <v>119</v>
      </c>
      <c r="C1473" s="1" t="s">
        <v>227</v>
      </c>
      <c r="D1473" s="1">
        <v>4.3840000000000003</v>
      </c>
      <c r="E1473" s="1">
        <v>0.32800000000000001</v>
      </c>
      <c r="F1473" s="1">
        <v>120</v>
      </c>
      <c r="G1473" s="1">
        <v>135</v>
      </c>
      <c r="H1473" s="1">
        <v>131</v>
      </c>
      <c r="I1473" s="1"/>
      <c r="J1473" s="1">
        <v>133</v>
      </c>
      <c r="K1473" s="1">
        <v>53</v>
      </c>
      <c r="L1473" s="1">
        <v>63</v>
      </c>
      <c r="M1473" s="1">
        <v>122</v>
      </c>
      <c r="N1473" s="1">
        <v>143</v>
      </c>
      <c r="O1473" s="1">
        <v>53</v>
      </c>
      <c r="P1473" s="1">
        <v>10</v>
      </c>
      <c r="Q1473" s="1">
        <v>25</v>
      </c>
    </row>
    <row r="1474" spans="1:17" ht="15.75" customHeight="1">
      <c r="A1474" s="1">
        <v>2024</v>
      </c>
      <c r="B1474" s="1">
        <v>120</v>
      </c>
      <c r="C1474" s="1" t="s">
        <v>229</v>
      </c>
      <c r="D1474" s="1">
        <v>4.383</v>
      </c>
      <c r="E1474" s="1">
        <v>0.124</v>
      </c>
      <c r="F1474" s="1">
        <v>80</v>
      </c>
      <c r="G1474" s="1">
        <v>124</v>
      </c>
      <c r="H1474" s="1">
        <v>126</v>
      </c>
      <c r="I1474" s="1">
        <v>107</v>
      </c>
      <c r="J1474" s="1">
        <v>97</v>
      </c>
      <c r="K1474" s="1">
        <v>81</v>
      </c>
      <c r="L1474" s="1">
        <v>24</v>
      </c>
      <c r="M1474" s="1">
        <v>79</v>
      </c>
      <c r="N1474" s="1">
        <v>120</v>
      </c>
      <c r="O1474" s="1">
        <v>81</v>
      </c>
      <c r="P1474" s="1">
        <v>42</v>
      </c>
      <c r="Q1474" s="1">
        <v>45</v>
      </c>
    </row>
    <row r="1475" spans="1:17" ht="15.75" customHeight="1">
      <c r="A1475" s="1">
        <v>2024</v>
      </c>
      <c r="B1475" s="1">
        <v>121</v>
      </c>
      <c r="C1475" s="1" t="s">
        <v>244</v>
      </c>
      <c r="D1475" s="1">
        <v>4.3570000000000002</v>
      </c>
      <c r="E1475" s="1">
        <v>0.82899999999999996</v>
      </c>
      <c r="F1475" s="1">
        <v>124</v>
      </c>
      <c r="G1475" s="1">
        <v>141</v>
      </c>
      <c r="H1475" s="1">
        <v>115</v>
      </c>
      <c r="I1475" s="1">
        <v>103</v>
      </c>
      <c r="J1475" s="1">
        <v>107</v>
      </c>
      <c r="K1475" s="1">
        <v>100</v>
      </c>
      <c r="L1475" s="1">
        <v>25</v>
      </c>
      <c r="M1475" s="1">
        <v>97</v>
      </c>
      <c r="N1475" s="1">
        <v>134</v>
      </c>
      <c r="O1475" s="1">
        <v>100</v>
      </c>
      <c r="P1475" s="1">
        <v>69</v>
      </c>
      <c r="Q1475" s="1">
        <v>110</v>
      </c>
    </row>
    <row r="1476" spans="1:17" ht="15.75" customHeight="1">
      <c r="A1476" s="1">
        <v>2024</v>
      </c>
      <c r="B1476" s="1">
        <v>122</v>
      </c>
      <c r="C1476" s="1" t="s">
        <v>134</v>
      </c>
      <c r="D1476" s="1">
        <v>4.3470000000000004</v>
      </c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</row>
    <row r="1477" spans="1:17" ht="15.75" customHeight="1">
      <c r="A1477" s="1">
        <v>2024</v>
      </c>
      <c r="B1477" s="1">
        <v>123</v>
      </c>
      <c r="C1477" s="1" t="s">
        <v>311</v>
      </c>
      <c r="D1477" s="1">
        <v>4.3449999999999998</v>
      </c>
      <c r="E1477" s="1">
        <v>9.8000000000000004E-2</v>
      </c>
      <c r="F1477" s="1">
        <v>123</v>
      </c>
      <c r="G1477" s="1">
        <v>126</v>
      </c>
      <c r="H1477" s="1">
        <v>127</v>
      </c>
      <c r="I1477" s="1">
        <v>109</v>
      </c>
      <c r="J1477" s="1">
        <v>69</v>
      </c>
      <c r="K1477" s="1">
        <v>120</v>
      </c>
      <c r="L1477" s="1">
        <v>68</v>
      </c>
      <c r="M1477" s="1">
        <v>63</v>
      </c>
      <c r="N1477" s="1">
        <v>128</v>
      </c>
      <c r="O1477" s="1">
        <v>120</v>
      </c>
      <c r="P1477" s="1">
        <v>39</v>
      </c>
      <c r="Q1477" s="1">
        <v>66</v>
      </c>
    </row>
    <row r="1478" spans="1:17" ht="15.75" customHeight="1">
      <c r="A1478" s="1">
        <v>2024</v>
      </c>
      <c r="B1478" s="1">
        <v>124</v>
      </c>
      <c r="C1478" s="1" t="s">
        <v>221</v>
      </c>
      <c r="D1478" s="1">
        <v>4.3410000000000002</v>
      </c>
      <c r="E1478" s="1">
        <v>0.27400000000000002</v>
      </c>
      <c r="F1478" s="1">
        <v>83</v>
      </c>
      <c r="G1478" s="1">
        <v>106</v>
      </c>
      <c r="H1478" s="1">
        <v>99</v>
      </c>
      <c r="I1478" s="1">
        <v>86</v>
      </c>
      <c r="J1478" s="1">
        <v>7</v>
      </c>
      <c r="K1478" s="1">
        <v>62</v>
      </c>
      <c r="L1478" s="1">
        <v>83</v>
      </c>
      <c r="M1478" s="1">
        <v>44</v>
      </c>
      <c r="N1478" s="1">
        <v>132</v>
      </c>
      <c r="O1478" s="1">
        <v>62</v>
      </c>
      <c r="P1478" s="1">
        <v>139</v>
      </c>
      <c r="Q1478" s="1">
        <v>140</v>
      </c>
    </row>
    <row r="1479" spans="1:17" ht="15.75" customHeight="1">
      <c r="A1479" s="1">
        <v>2024</v>
      </c>
      <c r="B1479" s="1">
        <v>125</v>
      </c>
      <c r="C1479" s="1" t="s">
        <v>197</v>
      </c>
      <c r="D1479" s="1">
        <v>4.34</v>
      </c>
      <c r="E1479" s="1" t="s">
        <v>766</v>
      </c>
      <c r="F1479" s="1">
        <v>52</v>
      </c>
      <c r="G1479" s="1">
        <v>107</v>
      </c>
      <c r="H1479" s="1">
        <v>100</v>
      </c>
      <c r="I1479" s="1">
        <v>97</v>
      </c>
      <c r="J1479" s="1">
        <v>81</v>
      </c>
      <c r="K1479" s="1">
        <v>63</v>
      </c>
      <c r="L1479" s="1">
        <v>127</v>
      </c>
      <c r="M1479" s="1">
        <v>85</v>
      </c>
      <c r="N1479" s="1">
        <v>50</v>
      </c>
      <c r="O1479" s="1">
        <v>63</v>
      </c>
      <c r="P1479" s="1">
        <v>5</v>
      </c>
      <c r="Q1479" s="1">
        <v>32</v>
      </c>
    </row>
    <row r="1480" spans="1:17" ht="15.75" customHeight="1">
      <c r="A1480" s="1">
        <v>2024</v>
      </c>
      <c r="B1480" s="1">
        <v>126</v>
      </c>
      <c r="C1480" s="1" t="s">
        <v>190</v>
      </c>
      <c r="D1480" s="1">
        <v>4.3209999999999997</v>
      </c>
      <c r="E1480" s="1" t="s">
        <v>253</v>
      </c>
      <c r="F1480" s="1">
        <v>102</v>
      </c>
      <c r="G1480" s="1">
        <v>101</v>
      </c>
      <c r="H1480" s="1">
        <v>109</v>
      </c>
      <c r="I1480" s="1">
        <v>91</v>
      </c>
      <c r="J1480" s="1">
        <v>123</v>
      </c>
      <c r="K1480" s="1">
        <v>2</v>
      </c>
      <c r="L1480" s="1">
        <v>35</v>
      </c>
      <c r="M1480" s="1">
        <v>86</v>
      </c>
      <c r="N1480" s="1">
        <v>99</v>
      </c>
      <c r="O1480" s="1">
        <v>2</v>
      </c>
      <c r="P1480" s="1">
        <v>32</v>
      </c>
      <c r="Q1480" s="1">
        <v>89</v>
      </c>
    </row>
    <row r="1481" spans="1:17" ht="15.75" customHeight="1">
      <c r="A1481" s="1">
        <v>2024</v>
      </c>
      <c r="B1481" s="1">
        <v>127</v>
      </c>
      <c r="C1481" s="1" t="s">
        <v>247</v>
      </c>
      <c r="D1481" s="1">
        <v>4.3150000000000004</v>
      </c>
      <c r="E1481" s="1">
        <v>1.379</v>
      </c>
      <c r="F1481" s="1">
        <v>72</v>
      </c>
      <c r="G1481" s="1">
        <v>132</v>
      </c>
      <c r="H1481" s="1">
        <v>124</v>
      </c>
      <c r="I1481" s="1">
        <v>102</v>
      </c>
      <c r="J1481" s="1">
        <v>125</v>
      </c>
      <c r="K1481" s="1">
        <v>102</v>
      </c>
      <c r="L1481" s="1">
        <v>55</v>
      </c>
      <c r="M1481" s="1">
        <v>125</v>
      </c>
      <c r="N1481" s="1">
        <v>116</v>
      </c>
      <c r="O1481" s="1">
        <v>102</v>
      </c>
      <c r="P1481" s="1">
        <v>62</v>
      </c>
      <c r="Q1481" s="1">
        <v>94</v>
      </c>
    </row>
    <row r="1482" spans="1:17" ht="15.75" customHeight="1">
      <c r="A1482" s="1">
        <v>2024</v>
      </c>
      <c r="B1482" s="1">
        <v>128</v>
      </c>
      <c r="C1482" s="1" t="s">
        <v>138</v>
      </c>
      <c r="D1482" s="1">
        <v>4.3099999999999996</v>
      </c>
      <c r="E1482" s="1" t="s">
        <v>767</v>
      </c>
      <c r="F1482" s="1">
        <v>126</v>
      </c>
      <c r="G1482" s="1">
        <v>103</v>
      </c>
      <c r="H1482" s="1">
        <v>94</v>
      </c>
      <c r="I1482" s="1">
        <v>43</v>
      </c>
      <c r="J1482" s="1">
        <v>98</v>
      </c>
      <c r="K1482" s="1">
        <v>126</v>
      </c>
      <c r="L1482" s="1">
        <v>48</v>
      </c>
      <c r="M1482" s="1">
        <v>126</v>
      </c>
      <c r="N1482" s="1">
        <v>140</v>
      </c>
      <c r="O1482" s="1">
        <v>126</v>
      </c>
      <c r="P1482" s="1">
        <v>132</v>
      </c>
      <c r="Q1482" s="1">
        <v>59</v>
      </c>
    </row>
    <row r="1483" spans="1:17" ht="15.75" customHeight="1">
      <c r="A1483" s="1">
        <v>2024</v>
      </c>
      <c r="B1483" s="1">
        <v>129</v>
      </c>
      <c r="C1483" s="1" t="s">
        <v>238</v>
      </c>
      <c r="D1483" s="1">
        <v>4.2770000000000001</v>
      </c>
      <c r="E1483" s="1">
        <v>8.1000000000000003E-2</v>
      </c>
      <c r="F1483" s="1">
        <v>142</v>
      </c>
      <c r="G1483" s="1">
        <v>118</v>
      </c>
      <c r="H1483" s="1">
        <v>130</v>
      </c>
      <c r="I1483" s="1"/>
      <c r="J1483" s="1">
        <v>110</v>
      </c>
      <c r="K1483" s="1">
        <v>87</v>
      </c>
      <c r="L1483" s="1">
        <v>103</v>
      </c>
      <c r="M1483" s="1">
        <v>84</v>
      </c>
      <c r="N1483" s="1">
        <v>139</v>
      </c>
      <c r="O1483" s="1">
        <v>87</v>
      </c>
      <c r="P1483" s="1">
        <v>2</v>
      </c>
      <c r="Q1483" s="1">
        <v>1</v>
      </c>
    </row>
    <row r="1484" spans="1:17" ht="15.75" customHeight="1">
      <c r="A1484" s="1">
        <v>2024</v>
      </c>
      <c r="B1484" s="1">
        <v>130</v>
      </c>
      <c r="C1484" s="1" t="s">
        <v>235</v>
      </c>
      <c r="D1484" s="1">
        <v>4.157</v>
      </c>
      <c r="E1484" s="1">
        <v>0.191</v>
      </c>
      <c r="F1484" s="1">
        <v>92</v>
      </c>
      <c r="G1484" s="1">
        <v>129</v>
      </c>
      <c r="H1484" s="1">
        <v>129</v>
      </c>
      <c r="I1484" s="1"/>
      <c r="J1484" s="1">
        <v>139</v>
      </c>
      <c r="K1484" s="1">
        <v>109</v>
      </c>
      <c r="L1484" s="1">
        <v>62</v>
      </c>
      <c r="M1484" s="1">
        <v>72</v>
      </c>
      <c r="N1484" s="1">
        <v>119</v>
      </c>
      <c r="O1484" s="1">
        <v>109</v>
      </c>
      <c r="P1484" s="1">
        <v>7</v>
      </c>
      <c r="Q1484" s="1">
        <v>93</v>
      </c>
    </row>
    <row r="1485" spans="1:17" ht="15.75" customHeight="1">
      <c r="A1485" s="1">
        <v>2024</v>
      </c>
      <c r="B1485" s="12">
        <v>131</v>
      </c>
      <c r="C1485" s="8" t="s">
        <v>768</v>
      </c>
      <c r="D1485" s="5">
        <v>3.9119999999999999</v>
      </c>
      <c r="E1485" s="9" t="s">
        <v>769</v>
      </c>
      <c r="F1485" s="6">
        <v>136</v>
      </c>
      <c r="G1485" s="6">
        <v>121</v>
      </c>
      <c r="H1485" s="6">
        <v>117</v>
      </c>
      <c r="I1485" s="10">
        <v>112</v>
      </c>
      <c r="J1485" s="6">
        <v>43</v>
      </c>
      <c r="K1485" s="6">
        <v>65</v>
      </c>
      <c r="L1485" s="6">
        <v>86</v>
      </c>
      <c r="M1485" s="6">
        <v>94</v>
      </c>
      <c r="N1485" s="6">
        <v>111</v>
      </c>
      <c r="O1485" s="6">
        <v>65</v>
      </c>
      <c r="P1485" s="6">
        <v>28</v>
      </c>
      <c r="Q1485" s="6">
        <v>3</v>
      </c>
    </row>
    <row r="1486" spans="1:17" ht="15.75" customHeight="1">
      <c r="A1486" s="1">
        <v>2024</v>
      </c>
      <c r="B1486" s="12">
        <v>132</v>
      </c>
      <c r="C1486" s="8" t="s">
        <v>770</v>
      </c>
      <c r="D1486" s="5">
        <v>3.8980000000000001</v>
      </c>
      <c r="E1486" s="9" t="s">
        <v>328</v>
      </c>
      <c r="F1486" s="6">
        <v>91</v>
      </c>
      <c r="G1486" s="6">
        <v>120</v>
      </c>
      <c r="H1486" s="6">
        <v>123</v>
      </c>
      <c r="I1486" s="7"/>
      <c r="J1486" s="6">
        <v>126</v>
      </c>
      <c r="K1486" s="6">
        <v>93</v>
      </c>
      <c r="L1486" s="6">
        <v>71</v>
      </c>
      <c r="M1486" s="6">
        <v>133</v>
      </c>
      <c r="N1486" s="6">
        <v>102</v>
      </c>
      <c r="O1486" s="6">
        <v>93</v>
      </c>
      <c r="P1486" s="6">
        <v>70</v>
      </c>
      <c r="Q1486" s="6">
        <v>127</v>
      </c>
    </row>
    <row r="1487" spans="1:17" ht="15.75" customHeight="1">
      <c r="A1487" s="1">
        <v>2024</v>
      </c>
      <c r="B1487" s="1">
        <v>133</v>
      </c>
      <c r="C1487" s="1" t="s">
        <v>187</v>
      </c>
      <c r="D1487" s="1">
        <v>3.891</v>
      </c>
      <c r="E1487" s="1" t="s">
        <v>771</v>
      </c>
      <c r="F1487" s="1">
        <v>88</v>
      </c>
      <c r="G1487" s="1">
        <v>104</v>
      </c>
      <c r="H1487" s="1">
        <v>80</v>
      </c>
      <c r="I1487" s="1">
        <v>34</v>
      </c>
      <c r="J1487" s="1">
        <v>92</v>
      </c>
      <c r="K1487" s="1">
        <v>60</v>
      </c>
      <c r="L1487" s="1">
        <v>118</v>
      </c>
      <c r="M1487" s="1">
        <v>52</v>
      </c>
      <c r="N1487" s="1">
        <v>93</v>
      </c>
      <c r="O1487" s="1">
        <v>60</v>
      </c>
      <c r="P1487" s="1">
        <v>13</v>
      </c>
      <c r="Q1487" s="1">
        <v>39</v>
      </c>
    </row>
    <row r="1488" spans="1:17" ht="15.75" customHeight="1">
      <c r="A1488" s="1">
        <v>2024</v>
      </c>
      <c r="B1488" s="1">
        <v>134</v>
      </c>
      <c r="C1488" s="1" t="s">
        <v>176</v>
      </c>
      <c r="D1488" s="1">
        <v>3.851</v>
      </c>
      <c r="E1488" s="1" t="s">
        <v>583</v>
      </c>
      <c r="F1488" s="1">
        <v>86</v>
      </c>
      <c r="G1488" s="1">
        <v>142</v>
      </c>
      <c r="H1488" s="1">
        <v>96</v>
      </c>
      <c r="I1488" s="1">
        <v>68</v>
      </c>
      <c r="J1488" s="1">
        <v>12</v>
      </c>
      <c r="K1488" s="1">
        <v>50</v>
      </c>
      <c r="L1488" s="1">
        <v>105</v>
      </c>
      <c r="M1488" s="1">
        <v>137</v>
      </c>
      <c r="N1488" s="1">
        <v>115</v>
      </c>
      <c r="O1488" s="1">
        <v>50</v>
      </c>
      <c r="P1488" s="1">
        <v>94</v>
      </c>
      <c r="Q1488" s="1">
        <v>15</v>
      </c>
    </row>
    <row r="1489" spans="1:17" ht="15.75" customHeight="1">
      <c r="A1489" s="1">
        <v>2024</v>
      </c>
      <c r="B1489" s="1">
        <v>135</v>
      </c>
      <c r="C1489" s="1" t="s">
        <v>191</v>
      </c>
      <c r="D1489" s="1">
        <v>3.8170000000000002</v>
      </c>
      <c r="E1489" s="1" t="s">
        <v>772</v>
      </c>
      <c r="F1489" s="1">
        <v>68</v>
      </c>
      <c r="G1489" s="1">
        <v>130</v>
      </c>
      <c r="H1489" s="1">
        <v>68</v>
      </c>
      <c r="I1489" s="1">
        <v>88</v>
      </c>
      <c r="J1489" s="1">
        <v>116</v>
      </c>
      <c r="K1489" s="1">
        <v>140</v>
      </c>
      <c r="L1489" s="1">
        <v>140</v>
      </c>
      <c r="M1489" s="1">
        <v>124</v>
      </c>
      <c r="N1489" s="1">
        <v>140</v>
      </c>
      <c r="O1489" s="1">
        <v>142</v>
      </c>
      <c r="P1489" s="1">
        <v>33</v>
      </c>
      <c r="Q1489" s="1"/>
    </row>
    <row r="1490" spans="1:17" ht="15.75" customHeight="1">
      <c r="A1490" s="1">
        <v>2024</v>
      </c>
      <c r="B1490" s="1">
        <v>136</v>
      </c>
      <c r="C1490" s="1" t="s">
        <v>236</v>
      </c>
      <c r="D1490" s="1">
        <v>3.8</v>
      </c>
      <c r="E1490" s="1">
        <v>0.03</v>
      </c>
      <c r="F1490" s="1">
        <v>137</v>
      </c>
      <c r="G1490" s="1">
        <v>122</v>
      </c>
      <c r="H1490" s="1">
        <v>116</v>
      </c>
      <c r="I1490" s="1">
        <v>96</v>
      </c>
      <c r="J1490" s="1">
        <v>46</v>
      </c>
      <c r="K1490" s="1">
        <v>52</v>
      </c>
      <c r="L1490" s="1">
        <v>21</v>
      </c>
      <c r="M1490" s="1">
        <v>61</v>
      </c>
      <c r="N1490" s="1">
        <v>21</v>
      </c>
      <c r="O1490" s="1">
        <v>52</v>
      </c>
      <c r="P1490" s="1">
        <v>87</v>
      </c>
      <c r="Q1490" s="1">
        <v>75</v>
      </c>
    </row>
    <row r="1491" spans="1:17" ht="15.75" customHeight="1">
      <c r="A1491" s="1">
        <v>2024</v>
      </c>
      <c r="B1491" s="1">
        <v>137</v>
      </c>
      <c r="C1491" s="1" t="s">
        <v>453</v>
      </c>
      <c r="D1491" s="1">
        <v>3.774</v>
      </c>
      <c r="E1491" s="1" t="s">
        <v>773</v>
      </c>
      <c r="F1491" s="1">
        <v>109</v>
      </c>
      <c r="G1491" s="1">
        <v>108</v>
      </c>
      <c r="H1491" s="1">
        <v>88</v>
      </c>
      <c r="I1491" s="1"/>
      <c r="J1491" s="1">
        <v>130</v>
      </c>
      <c r="K1491" s="1">
        <v>118</v>
      </c>
      <c r="L1491" s="1">
        <v>50</v>
      </c>
      <c r="M1491" s="1">
        <v>59</v>
      </c>
      <c r="N1491" s="1">
        <v>88</v>
      </c>
      <c r="O1491" s="1">
        <v>118</v>
      </c>
      <c r="P1491" s="1">
        <v>63</v>
      </c>
      <c r="Q1491" s="1">
        <v>30</v>
      </c>
    </row>
    <row r="1492" spans="1:17" ht="15.75" customHeight="1">
      <c r="A1492" s="1">
        <v>2024</v>
      </c>
      <c r="B1492" s="1">
        <v>138</v>
      </c>
      <c r="C1492" s="1" t="s">
        <v>321</v>
      </c>
      <c r="D1492" s="1">
        <v>3.7570000000000001</v>
      </c>
      <c r="E1492" s="1" t="s">
        <v>774</v>
      </c>
      <c r="F1492" s="1">
        <v>134</v>
      </c>
      <c r="G1492" s="1">
        <v>96</v>
      </c>
      <c r="H1492" s="1">
        <v>125</v>
      </c>
      <c r="I1492" s="1"/>
      <c r="J1492" s="1">
        <v>121</v>
      </c>
      <c r="K1492" s="1">
        <v>138</v>
      </c>
      <c r="L1492" s="1">
        <v>101</v>
      </c>
      <c r="M1492" s="1">
        <v>17</v>
      </c>
      <c r="N1492" s="1">
        <v>74</v>
      </c>
      <c r="O1492" s="1">
        <v>138</v>
      </c>
      <c r="P1492" s="1">
        <v>114</v>
      </c>
      <c r="Q1492" s="1">
        <v>54</v>
      </c>
    </row>
    <row r="1493" spans="1:17" ht="15.75" customHeight="1">
      <c r="A1493" s="1">
        <v>2024</v>
      </c>
      <c r="B1493" s="1">
        <v>139</v>
      </c>
      <c r="C1493" s="1" t="s">
        <v>219</v>
      </c>
      <c r="D1493" s="1">
        <v>3.754</v>
      </c>
      <c r="E1493" s="1" t="s">
        <v>592</v>
      </c>
      <c r="F1493" s="1">
        <v>141</v>
      </c>
      <c r="G1493" s="1">
        <v>139</v>
      </c>
      <c r="H1493" s="1">
        <v>118</v>
      </c>
      <c r="I1493" s="1"/>
      <c r="J1493" s="1">
        <v>138</v>
      </c>
      <c r="K1493" s="1">
        <v>73</v>
      </c>
      <c r="L1493" s="1">
        <v>30</v>
      </c>
      <c r="M1493" s="1">
        <v>102</v>
      </c>
      <c r="N1493" s="1">
        <v>126</v>
      </c>
      <c r="O1493" s="1">
        <v>73</v>
      </c>
      <c r="P1493" s="1">
        <v>6</v>
      </c>
      <c r="Q1493" s="1">
        <v>57</v>
      </c>
    </row>
    <row r="1494" spans="1:17" ht="15.75" customHeight="1">
      <c r="A1494" s="1">
        <v>2024</v>
      </c>
      <c r="B1494" s="1">
        <v>140</v>
      </c>
      <c r="C1494" s="1" t="s">
        <v>233</v>
      </c>
      <c r="D1494" s="1">
        <v>3.5609999999999999</v>
      </c>
      <c r="E1494" s="1" t="s">
        <v>418</v>
      </c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</row>
    <row r="1495" spans="1:17" ht="15.75" customHeight="1">
      <c r="A1495" s="1">
        <v>2024</v>
      </c>
      <c r="B1495" s="1">
        <v>141</v>
      </c>
      <c r="C1495" s="1" t="s">
        <v>199</v>
      </c>
      <c r="D1495" s="1">
        <v>3.4689999999999999</v>
      </c>
      <c r="E1495" s="1" t="s">
        <v>775</v>
      </c>
      <c r="F1495" s="1">
        <v>113</v>
      </c>
      <c r="G1495" s="1">
        <v>114</v>
      </c>
      <c r="H1495" s="1">
        <v>134</v>
      </c>
      <c r="I1495" s="1"/>
      <c r="J1495" s="1">
        <v>109</v>
      </c>
      <c r="K1495" s="1">
        <v>78</v>
      </c>
      <c r="L1495" s="1">
        <v>117</v>
      </c>
      <c r="M1495" s="1">
        <v>116</v>
      </c>
      <c r="N1495" s="1">
        <v>135</v>
      </c>
      <c r="O1495" s="1">
        <v>78</v>
      </c>
      <c r="P1495" s="1">
        <v>43</v>
      </c>
      <c r="Q1495" s="1">
        <v>49</v>
      </c>
    </row>
    <row r="1496" spans="1:17" ht="15.75" customHeight="1">
      <c r="A1496" s="1">
        <v>2024</v>
      </c>
      <c r="B1496" s="1">
        <v>142</v>
      </c>
      <c r="C1496" s="1" t="s">
        <v>218</v>
      </c>
      <c r="D1496" s="1">
        <v>3.4380000000000002</v>
      </c>
      <c r="E1496" s="1" t="s">
        <v>776</v>
      </c>
      <c r="F1496" s="1">
        <v>119</v>
      </c>
      <c r="G1496" s="1">
        <v>110</v>
      </c>
      <c r="H1496" s="1">
        <v>63</v>
      </c>
      <c r="I1496" s="1"/>
      <c r="J1496" s="1">
        <v>86</v>
      </c>
      <c r="K1496" s="1">
        <v>125</v>
      </c>
      <c r="L1496" s="1">
        <v>81</v>
      </c>
      <c r="M1496" s="1">
        <v>75</v>
      </c>
      <c r="N1496" s="1">
        <v>67</v>
      </c>
      <c r="O1496" s="1">
        <v>125</v>
      </c>
      <c r="P1496" s="1">
        <v>95</v>
      </c>
      <c r="Q1496" s="1">
        <v>10</v>
      </c>
    </row>
    <row r="1497" spans="1:17" ht="15.75" customHeight="1">
      <c r="A1497" s="1">
        <v>2024</v>
      </c>
      <c r="B1497" s="1">
        <v>143</v>
      </c>
      <c r="C1497" s="1" t="s">
        <v>208</v>
      </c>
      <c r="D1497" s="1">
        <v>3.3959999999999999</v>
      </c>
      <c r="E1497" s="1" t="s">
        <v>777</v>
      </c>
      <c r="F1497" s="1">
        <v>94</v>
      </c>
      <c r="G1497" s="1">
        <v>127</v>
      </c>
      <c r="H1497" s="1">
        <v>119</v>
      </c>
      <c r="I1497" s="1">
        <v>115</v>
      </c>
      <c r="J1497" s="1">
        <v>120</v>
      </c>
      <c r="K1497" s="1">
        <v>139</v>
      </c>
      <c r="L1497" s="1">
        <v>49</v>
      </c>
      <c r="M1497" s="1">
        <v>101</v>
      </c>
      <c r="N1497" s="1">
        <v>29</v>
      </c>
      <c r="O1497" s="1">
        <v>139</v>
      </c>
      <c r="P1497" s="1">
        <v>92</v>
      </c>
      <c r="Q1497" s="1">
        <v>106</v>
      </c>
    </row>
    <row r="1498" spans="1:17" ht="15.75" customHeight="1">
      <c r="A1498" s="1">
        <v>2024</v>
      </c>
      <c r="B1498" s="1">
        <v>144</v>
      </c>
      <c r="C1498" s="1" t="s">
        <v>210</v>
      </c>
      <c r="D1498" s="1">
        <v>3.26</v>
      </c>
      <c r="E1498" s="1" t="s">
        <v>778</v>
      </c>
      <c r="F1498" s="1">
        <v>132</v>
      </c>
      <c r="G1498" s="1">
        <v>140</v>
      </c>
      <c r="H1498" s="1">
        <v>132</v>
      </c>
      <c r="I1498" s="1">
        <v>106</v>
      </c>
      <c r="J1498" s="1">
        <v>105</v>
      </c>
      <c r="K1498" s="1">
        <v>103</v>
      </c>
      <c r="L1498" s="1">
        <v>47</v>
      </c>
      <c r="M1498" s="1">
        <v>123</v>
      </c>
      <c r="N1498" s="1">
        <v>95</v>
      </c>
      <c r="O1498" s="1">
        <v>103</v>
      </c>
      <c r="P1498" s="1">
        <v>26</v>
      </c>
      <c r="Q1498" s="1">
        <v>12</v>
      </c>
    </row>
    <row r="1499" spans="1:17" ht="15.75" customHeight="1">
      <c r="A1499" s="1">
        <v>2024</v>
      </c>
      <c r="B1499" s="1">
        <v>145</v>
      </c>
      <c r="C1499" s="1" t="s">
        <v>154</v>
      </c>
      <c r="D1499" s="1">
        <v>3.1880000000000002</v>
      </c>
      <c r="E1499" s="1" t="s">
        <v>779</v>
      </c>
      <c r="F1499" s="1">
        <v>73</v>
      </c>
      <c r="G1499" s="1">
        <v>90</v>
      </c>
      <c r="H1499" s="1">
        <v>87</v>
      </c>
      <c r="I1499" s="1">
        <v>66</v>
      </c>
      <c r="J1499" s="1">
        <v>137</v>
      </c>
      <c r="K1499" s="1">
        <v>94</v>
      </c>
      <c r="L1499" s="1">
        <v>111</v>
      </c>
      <c r="M1499" s="1">
        <v>141</v>
      </c>
      <c r="N1499" s="1">
        <v>122</v>
      </c>
      <c r="O1499" s="1">
        <v>94</v>
      </c>
      <c r="P1499" s="1">
        <v>136</v>
      </c>
      <c r="Q1499" s="1">
        <v>134</v>
      </c>
    </row>
    <row r="1500" spans="1:17" ht="15.75" customHeight="1">
      <c r="A1500" s="1">
        <v>2024</v>
      </c>
      <c r="B1500" s="1">
        <v>146</v>
      </c>
      <c r="C1500" s="1" t="s">
        <v>178</v>
      </c>
      <c r="D1500" s="1">
        <v>2.9980000000000002</v>
      </c>
      <c r="E1500" s="1" t="s">
        <v>780</v>
      </c>
      <c r="F1500" s="1">
        <v>103</v>
      </c>
      <c r="G1500" s="1">
        <v>136</v>
      </c>
      <c r="H1500" s="1">
        <v>120</v>
      </c>
      <c r="I1500" s="1">
        <v>111</v>
      </c>
      <c r="J1500" s="1">
        <v>106</v>
      </c>
      <c r="K1500" s="1">
        <v>64</v>
      </c>
      <c r="L1500" s="1">
        <v>109</v>
      </c>
      <c r="M1500" s="1">
        <v>132</v>
      </c>
      <c r="N1500" s="1">
        <v>142</v>
      </c>
      <c r="O1500" s="1">
        <v>64</v>
      </c>
      <c r="P1500" s="1">
        <v>17</v>
      </c>
      <c r="Q1500" s="1">
        <v>4</v>
      </c>
    </row>
    <row r="1501" spans="1:17" ht="15.75" customHeight="1">
      <c r="A1501" s="1">
        <v>2024</v>
      </c>
      <c r="B1501" s="1">
        <v>147</v>
      </c>
      <c r="C1501" s="1" t="s">
        <v>245</v>
      </c>
      <c r="D1501" s="1">
        <v>1.3640000000000001</v>
      </c>
      <c r="E1501" s="1" t="s">
        <v>781</v>
      </c>
      <c r="F1501" s="1"/>
      <c r="G1501" s="1"/>
      <c r="H1501" s="1"/>
      <c r="I1501" s="1">
        <v>116</v>
      </c>
      <c r="J1501" s="1"/>
      <c r="K1501" s="1"/>
      <c r="L1501" s="1"/>
      <c r="M1501" s="1"/>
      <c r="N1501" s="1"/>
      <c r="O1501" s="1"/>
      <c r="P1501" s="1"/>
      <c r="Q1501" s="1"/>
    </row>
    <row r="1502" spans="1:17" ht="15.75" customHeight="1">
      <c r="A1502" s="1">
        <v>2025</v>
      </c>
      <c r="B1502" s="1">
        <v>1</v>
      </c>
      <c r="C1502" s="1" t="s">
        <v>37</v>
      </c>
      <c r="D1502" s="1">
        <v>7.7640000000000002</v>
      </c>
      <c r="E1502" s="1">
        <v>0.375</v>
      </c>
      <c r="F1502" s="1">
        <v>2</v>
      </c>
      <c r="G1502" s="1">
        <v>9</v>
      </c>
      <c r="H1502" s="1">
        <v>17</v>
      </c>
      <c r="I1502" s="1">
        <v>18</v>
      </c>
      <c r="J1502" s="1">
        <v>11</v>
      </c>
      <c r="K1502" s="1">
        <v>46</v>
      </c>
      <c r="L1502" s="1">
        <v>2</v>
      </c>
      <c r="M1502" s="1">
        <v>39</v>
      </c>
      <c r="N1502" s="1">
        <v>11</v>
      </c>
      <c r="O1502" s="1">
        <v>46</v>
      </c>
      <c r="P1502" s="1">
        <v>71</v>
      </c>
      <c r="Q1502" s="1">
        <v>96</v>
      </c>
    </row>
    <row r="1503" spans="1:17" ht="15.75" customHeight="1">
      <c r="A1503" s="1">
        <v>2025</v>
      </c>
      <c r="B1503" s="1">
        <v>2</v>
      </c>
      <c r="C1503" s="1" t="s">
        <v>34</v>
      </c>
      <c r="D1503" s="1">
        <v>7.54</v>
      </c>
      <c r="E1503" s="1">
        <v>0.185</v>
      </c>
      <c r="F1503" s="1">
        <v>4</v>
      </c>
      <c r="G1503" s="1">
        <v>1</v>
      </c>
      <c r="H1503" s="1">
        <v>9</v>
      </c>
      <c r="I1503" s="1">
        <v>4</v>
      </c>
      <c r="J1503" s="1">
        <v>5</v>
      </c>
      <c r="K1503" s="1">
        <v>8</v>
      </c>
      <c r="L1503" s="1">
        <v>28</v>
      </c>
      <c r="M1503" s="1">
        <v>7</v>
      </c>
      <c r="N1503" s="1">
        <v>8</v>
      </c>
      <c r="O1503" s="1">
        <v>8</v>
      </c>
      <c r="P1503" s="1">
        <v>78</v>
      </c>
      <c r="Q1503" s="1">
        <v>118</v>
      </c>
    </row>
    <row r="1504" spans="1:17" ht="15.75" customHeight="1">
      <c r="A1504" s="1">
        <v>2025</v>
      </c>
      <c r="B1504" s="1">
        <v>3</v>
      </c>
      <c r="C1504" s="1" t="s">
        <v>30</v>
      </c>
      <c r="D1504" s="1">
        <v>7.5389999999999997</v>
      </c>
      <c r="E1504" s="1" t="s">
        <v>618</v>
      </c>
      <c r="F1504" s="1">
        <v>13</v>
      </c>
      <c r="G1504" s="1">
        <v>2</v>
      </c>
      <c r="H1504" s="1">
        <v>6</v>
      </c>
      <c r="I1504" s="1">
        <v>15</v>
      </c>
      <c r="J1504" s="1">
        <v>17</v>
      </c>
      <c r="K1504" s="1">
        <v>27</v>
      </c>
      <c r="L1504" s="1">
        <v>3</v>
      </c>
      <c r="M1504" s="1">
        <v>11</v>
      </c>
      <c r="N1504" s="1">
        <v>41</v>
      </c>
      <c r="O1504" s="1">
        <v>27</v>
      </c>
      <c r="P1504" s="1">
        <v>43</v>
      </c>
      <c r="Q1504" s="1">
        <v>61</v>
      </c>
    </row>
    <row r="1505" spans="1:17" ht="15.75" customHeight="1">
      <c r="A1505" s="1">
        <v>2025</v>
      </c>
      <c r="B1505" s="1">
        <v>4</v>
      </c>
      <c r="C1505" s="1" t="s">
        <v>52</v>
      </c>
      <c r="D1505" s="1">
        <v>7.4390000000000001</v>
      </c>
      <c r="E1505" s="1">
        <v>0.182</v>
      </c>
      <c r="F1505" s="1">
        <v>37</v>
      </c>
      <c r="G1505" s="1">
        <v>30</v>
      </c>
      <c r="H1505" s="1">
        <v>49</v>
      </c>
      <c r="I1505" s="1">
        <v>29</v>
      </c>
      <c r="J1505" s="1">
        <v>3</v>
      </c>
      <c r="K1505" s="1">
        <v>90</v>
      </c>
      <c r="L1505" s="1">
        <v>52</v>
      </c>
      <c r="M1505" s="1">
        <v>5</v>
      </c>
      <c r="N1505" s="1">
        <v>24</v>
      </c>
      <c r="O1505" s="1">
        <v>90</v>
      </c>
      <c r="P1505" s="1">
        <v>75</v>
      </c>
      <c r="Q1505" s="1">
        <v>16</v>
      </c>
    </row>
    <row r="1506" spans="1:17" ht="15.75" customHeight="1">
      <c r="A1506" s="1">
        <v>2025</v>
      </c>
      <c r="B1506" s="1">
        <v>5</v>
      </c>
      <c r="C1506" s="1" t="s">
        <v>45</v>
      </c>
      <c r="D1506" s="1">
        <v>7.2549999999999999</v>
      </c>
      <c r="E1506" s="1" t="s">
        <v>782</v>
      </c>
      <c r="F1506" s="1">
        <v>7</v>
      </c>
      <c r="G1506" s="1">
        <v>11</v>
      </c>
      <c r="H1506" s="1">
        <v>10</v>
      </c>
      <c r="I1506" s="1">
        <v>7</v>
      </c>
      <c r="J1506" s="1">
        <v>20</v>
      </c>
      <c r="K1506" s="1">
        <v>17</v>
      </c>
      <c r="L1506" s="1">
        <v>4</v>
      </c>
      <c r="M1506" s="1">
        <v>53</v>
      </c>
      <c r="N1506" s="1">
        <v>36</v>
      </c>
      <c r="O1506" s="1">
        <v>17</v>
      </c>
      <c r="P1506" s="1">
        <v>97</v>
      </c>
      <c r="Q1506" s="1">
        <v>80</v>
      </c>
    </row>
    <row r="1507" spans="1:17" ht="15.75" customHeight="1">
      <c r="A1507" s="1">
        <v>2025</v>
      </c>
      <c r="B1507" s="1">
        <v>6</v>
      </c>
      <c r="C1507" s="1" t="s">
        <v>35</v>
      </c>
      <c r="D1507" s="1">
        <v>7.242</v>
      </c>
      <c r="E1507" s="1" t="s">
        <v>485</v>
      </c>
      <c r="F1507" s="1">
        <v>9</v>
      </c>
      <c r="G1507" s="1">
        <v>3</v>
      </c>
      <c r="H1507" s="1">
        <v>3</v>
      </c>
      <c r="I1507" s="1">
        <v>5</v>
      </c>
      <c r="J1507" s="1">
        <v>9</v>
      </c>
      <c r="K1507" s="1">
        <v>10</v>
      </c>
      <c r="L1507" s="1">
        <v>8</v>
      </c>
      <c r="M1507" s="1">
        <v>17</v>
      </c>
      <c r="N1507" s="1">
        <v>34</v>
      </c>
      <c r="O1507" s="1">
        <v>10</v>
      </c>
      <c r="P1507" s="1">
        <v>24</v>
      </c>
      <c r="Q1507" s="1">
        <v>83</v>
      </c>
    </row>
    <row r="1508" spans="1:17" ht="15.75" customHeight="1">
      <c r="A1508" s="1">
        <v>2025</v>
      </c>
      <c r="B1508" s="1">
        <v>7</v>
      </c>
      <c r="C1508" s="1" t="s">
        <v>40</v>
      </c>
      <c r="D1508" s="1">
        <v>7.2229999999999999</v>
      </c>
      <c r="E1508" s="1" t="s">
        <v>783</v>
      </c>
      <c r="F1508" s="1">
        <v>1</v>
      </c>
      <c r="G1508" s="1">
        <v>25</v>
      </c>
      <c r="H1508" s="1">
        <v>7</v>
      </c>
      <c r="I1508" s="1"/>
      <c r="J1508" s="1">
        <v>32</v>
      </c>
      <c r="K1508" s="1">
        <v>7</v>
      </c>
      <c r="L1508" s="1">
        <v>13</v>
      </c>
      <c r="M1508" s="1">
        <v>47</v>
      </c>
      <c r="N1508" s="1">
        <v>31</v>
      </c>
      <c r="O1508" s="1">
        <v>7</v>
      </c>
      <c r="P1508" s="1">
        <v>22</v>
      </c>
      <c r="Q1508" s="1">
        <v>104</v>
      </c>
    </row>
    <row r="1509" spans="1:17" ht="15.75" customHeight="1">
      <c r="A1509" s="1">
        <v>2025</v>
      </c>
      <c r="B1509" s="1">
        <v>8</v>
      </c>
      <c r="C1509" s="1" t="s">
        <v>47</v>
      </c>
      <c r="D1509" s="1">
        <v>7.1870000000000003</v>
      </c>
      <c r="E1509" s="1" t="s">
        <v>784</v>
      </c>
      <c r="F1509" s="1">
        <v>5</v>
      </c>
      <c r="G1509" s="1">
        <v>18</v>
      </c>
      <c r="H1509" s="1">
        <v>26</v>
      </c>
      <c r="I1509" s="1">
        <v>9</v>
      </c>
      <c r="J1509" s="1">
        <v>95</v>
      </c>
      <c r="K1509" s="1">
        <v>44</v>
      </c>
      <c r="L1509" s="1">
        <v>34</v>
      </c>
      <c r="M1509" s="1">
        <v>108</v>
      </c>
      <c r="N1509" s="1">
        <v>40</v>
      </c>
      <c r="O1509" s="1">
        <v>44</v>
      </c>
      <c r="P1509" s="1">
        <v>65</v>
      </c>
      <c r="Q1509" s="1">
        <v>107</v>
      </c>
    </row>
    <row r="1510" spans="1:17" ht="15.75" customHeight="1">
      <c r="A1510" s="1">
        <v>2025</v>
      </c>
      <c r="B1510" s="1">
        <v>9</v>
      </c>
      <c r="C1510" s="1" t="s">
        <v>59</v>
      </c>
      <c r="D1510" s="1">
        <v>7.0629999999999997</v>
      </c>
      <c r="E1510" s="1">
        <v>8.9999999999999993E-3</v>
      </c>
      <c r="F1510" s="1">
        <v>20</v>
      </c>
      <c r="G1510" s="1">
        <v>37</v>
      </c>
      <c r="H1510" s="1">
        <v>2</v>
      </c>
      <c r="I1510" s="1"/>
      <c r="J1510" s="1">
        <v>22</v>
      </c>
      <c r="K1510" s="1">
        <v>32</v>
      </c>
      <c r="L1510" s="1">
        <v>9</v>
      </c>
      <c r="M1510" s="1">
        <v>43</v>
      </c>
      <c r="N1510" s="1">
        <v>51</v>
      </c>
      <c r="O1510" s="1">
        <v>32</v>
      </c>
      <c r="P1510" s="1">
        <v>36</v>
      </c>
      <c r="Q1510" s="1">
        <v>110</v>
      </c>
    </row>
    <row r="1511" spans="1:17" ht="15.75" customHeight="1">
      <c r="A1511" s="1">
        <v>2025</v>
      </c>
      <c r="B1511" s="1">
        <v>10</v>
      </c>
      <c r="C1511" s="1" t="s">
        <v>32</v>
      </c>
      <c r="D1511" s="1">
        <v>7.0179999999999998</v>
      </c>
      <c r="E1511" s="1" t="s">
        <v>785</v>
      </c>
      <c r="F1511" s="1">
        <v>28</v>
      </c>
      <c r="G1511" s="1">
        <v>28</v>
      </c>
      <c r="H1511" s="1">
        <v>4</v>
      </c>
      <c r="I1511" s="1">
        <v>6</v>
      </c>
      <c r="J1511" s="1">
        <v>35</v>
      </c>
      <c r="K1511" s="1">
        <v>14</v>
      </c>
      <c r="L1511" s="1">
        <v>5</v>
      </c>
      <c r="M1511" s="1">
        <v>27</v>
      </c>
      <c r="N1511" s="1">
        <v>29</v>
      </c>
      <c r="O1511" s="1">
        <v>14</v>
      </c>
      <c r="P1511" s="1">
        <v>34</v>
      </c>
      <c r="Q1511" s="1">
        <v>116</v>
      </c>
    </row>
    <row r="1512" spans="1:17" ht="15.75" customHeight="1">
      <c r="A1512" s="1">
        <v>2025</v>
      </c>
      <c r="B1512" s="1">
        <v>11</v>
      </c>
      <c r="C1512" s="1" t="s">
        <v>42</v>
      </c>
      <c r="D1512" s="1">
        <v>6.9950000000000001</v>
      </c>
      <c r="E1512" s="1" t="s">
        <v>748</v>
      </c>
      <c r="F1512" s="1">
        <v>15</v>
      </c>
      <c r="G1512" s="1">
        <v>10</v>
      </c>
      <c r="H1512" s="1">
        <v>25</v>
      </c>
      <c r="I1512" s="1">
        <v>17</v>
      </c>
      <c r="J1512" s="1">
        <v>18</v>
      </c>
      <c r="K1512" s="1">
        <v>13</v>
      </c>
      <c r="L1512" s="1">
        <v>6</v>
      </c>
      <c r="M1512" s="1">
        <v>14</v>
      </c>
      <c r="N1512" s="1">
        <v>37</v>
      </c>
      <c r="O1512" s="1">
        <v>13</v>
      </c>
      <c r="P1512" s="1">
        <v>11</v>
      </c>
      <c r="Q1512" s="1">
        <v>38</v>
      </c>
    </row>
    <row r="1513" spans="1:17" ht="15.75" customHeight="1">
      <c r="A1513" s="1">
        <v>2025</v>
      </c>
      <c r="B1513" s="1">
        <v>12</v>
      </c>
      <c r="C1513" s="1" t="s">
        <v>61</v>
      </c>
      <c r="D1513" s="1">
        <v>6.9720000000000004</v>
      </c>
      <c r="E1513" s="1" t="s">
        <v>786</v>
      </c>
      <c r="F1513" s="1">
        <v>63</v>
      </c>
      <c r="G1513" s="1">
        <v>66</v>
      </c>
      <c r="H1513" s="1">
        <v>59</v>
      </c>
      <c r="I1513" s="1">
        <v>79</v>
      </c>
      <c r="J1513" s="1">
        <v>36</v>
      </c>
      <c r="K1513" s="1">
        <v>104</v>
      </c>
      <c r="L1513" s="1">
        <v>54</v>
      </c>
      <c r="M1513" s="1">
        <v>9</v>
      </c>
      <c r="N1513" s="1">
        <v>26</v>
      </c>
      <c r="O1513" s="1">
        <v>104</v>
      </c>
      <c r="P1513" s="1">
        <v>74</v>
      </c>
      <c r="Q1513" s="1">
        <v>68</v>
      </c>
    </row>
    <row r="1514" spans="1:17" ht="15.75" customHeight="1">
      <c r="A1514" s="1">
        <v>2025</v>
      </c>
      <c r="B1514" s="1">
        <v>13</v>
      </c>
      <c r="C1514" s="1" t="s">
        <v>57</v>
      </c>
      <c r="D1514" s="1">
        <v>6.9279999999999999</v>
      </c>
      <c r="E1514" s="1" t="s">
        <v>436</v>
      </c>
      <c r="F1514" s="1">
        <v>41</v>
      </c>
      <c r="G1514" s="1">
        <v>21</v>
      </c>
      <c r="H1514" s="1">
        <v>1</v>
      </c>
      <c r="I1514" s="1">
        <v>16</v>
      </c>
      <c r="J1514" s="1">
        <v>33</v>
      </c>
      <c r="K1514" s="1">
        <v>6</v>
      </c>
      <c r="L1514" s="1">
        <v>12</v>
      </c>
      <c r="M1514" s="1">
        <v>44</v>
      </c>
      <c r="N1514" s="1">
        <v>49</v>
      </c>
      <c r="O1514" s="1">
        <v>6</v>
      </c>
      <c r="P1514" s="1">
        <v>16</v>
      </c>
      <c r="Q1514" s="1">
        <v>41</v>
      </c>
    </row>
    <row r="1515" spans="1:17" ht="15.75" customHeight="1">
      <c r="A1515" s="1">
        <v>2025</v>
      </c>
      <c r="B1515" s="1">
        <v>14</v>
      </c>
      <c r="C1515" s="1" t="s">
        <v>415</v>
      </c>
      <c r="D1515" s="1">
        <v>6.9260000000000002</v>
      </c>
      <c r="E1515" s="1" t="s">
        <v>666</v>
      </c>
      <c r="F1515" s="1">
        <v>10</v>
      </c>
      <c r="G1515" s="1">
        <v>23</v>
      </c>
      <c r="H1515" s="1">
        <v>12</v>
      </c>
      <c r="I1515" s="1">
        <v>20</v>
      </c>
      <c r="J1515" s="1">
        <v>66</v>
      </c>
      <c r="K1515" s="1">
        <v>35</v>
      </c>
      <c r="L1515" s="1">
        <v>20</v>
      </c>
      <c r="M1515" s="1">
        <v>46</v>
      </c>
      <c r="N1515" s="1">
        <v>68</v>
      </c>
      <c r="O1515" s="1">
        <v>35</v>
      </c>
      <c r="P1515" s="1">
        <v>56</v>
      </c>
      <c r="Q1515" s="1">
        <v>101</v>
      </c>
    </row>
    <row r="1516" spans="1:17" ht="15.75" customHeight="1">
      <c r="A1516" s="1">
        <v>2025</v>
      </c>
      <c r="B1516" s="12">
        <v>15</v>
      </c>
      <c r="C1516" s="8" t="s">
        <v>787</v>
      </c>
      <c r="D1516" s="5">
        <v>6.9160000000000004</v>
      </c>
      <c r="E1516" s="9" t="s">
        <v>375</v>
      </c>
      <c r="F1516" s="6">
        <v>33</v>
      </c>
      <c r="G1516" s="6">
        <v>29</v>
      </c>
      <c r="H1516" s="6">
        <v>16</v>
      </c>
      <c r="I1516" s="10">
        <v>12</v>
      </c>
      <c r="J1516" s="6">
        <v>44</v>
      </c>
      <c r="K1516" s="6">
        <v>9</v>
      </c>
      <c r="L1516" s="6">
        <v>17</v>
      </c>
      <c r="M1516" s="6">
        <v>45</v>
      </c>
      <c r="N1516" s="6">
        <v>65</v>
      </c>
      <c r="O1516" s="6">
        <v>9</v>
      </c>
      <c r="P1516" s="6">
        <v>17</v>
      </c>
      <c r="Q1516" s="6">
        <v>37</v>
      </c>
    </row>
    <row r="1517" spans="1:17" ht="15.75" customHeight="1">
      <c r="A1517" s="1">
        <v>2025</v>
      </c>
      <c r="B1517" s="12">
        <v>16</v>
      </c>
      <c r="C1517" s="8" t="s">
        <v>788</v>
      </c>
      <c r="D1517" s="5">
        <v>6.91</v>
      </c>
      <c r="E1517" s="6">
        <v>1.6879999999999999</v>
      </c>
      <c r="F1517" s="6">
        <v>86</v>
      </c>
      <c r="G1517" s="6">
        <v>62</v>
      </c>
      <c r="H1517" s="6">
        <v>68</v>
      </c>
      <c r="I1517" s="7"/>
      <c r="J1517" s="6">
        <v>21</v>
      </c>
      <c r="K1517" s="6">
        <v>22</v>
      </c>
      <c r="L1517" s="6">
        <v>117</v>
      </c>
      <c r="M1517" s="6">
        <v>98</v>
      </c>
      <c r="N1517" s="6">
        <v>16</v>
      </c>
      <c r="O1517" s="6">
        <v>22</v>
      </c>
      <c r="P1517" s="6">
        <v>135</v>
      </c>
      <c r="Q1517" s="6">
        <v>74</v>
      </c>
    </row>
    <row r="1518" spans="1:17" ht="15.75" customHeight="1">
      <c r="A1518" s="1">
        <v>2025</v>
      </c>
      <c r="B1518" s="12">
        <v>17</v>
      </c>
      <c r="C1518" s="8" t="s">
        <v>789</v>
      </c>
      <c r="D1518" s="5">
        <v>6.8819999999999997</v>
      </c>
      <c r="E1518" s="6">
        <v>0.21</v>
      </c>
      <c r="F1518" s="6">
        <v>34</v>
      </c>
      <c r="G1518" s="6">
        <v>38</v>
      </c>
      <c r="H1518" s="6">
        <v>13</v>
      </c>
      <c r="I1518" s="10">
        <v>24</v>
      </c>
      <c r="J1518" s="6">
        <v>68</v>
      </c>
      <c r="K1518" s="6">
        <v>24</v>
      </c>
      <c r="L1518" s="6">
        <v>10</v>
      </c>
      <c r="M1518" s="6">
        <v>68</v>
      </c>
      <c r="N1518" s="6">
        <v>53</v>
      </c>
      <c r="O1518" s="6">
        <v>24</v>
      </c>
      <c r="P1518" s="6">
        <v>47</v>
      </c>
      <c r="Q1518" s="6">
        <v>88</v>
      </c>
    </row>
    <row r="1519" spans="1:17" ht="15.75" customHeight="1">
      <c r="A1519" s="1">
        <v>2025</v>
      </c>
      <c r="B1519" s="1">
        <v>18</v>
      </c>
      <c r="C1519" s="1" t="s">
        <v>116</v>
      </c>
      <c r="D1519" s="1">
        <v>6.8680000000000003</v>
      </c>
      <c r="E1519" s="1">
        <v>0.80800000000000005</v>
      </c>
      <c r="F1519" s="1">
        <v>25</v>
      </c>
      <c r="G1519" s="1">
        <v>17</v>
      </c>
      <c r="H1519" s="1">
        <v>24</v>
      </c>
      <c r="I1519" s="1">
        <v>23</v>
      </c>
      <c r="J1519" s="1">
        <v>7</v>
      </c>
      <c r="K1519" s="1">
        <v>39</v>
      </c>
      <c r="L1519" s="1">
        <v>80</v>
      </c>
      <c r="M1519" s="1">
        <v>95</v>
      </c>
      <c r="N1519" s="1">
        <v>54</v>
      </c>
      <c r="O1519" s="1">
        <v>39</v>
      </c>
      <c r="P1519" s="1">
        <v>44</v>
      </c>
      <c r="Q1519" s="1">
        <v>122</v>
      </c>
    </row>
    <row r="1520" spans="1:17" ht="15.75" customHeight="1">
      <c r="A1520" s="1">
        <v>2025</v>
      </c>
      <c r="B1520" s="1">
        <v>19</v>
      </c>
      <c r="C1520" s="1" t="s">
        <v>49</v>
      </c>
      <c r="D1520" s="1">
        <v>6.8449999999999998</v>
      </c>
      <c r="E1520" s="1" t="s">
        <v>508</v>
      </c>
      <c r="F1520" s="1">
        <v>24</v>
      </c>
      <c r="G1520" s="1">
        <v>47</v>
      </c>
      <c r="H1520" s="1">
        <v>11</v>
      </c>
      <c r="I1520" s="1">
        <v>19</v>
      </c>
      <c r="J1520" s="1">
        <v>53</v>
      </c>
      <c r="K1520" s="1">
        <v>11</v>
      </c>
      <c r="L1520" s="1">
        <v>18</v>
      </c>
      <c r="M1520" s="1">
        <v>48</v>
      </c>
      <c r="N1520" s="1">
        <v>39</v>
      </c>
      <c r="O1520" s="1">
        <v>11</v>
      </c>
      <c r="P1520" s="1">
        <v>33</v>
      </c>
      <c r="Q1520" s="1">
        <v>76</v>
      </c>
    </row>
    <row r="1521" spans="1:17" ht="15.75" customHeight="1">
      <c r="A1521" s="1">
        <v>2025</v>
      </c>
      <c r="B1521" s="1">
        <v>20</v>
      </c>
      <c r="C1521" s="1" t="s">
        <v>70</v>
      </c>
      <c r="D1521" s="1">
        <v>6.8209999999999997</v>
      </c>
      <c r="E1521" s="1">
        <v>0.53100000000000003</v>
      </c>
      <c r="F1521" s="1">
        <v>48</v>
      </c>
      <c r="G1521" s="1">
        <v>15</v>
      </c>
      <c r="H1521" s="1">
        <v>23</v>
      </c>
      <c r="I1521" s="1">
        <v>36</v>
      </c>
      <c r="J1521" s="1">
        <v>23</v>
      </c>
      <c r="K1521" s="1">
        <v>38</v>
      </c>
      <c r="L1521" s="1">
        <v>104</v>
      </c>
      <c r="M1521" s="1">
        <v>26</v>
      </c>
      <c r="N1521" s="1">
        <v>89</v>
      </c>
      <c r="O1521" s="1">
        <v>38</v>
      </c>
      <c r="P1521" s="1">
        <v>57</v>
      </c>
      <c r="Q1521" s="1">
        <v>65</v>
      </c>
    </row>
    <row r="1522" spans="1:17" ht="15.75" customHeight="1">
      <c r="A1522" s="1">
        <v>2025</v>
      </c>
      <c r="B1522" s="1">
        <v>21</v>
      </c>
      <c r="C1522" s="1" t="s">
        <v>71</v>
      </c>
      <c r="D1522" s="1">
        <v>6.8209999999999997</v>
      </c>
      <c r="E1522" s="1" t="s">
        <v>790</v>
      </c>
      <c r="F1522" s="1">
        <v>66</v>
      </c>
      <c r="G1522" s="1">
        <v>104</v>
      </c>
      <c r="H1522" s="1">
        <v>8</v>
      </c>
      <c r="I1522" s="1">
        <v>30</v>
      </c>
      <c r="J1522" s="1">
        <v>4</v>
      </c>
      <c r="K1522" s="1">
        <v>19</v>
      </c>
      <c r="L1522" s="1">
        <v>69</v>
      </c>
      <c r="M1522" s="1">
        <v>56</v>
      </c>
      <c r="N1522" s="1">
        <v>19</v>
      </c>
      <c r="O1522" s="1">
        <v>28</v>
      </c>
      <c r="P1522" s="1">
        <v>77</v>
      </c>
      <c r="Q1522" s="1"/>
    </row>
    <row r="1523" spans="1:17" ht="15.75" customHeight="1">
      <c r="A1523" s="1">
        <v>2025</v>
      </c>
      <c r="B1523" s="1">
        <v>22</v>
      </c>
      <c r="C1523" s="1" t="s">
        <v>79</v>
      </c>
      <c r="D1523" s="1">
        <v>6.8170000000000002</v>
      </c>
      <c r="E1523" s="1">
        <v>0.33700000000000002</v>
      </c>
      <c r="F1523" s="1">
        <v>59</v>
      </c>
      <c r="G1523" s="1">
        <v>53</v>
      </c>
      <c r="H1523" s="1">
        <v>14</v>
      </c>
      <c r="I1523" s="1">
        <v>38</v>
      </c>
      <c r="J1523" s="1">
        <v>55</v>
      </c>
      <c r="K1523" s="1">
        <v>23</v>
      </c>
      <c r="L1523" s="1">
        <v>19</v>
      </c>
      <c r="M1523" s="1">
        <v>55</v>
      </c>
      <c r="N1523" s="1">
        <v>99</v>
      </c>
      <c r="O1523" s="1">
        <v>66</v>
      </c>
      <c r="P1523" s="1"/>
      <c r="Q1523" s="1"/>
    </row>
    <row r="1524" spans="1:17" ht="15.75" customHeight="1">
      <c r="A1524" s="1">
        <v>2025</v>
      </c>
      <c r="B1524" s="1">
        <v>23</v>
      </c>
      <c r="C1524" s="1" t="s">
        <v>51</v>
      </c>
      <c r="D1524" s="1">
        <v>6.8159999999999998</v>
      </c>
      <c r="E1524" s="1" t="s">
        <v>791</v>
      </c>
      <c r="F1524" s="1">
        <v>6</v>
      </c>
      <c r="G1524" s="1">
        <v>22</v>
      </c>
      <c r="H1524" s="1">
        <v>5</v>
      </c>
      <c r="I1524" s="1">
        <v>56</v>
      </c>
      <c r="J1524" s="1">
        <v>104</v>
      </c>
      <c r="K1524" s="1">
        <v>16</v>
      </c>
      <c r="L1524" s="1">
        <v>48</v>
      </c>
      <c r="M1524" s="1">
        <v>25</v>
      </c>
      <c r="N1524" s="1">
        <v>32</v>
      </c>
      <c r="O1524" s="1">
        <v>16</v>
      </c>
      <c r="P1524" s="1">
        <v>12</v>
      </c>
      <c r="Q1524" s="1">
        <v>25</v>
      </c>
    </row>
    <row r="1525" spans="1:17" ht="15.75" customHeight="1">
      <c r="A1525" s="1">
        <v>2025</v>
      </c>
      <c r="B1525" s="1">
        <v>24</v>
      </c>
      <c r="C1525" s="1" t="s">
        <v>109</v>
      </c>
      <c r="D1525" s="1">
        <v>6.7679999999999998</v>
      </c>
      <c r="E1525" s="1">
        <v>0.94599999999999995</v>
      </c>
      <c r="F1525" s="1">
        <v>3</v>
      </c>
      <c r="G1525" s="1">
        <v>42</v>
      </c>
      <c r="H1525" s="1">
        <v>29</v>
      </c>
      <c r="I1525" s="1">
        <v>40</v>
      </c>
      <c r="J1525" s="1">
        <v>49</v>
      </c>
      <c r="K1525" s="1">
        <v>119</v>
      </c>
      <c r="L1525" s="1">
        <v>30</v>
      </c>
      <c r="M1525" s="1">
        <v>107</v>
      </c>
      <c r="N1525" s="1">
        <v>4</v>
      </c>
      <c r="O1525" s="1">
        <v>119</v>
      </c>
      <c r="P1525" s="1">
        <v>136</v>
      </c>
      <c r="Q1525" s="1">
        <v>139</v>
      </c>
    </row>
    <row r="1526" spans="1:17" ht="15.75" customHeight="1">
      <c r="A1526" s="1">
        <v>2025</v>
      </c>
      <c r="B1526" s="1">
        <v>25</v>
      </c>
      <c r="C1526" s="1" t="s">
        <v>38</v>
      </c>
      <c r="D1526" s="1">
        <v>6.7409999999999997</v>
      </c>
      <c r="E1526" s="1" t="s">
        <v>684</v>
      </c>
      <c r="F1526" s="1">
        <v>42</v>
      </c>
      <c r="G1526" s="1">
        <v>20</v>
      </c>
      <c r="H1526" s="1">
        <v>18</v>
      </c>
      <c r="I1526" s="1">
        <v>21</v>
      </c>
      <c r="J1526" s="1">
        <v>48</v>
      </c>
      <c r="K1526" s="1">
        <v>12</v>
      </c>
      <c r="L1526" s="1">
        <v>14</v>
      </c>
      <c r="M1526" s="1">
        <v>38</v>
      </c>
      <c r="N1526" s="1">
        <v>93</v>
      </c>
      <c r="O1526" s="1">
        <v>12</v>
      </c>
      <c r="P1526" s="1">
        <v>23</v>
      </c>
      <c r="Q1526" s="1">
        <v>27</v>
      </c>
    </row>
    <row r="1527" spans="1:17" ht="15.75" customHeight="1">
      <c r="A1527" s="1">
        <v>2025</v>
      </c>
      <c r="B1527" s="1">
        <v>26</v>
      </c>
      <c r="C1527" s="1" t="s">
        <v>81</v>
      </c>
      <c r="D1527" s="1">
        <v>6.7140000000000004</v>
      </c>
      <c r="E1527" s="1">
        <v>0.49299999999999999</v>
      </c>
      <c r="F1527" s="1">
        <v>23</v>
      </c>
      <c r="G1527" s="1">
        <v>61</v>
      </c>
      <c r="H1527" s="1">
        <v>90</v>
      </c>
      <c r="I1527" s="1"/>
      <c r="J1527" s="1">
        <v>42</v>
      </c>
      <c r="K1527" s="1">
        <v>42</v>
      </c>
      <c r="L1527" s="1">
        <v>34</v>
      </c>
      <c r="M1527" s="1">
        <v>3</v>
      </c>
      <c r="N1527" s="1">
        <v>42</v>
      </c>
      <c r="O1527" s="1">
        <v>98</v>
      </c>
      <c r="P1527" s="1">
        <v>67</v>
      </c>
      <c r="Q1527" s="1"/>
    </row>
    <row r="1528" spans="1:17" ht="15.75" customHeight="1">
      <c r="A1528" s="1">
        <v>2025</v>
      </c>
      <c r="B1528" s="1">
        <v>27</v>
      </c>
      <c r="C1528" s="1" t="s">
        <v>103</v>
      </c>
      <c r="D1528" s="1">
        <v>6.7110000000000003</v>
      </c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</row>
    <row r="1529" spans="1:17" ht="15.75" customHeight="1">
      <c r="A1529" s="1">
        <v>2025</v>
      </c>
      <c r="B1529" s="1">
        <v>28</v>
      </c>
      <c r="C1529" s="1" t="s">
        <v>114</v>
      </c>
      <c r="D1529" s="1">
        <v>6.7039999999999997</v>
      </c>
      <c r="E1529" s="1">
        <v>1.278</v>
      </c>
      <c r="F1529" s="1">
        <v>47</v>
      </c>
      <c r="G1529" s="1">
        <v>33</v>
      </c>
      <c r="H1529" s="1">
        <v>27</v>
      </c>
      <c r="I1529" s="1">
        <v>52</v>
      </c>
      <c r="J1529" s="1">
        <v>59</v>
      </c>
      <c r="K1529" s="1">
        <v>66</v>
      </c>
      <c r="L1529" s="1">
        <v>59</v>
      </c>
      <c r="M1529" s="1">
        <v>87</v>
      </c>
      <c r="N1529" s="1">
        <v>35</v>
      </c>
      <c r="O1529" s="1">
        <v>66</v>
      </c>
      <c r="P1529" s="1">
        <v>54</v>
      </c>
      <c r="Q1529" s="1">
        <v>46</v>
      </c>
    </row>
    <row r="1530" spans="1:17" ht="15.75" customHeight="1">
      <c r="A1530" s="1">
        <v>2025</v>
      </c>
      <c r="B1530" s="1">
        <v>29</v>
      </c>
      <c r="C1530" s="1" t="s">
        <v>64</v>
      </c>
      <c r="D1530" s="1">
        <v>6.694</v>
      </c>
      <c r="E1530" s="1" t="s">
        <v>46</v>
      </c>
      <c r="F1530" s="1">
        <v>50</v>
      </c>
      <c r="G1530" s="1">
        <v>46</v>
      </c>
      <c r="H1530" s="1">
        <v>21</v>
      </c>
      <c r="I1530" s="1">
        <v>25</v>
      </c>
      <c r="J1530" s="1">
        <v>89</v>
      </c>
      <c r="K1530" s="1">
        <v>5</v>
      </c>
      <c r="L1530" s="1">
        <v>23</v>
      </c>
      <c r="M1530" s="1">
        <v>63</v>
      </c>
      <c r="N1530" s="1">
        <v>78</v>
      </c>
      <c r="O1530" s="1">
        <v>5</v>
      </c>
      <c r="P1530" s="1">
        <v>29</v>
      </c>
      <c r="Q1530" s="1">
        <v>64</v>
      </c>
    </row>
    <row r="1531" spans="1:17" ht="15.75" customHeight="1">
      <c r="A1531" s="1">
        <v>2025</v>
      </c>
      <c r="B1531" s="1">
        <v>30</v>
      </c>
      <c r="C1531" s="1" t="s">
        <v>145</v>
      </c>
      <c r="D1531" s="1">
        <v>6.6909999999999998</v>
      </c>
      <c r="E1531" s="1">
        <v>1.8779999999999999</v>
      </c>
      <c r="F1531" s="1">
        <v>26</v>
      </c>
      <c r="G1531" s="1">
        <v>8</v>
      </c>
      <c r="H1531" s="1">
        <v>50</v>
      </c>
      <c r="I1531" s="1">
        <v>57</v>
      </c>
      <c r="J1531" s="1">
        <v>71</v>
      </c>
      <c r="K1531" s="1">
        <v>40</v>
      </c>
      <c r="L1531" s="1">
        <v>103</v>
      </c>
      <c r="M1531" s="1">
        <v>124</v>
      </c>
      <c r="N1531" s="1">
        <v>38</v>
      </c>
      <c r="O1531" s="1">
        <v>40</v>
      </c>
      <c r="P1531" s="1">
        <v>126</v>
      </c>
      <c r="Q1531" s="1">
        <v>115</v>
      </c>
    </row>
    <row r="1532" spans="1:17" ht="15.75" customHeight="1">
      <c r="A1532" s="1">
        <v>2025</v>
      </c>
      <c r="B1532" s="1">
        <v>31</v>
      </c>
      <c r="C1532" s="1" t="s">
        <v>73</v>
      </c>
      <c r="D1532" s="1">
        <v>6.6349999999999998</v>
      </c>
      <c r="E1532" s="1">
        <v>0.28000000000000003</v>
      </c>
      <c r="F1532" s="1">
        <v>56</v>
      </c>
      <c r="G1532" s="1">
        <v>35</v>
      </c>
      <c r="H1532" s="1">
        <v>45</v>
      </c>
      <c r="I1532" s="1">
        <v>45</v>
      </c>
      <c r="J1532" s="1">
        <v>28</v>
      </c>
      <c r="K1532" s="1">
        <v>86</v>
      </c>
      <c r="L1532" s="1">
        <v>33</v>
      </c>
      <c r="M1532" s="1">
        <v>36</v>
      </c>
      <c r="N1532" s="1">
        <v>69</v>
      </c>
      <c r="O1532" s="1">
        <v>86</v>
      </c>
      <c r="P1532" s="1">
        <v>100</v>
      </c>
      <c r="Q1532" s="1">
        <v>47</v>
      </c>
    </row>
    <row r="1533" spans="1:17" ht="15.75" customHeight="1">
      <c r="A1533" s="1">
        <v>2025</v>
      </c>
      <c r="B1533" s="1">
        <v>32</v>
      </c>
      <c r="C1533" s="1" t="s">
        <v>54</v>
      </c>
      <c r="D1533" s="1">
        <v>6.6340000000000003</v>
      </c>
      <c r="E1533" s="1" t="s">
        <v>669</v>
      </c>
      <c r="F1533" s="1">
        <v>94</v>
      </c>
      <c r="G1533" s="1">
        <v>52</v>
      </c>
      <c r="H1533" s="1">
        <v>62</v>
      </c>
      <c r="I1533" s="1">
        <v>75</v>
      </c>
      <c r="J1533" s="1">
        <v>57</v>
      </c>
      <c r="K1533" s="1">
        <v>99</v>
      </c>
      <c r="L1533" s="1">
        <v>67</v>
      </c>
      <c r="M1533" s="1">
        <v>65</v>
      </c>
      <c r="N1533" s="1">
        <v>103</v>
      </c>
      <c r="O1533" s="1">
        <v>99</v>
      </c>
      <c r="P1533" s="1">
        <v>85</v>
      </c>
      <c r="Q1533" s="1">
        <v>89</v>
      </c>
    </row>
    <row r="1534" spans="1:17" ht="15.75" customHeight="1">
      <c r="A1534" s="1">
        <v>2025</v>
      </c>
      <c r="B1534" s="1">
        <v>33</v>
      </c>
      <c r="C1534" s="1" t="s">
        <v>106</v>
      </c>
      <c r="D1534" s="1">
        <v>6.633</v>
      </c>
      <c r="E1534" s="1">
        <v>0.96199999999999997</v>
      </c>
      <c r="F1534" s="1">
        <v>21</v>
      </c>
      <c r="G1534" s="1">
        <v>4</v>
      </c>
      <c r="H1534" s="1">
        <v>42</v>
      </c>
      <c r="I1534" s="1">
        <v>77</v>
      </c>
      <c r="J1534" s="1">
        <v>62</v>
      </c>
      <c r="K1534" s="1">
        <v>29</v>
      </c>
      <c r="L1534" s="1">
        <v>74</v>
      </c>
      <c r="M1534" s="1">
        <v>62</v>
      </c>
      <c r="N1534" s="1">
        <v>2</v>
      </c>
      <c r="O1534" s="1">
        <v>29</v>
      </c>
      <c r="P1534" s="1">
        <v>113</v>
      </c>
      <c r="Q1534" s="1">
        <v>98</v>
      </c>
    </row>
    <row r="1535" spans="1:17" ht="15.75" customHeight="1">
      <c r="A1535" s="1">
        <v>2025</v>
      </c>
      <c r="B1535" s="1">
        <v>34</v>
      </c>
      <c r="C1535" s="1" t="s">
        <v>128</v>
      </c>
      <c r="D1535" s="1">
        <v>6.6289999999999996</v>
      </c>
      <c r="E1535" s="1">
        <v>1.5960000000000001</v>
      </c>
      <c r="F1535" s="1">
        <v>54</v>
      </c>
      <c r="G1535" s="1">
        <v>84</v>
      </c>
      <c r="H1535" s="1">
        <v>35</v>
      </c>
      <c r="I1535" s="1">
        <v>58</v>
      </c>
      <c r="J1535" s="1">
        <v>70</v>
      </c>
      <c r="K1535" s="1">
        <v>109</v>
      </c>
      <c r="L1535" s="1">
        <v>112</v>
      </c>
      <c r="M1535" s="1">
        <v>83</v>
      </c>
      <c r="N1535" s="1">
        <v>58</v>
      </c>
      <c r="O1535" s="1">
        <v>109</v>
      </c>
      <c r="P1535" s="1">
        <v>129</v>
      </c>
      <c r="Q1535" s="1">
        <v>120</v>
      </c>
    </row>
    <row r="1536" spans="1:17" ht="15.75" customHeight="1">
      <c r="A1536" s="1">
        <v>2025</v>
      </c>
      <c r="B1536" s="12">
        <v>35</v>
      </c>
      <c r="C1536" s="8" t="s">
        <v>792</v>
      </c>
      <c r="D1536" s="5">
        <v>6.5860000000000003</v>
      </c>
      <c r="E1536" s="9" t="s">
        <v>260</v>
      </c>
      <c r="F1536" s="6">
        <v>36</v>
      </c>
      <c r="G1536" s="6">
        <v>40</v>
      </c>
      <c r="H1536" s="6">
        <v>19</v>
      </c>
      <c r="I1536" s="10">
        <v>14</v>
      </c>
      <c r="J1536" s="6">
        <v>114</v>
      </c>
      <c r="K1536" s="6">
        <v>63</v>
      </c>
      <c r="L1536" s="6">
        <v>31</v>
      </c>
      <c r="M1536" s="6">
        <v>80</v>
      </c>
      <c r="N1536" s="6">
        <v>74</v>
      </c>
      <c r="O1536" s="6">
        <v>63</v>
      </c>
      <c r="P1536" s="6">
        <v>30</v>
      </c>
      <c r="Q1536" s="6">
        <v>127</v>
      </c>
    </row>
    <row r="1537" spans="1:17" ht="15.75" customHeight="1">
      <c r="A1537" s="1">
        <v>2025</v>
      </c>
      <c r="B1537" s="12">
        <v>36</v>
      </c>
      <c r="C1537" s="8" t="s">
        <v>793</v>
      </c>
      <c r="D1537" s="5">
        <v>6.585</v>
      </c>
      <c r="E1537" s="6">
        <v>3.9E-2</v>
      </c>
      <c r="F1537" s="6">
        <v>22</v>
      </c>
      <c r="G1537" s="6">
        <v>48</v>
      </c>
      <c r="H1537" s="7"/>
      <c r="I1537" s="7">
        <v>1</v>
      </c>
      <c r="J1537" s="6">
        <v>41</v>
      </c>
      <c r="K1537" s="6">
        <v>18</v>
      </c>
      <c r="L1537" s="6">
        <v>1</v>
      </c>
      <c r="M1537" s="6">
        <v>56</v>
      </c>
      <c r="N1537" s="6">
        <v>18</v>
      </c>
      <c r="O1537" s="6">
        <v>18</v>
      </c>
      <c r="P1537" s="6">
        <v>35</v>
      </c>
      <c r="Q1537" s="6">
        <v>58</v>
      </c>
    </row>
    <row r="1538" spans="1:17" ht="15.75" customHeight="1">
      <c r="A1538" s="1">
        <v>2025</v>
      </c>
      <c r="B1538" s="1">
        <v>37</v>
      </c>
      <c r="C1538" s="1" t="s">
        <v>96</v>
      </c>
      <c r="D1538" s="1">
        <v>6.5780000000000003</v>
      </c>
      <c r="E1538" s="1">
        <v>0.76900000000000002</v>
      </c>
      <c r="F1538" s="1">
        <v>72</v>
      </c>
      <c r="G1538" s="1">
        <v>93</v>
      </c>
      <c r="H1538" s="1">
        <v>83</v>
      </c>
      <c r="I1538" s="1">
        <v>73</v>
      </c>
      <c r="J1538" s="1">
        <v>16</v>
      </c>
      <c r="K1538" s="1">
        <v>130</v>
      </c>
      <c r="L1538" s="1">
        <v>19</v>
      </c>
      <c r="M1538" s="1">
        <v>10</v>
      </c>
      <c r="N1538" s="1">
        <v>62</v>
      </c>
      <c r="O1538" s="1">
        <v>130</v>
      </c>
      <c r="P1538" s="1">
        <v>89</v>
      </c>
      <c r="Q1538" s="1">
        <v>93</v>
      </c>
    </row>
    <row r="1539" spans="1:17" ht="15.75" customHeight="1">
      <c r="A1539" s="1">
        <v>2025</v>
      </c>
      <c r="B1539" s="1">
        <v>38</v>
      </c>
      <c r="C1539" s="1" t="s">
        <v>100</v>
      </c>
      <c r="D1539" s="1">
        <v>6.5739999999999998</v>
      </c>
      <c r="E1539" s="1">
        <v>0.55300000000000005</v>
      </c>
      <c r="F1539" s="1">
        <v>19</v>
      </c>
      <c r="G1539" s="1">
        <v>50</v>
      </c>
      <c r="H1539" s="1">
        <v>20</v>
      </c>
      <c r="I1539" s="1">
        <v>13</v>
      </c>
      <c r="J1539" s="1">
        <v>122</v>
      </c>
      <c r="K1539" s="1">
        <v>49</v>
      </c>
      <c r="L1539" s="1">
        <v>99</v>
      </c>
      <c r="M1539" s="1">
        <v>70</v>
      </c>
      <c r="N1539" s="1">
        <v>100</v>
      </c>
      <c r="O1539" s="1">
        <v>49</v>
      </c>
      <c r="P1539" s="1">
        <v>81</v>
      </c>
      <c r="Q1539" s="1">
        <v>81</v>
      </c>
    </row>
    <row r="1540" spans="1:17" ht="15.75" customHeight="1">
      <c r="A1540" s="1">
        <v>2025</v>
      </c>
      <c r="B1540" s="1">
        <v>39</v>
      </c>
      <c r="C1540" s="1" t="s">
        <v>67</v>
      </c>
      <c r="D1540" s="1">
        <v>6.5469999999999997</v>
      </c>
      <c r="E1540" s="1" t="s">
        <v>794</v>
      </c>
      <c r="F1540" s="1">
        <v>107</v>
      </c>
      <c r="G1540" s="1">
        <v>39</v>
      </c>
      <c r="H1540" s="1">
        <v>41</v>
      </c>
      <c r="I1540" s="1">
        <v>33</v>
      </c>
      <c r="J1540" s="1">
        <v>56</v>
      </c>
      <c r="K1540" s="1">
        <v>102</v>
      </c>
      <c r="L1540" s="1">
        <v>121</v>
      </c>
      <c r="M1540" s="1">
        <v>8</v>
      </c>
      <c r="N1540" s="1">
        <v>33</v>
      </c>
      <c r="O1540" s="1">
        <v>102</v>
      </c>
      <c r="P1540" s="1">
        <v>69</v>
      </c>
      <c r="Q1540" s="1">
        <v>70</v>
      </c>
    </row>
    <row r="1541" spans="1:17" ht="15.75" customHeight="1">
      <c r="A1541" s="1">
        <v>2025</v>
      </c>
      <c r="B1541" s="1">
        <v>40</v>
      </c>
      <c r="C1541" s="1" t="s">
        <v>88</v>
      </c>
      <c r="D1541" s="1">
        <v>6.5430000000000001</v>
      </c>
      <c r="E1541" s="1">
        <v>2.8000000000000001E-2</v>
      </c>
      <c r="F1541" s="1">
        <v>91</v>
      </c>
      <c r="G1541" s="1">
        <v>68</v>
      </c>
      <c r="H1541" s="1">
        <v>30</v>
      </c>
      <c r="I1541" s="1"/>
      <c r="J1541" s="1">
        <v>24</v>
      </c>
      <c r="K1541" s="1">
        <v>65</v>
      </c>
      <c r="L1541" s="1">
        <v>59</v>
      </c>
      <c r="M1541" s="1">
        <v>85</v>
      </c>
      <c r="N1541" s="1">
        <v>65</v>
      </c>
      <c r="O1541" s="1">
        <v>121</v>
      </c>
      <c r="P1541" s="1">
        <v>6</v>
      </c>
      <c r="Q1541" s="1"/>
    </row>
    <row r="1542" spans="1:17" ht="15.75" customHeight="1">
      <c r="A1542" s="1">
        <v>2025</v>
      </c>
      <c r="B1542" s="1">
        <v>41</v>
      </c>
      <c r="C1542" s="1" t="s">
        <v>274</v>
      </c>
      <c r="D1542" s="1">
        <v>6.54</v>
      </c>
      <c r="E1542" s="1">
        <v>0.218</v>
      </c>
      <c r="F1542" s="1">
        <v>31</v>
      </c>
      <c r="G1542" s="1">
        <v>26</v>
      </c>
      <c r="H1542" s="1">
        <v>22</v>
      </c>
      <c r="I1542" s="1">
        <v>8</v>
      </c>
      <c r="J1542" s="1">
        <v>92</v>
      </c>
      <c r="K1542" s="1">
        <v>37</v>
      </c>
      <c r="L1542" s="1">
        <v>49</v>
      </c>
      <c r="M1542" s="1">
        <v>77</v>
      </c>
      <c r="N1542" s="1">
        <v>90</v>
      </c>
      <c r="O1542" s="1">
        <v>37</v>
      </c>
      <c r="P1542" s="1">
        <v>73</v>
      </c>
      <c r="Q1542" s="1">
        <v>43</v>
      </c>
    </row>
    <row r="1543" spans="1:17" ht="15.75" customHeight="1">
      <c r="A1543" s="1">
        <v>2025</v>
      </c>
      <c r="B1543" s="1">
        <v>42</v>
      </c>
      <c r="C1543" s="1" t="s">
        <v>86</v>
      </c>
      <c r="D1543" s="1">
        <v>6.5330000000000004</v>
      </c>
      <c r="E1543" s="1">
        <v>0.56799999999999995</v>
      </c>
      <c r="F1543" s="1">
        <v>118</v>
      </c>
      <c r="G1543" s="1">
        <v>85</v>
      </c>
      <c r="H1543" s="1">
        <v>81</v>
      </c>
      <c r="I1543" s="1"/>
      <c r="J1543" s="1">
        <v>25</v>
      </c>
      <c r="K1543" s="1">
        <v>87</v>
      </c>
      <c r="L1543" s="1">
        <v>85</v>
      </c>
      <c r="M1543" s="1">
        <v>1</v>
      </c>
      <c r="N1543" s="1">
        <v>82</v>
      </c>
      <c r="O1543" s="1">
        <v>87</v>
      </c>
      <c r="P1543" s="1">
        <v>21</v>
      </c>
      <c r="Q1543" s="1">
        <v>48</v>
      </c>
    </row>
    <row r="1544" spans="1:17" ht="15.75" customHeight="1">
      <c r="A1544" s="1">
        <v>2025</v>
      </c>
      <c r="B1544" s="1">
        <v>43</v>
      </c>
      <c r="C1544" s="1" t="s">
        <v>74</v>
      </c>
      <c r="D1544" s="1">
        <v>6.4359999999999999</v>
      </c>
      <c r="E1544" s="1">
        <v>0.47199999999999998</v>
      </c>
      <c r="F1544" s="1">
        <v>38</v>
      </c>
      <c r="G1544" s="1">
        <v>34</v>
      </c>
      <c r="H1544" s="1">
        <v>43</v>
      </c>
      <c r="I1544" s="1">
        <v>11</v>
      </c>
      <c r="J1544" s="1">
        <v>3</v>
      </c>
      <c r="K1544" s="1">
        <v>53</v>
      </c>
      <c r="L1544" s="1">
        <v>76</v>
      </c>
      <c r="M1544" s="1">
        <v>102</v>
      </c>
      <c r="N1544" s="1">
        <v>3</v>
      </c>
      <c r="O1544" s="1">
        <v>52</v>
      </c>
      <c r="P1544" s="1">
        <v>85</v>
      </c>
      <c r="Q1544" s="1"/>
    </row>
    <row r="1545" spans="1:17" ht="15.75" customHeight="1">
      <c r="A1545" s="1">
        <v>2025</v>
      </c>
      <c r="B1545" s="1">
        <v>44</v>
      </c>
      <c r="C1545" s="1" t="s">
        <v>69</v>
      </c>
      <c r="D1545" s="1">
        <v>6.43</v>
      </c>
      <c r="E1545" s="1" t="s">
        <v>795</v>
      </c>
      <c r="F1545" s="1">
        <v>60</v>
      </c>
      <c r="G1545" s="1">
        <v>36</v>
      </c>
      <c r="H1545" s="1">
        <v>51</v>
      </c>
      <c r="I1545" s="1">
        <v>49</v>
      </c>
      <c r="J1545" s="1">
        <v>42</v>
      </c>
      <c r="K1545" s="1">
        <v>92</v>
      </c>
      <c r="L1545" s="1">
        <v>100</v>
      </c>
      <c r="M1545" s="1">
        <v>31</v>
      </c>
      <c r="N1545" s="1">
        <v>76</v>
      </c>
      <c r="O1545" s="1">
        <v>92</v>
      </c>
      <c r="P1545" s="1">
        <v>79</v>
      </c>
      <c r="Q1545" s="1">
        <v>28</v>
      </c>
    </row>
    <row r="1546" spans="1:17" ht="15.75" customHeight="1">
      <c r="A1546" s="1">
        <v>2025</v>
      </c>
      <c r="B1546" s="1">
        <v>45</v>
      </c>
      <c r="C1546" s="1" t="s">
        <v>157</v>
      </c>
      <c r="D1546" s="1">
        <v>6.4279999999999999</v>
      </c>
      <c r="E1546" s="1">
        <v>0.89500000000000002</v>
      </c>
      <c r="F1546" s="1">
        <v>16</v>
      </c>
      <c r="G1546" s="1">
        <v>67</v>
      </c>
      <c r="H1546" s="1">
        <v>74</v>
      </c>
      <c r="I1546" s="1">
        <v>41</v>
      </c>
      <c r="J1546" s="1">
        <v>1</v>
      </c>
      <c r="K1546" s="1">
        <v>131</v>
      </c>
      <c r="L1546" s="1">
        <v>25</v>
      </c>
      <c r="M1546" s="1">
        <v>41</v>
      </c>
      <c r="N1546" s="1">
        <v>1</v>
      </c>
      <c r="O1546" s="1">
        <v>131</v>
      </c>
      <c r="P1546" s="1">
        <v>132</v>
      </c>
      <c r="Q1546" s="1">
        <v>129</v>
      </c>
    </row>
    <row r="1547" spans="1:17" ht="15.75" customHeight="1">
      <c r="A1547" s="1">
        <v>2025</v>
      </c>
      <c r="B1547" s="1">
        <v>46</v>
      </c>
      <c r="C1547" s="1" t="s">
        <v>129</v>
      </c>
      <c r="D1547" s="1">
        <v>6.41</v>
      </c>
      <c r="E1547" s="1">
        <v>0.98399999999999999</v>
      </c>
      <c r="F1547" s="1">
        <v>17</v>
      </c>
      <c r="G1547" s="1">
        <v>12</v>
      </c>
      <c r="H1547" s="1">
        <v>34</v>
      </c>
      <c r="I1547" s="1">
        <v>32</v>
      </c>
      <c r="J1547" s="1">
        <v>67</v>
      </c>
      <c r="K1547" s="1">
        <v>50</v>
      </c>
      <c r="L1547" s="1">
        <v>16</v>
      </c>
      <c r="M1547" s="1">
        <v>64</v>
      </c>
      <c r="N1547" s="1">
        <v>60</v>
      </c>
      <c r="O1547" s="1">
        <v>50</v>
      </c>
      <c r="P1547" s="1">
        <v>83</v>
      </c>
      <c r="Q1547" s="1">
        <v>87</v>
      </c>
    </row>
    <row r="1548" spans="1:17" ht="15.75" customHeight="1">
      <c r="A1548" s="1">
        <v>2025</v>
      </c>
      <c r="B1548" s="1">
        <v>47</v>
      </c>
      <c r="C1548" s="1" t="s">
        <v>146</v>
      </c>
      <c r="D1548" s="1">
        <v>6.3810000000000002</v>
      </c>
      <c r="E1548" s="1">
        <v>1.5680000000000001</v>
      </c>
      <c r="F1548" s="1">
        <v>49</v>
      </c>
      <c r="G1548" s="1">
        <v>58</v>
      </c>
      <c r="H1548" s="1">
        <v>60</v>
      </c>
      <c r="I1548" s="1">
        <v>46</v>
      </c>
      <c r="J1548" s="1">
        <v>107</v>
      </c>
      <c r="K1548" s="1">
        <v>45</v>
      </c>
      <c r="L1548" s="1">
        <v>116</v>
      </c>
      <c r="M1548" s="1">
        <v>113</v>
      </c>
      <c r="N1548" s="1">
        <v>22</v>
      </c>
      <c r="O1548" s="1">
        <v>45</v>
      </c>
      <c r="P1548" s="1">
        <v>130</v>
      </c>
      <c r="Q1548" s="1">
        <v>131</v>
      </c>
    </row>
    <row r="1549" spans="1:17" ht="15.75" customHeight="1">
      <c r="A1549" s="1">
        <v>2025</v>
      </c>
      <c r="B1549" s="1">
        <v>48</v>
      </c>
      <c r="C1549" s="1" t="s">
        <v>123</v>
      </c>
      <c r="D1549" s="1">
        <v>6.3650000000000002</v>
      </c>
      <c r="E1549" s="1">
        <v>1.319</v>
      </c>
      <c r="F1549" s="1">
        <v>27</v>
      </c>
      <c r="G1549" s="1">
        <v>6</v>
      </c>
      <c r="H1549" s="1">
        <v>38</v>
      </c>
      <c r="I1549" s="1">
        <v>59</v>
      </c>
      <c r="J1549" s="1">
        <v>46</v>
      </c>
      <c r="K1549" s="1">
        <v>47</v>
      </c>
      <c r="L1549" s="1">
        <v>71</v>
      </c>
      <c r="M1549" s="1">
        <v>72</v>
      </c>
      <c r="N1549" s="1">
        <v>64</v>
      </c>
      <c r="O1549" s="1">
        <v>47</v>
      </c>
      <c r="P1549" s="1">
        <v>119</v>
      </c>
      <c r="Q1549" s="1">
        <v>109</v>
      </c>
    </row>
    <row r="1550" spans="1:17" ht="15.75" customHeight="1">
      <c r="A1550" s="1">
        <v>2025</v>
      </c>
      <c r="B1550" s="1">
        <v>49</v>
      </c>
      <c r="C1550" s="1" t="s">
        <v>130</v>
      </c>
      <c r="D1550" s="1">
        <v>6.3049999999999997</v>
      </c>
      <c r="E1550" s="1">
        <v>0.93100000000000005</v>
      </c>
      <c r="F1550" s="1">
        <v>119</v>
      </c>
      <c r="G1550" s="1">
        <v>24</v>
      </c>
      <c r="H1550" s="1">
        <v>84</v>
      </c>
      <c r="I1550" s="1">
        <v>76</v>
      </c>
      <c r="J1550" s="1">
        <v>50</v>
      </c>
      <c r="K1550" s="1">
        <v>118</v>
      </c>
      <c r="L1550" s="1">
        <v>88</v>
      </c>
      <c r="M1550" s="1">
        <v>61</v>
      </c>
      <c r="N1550" s="1">
        <v>23</v>
      </c>
      <c r="O1550" s="1">
        <v>118</v>
      </c>
      <c r="P1550" s="1">
        <v>55</v>
      </c>
      <c r="Q1550" s="1">
        <v>3</v>
      </c>
    </row>
    <row r="1551" spans="1:17" ht="15.75" customHeight="1">
      <c r="A1551" s="1">
        <v>2025</v>
      </c>
      <c r="B1551" s="1">
        <v>50</v>
      </c>
      <c r="C1551" s="1" t="s">
        <v>66</v>
      </c>
      <c r="D1551" s="1">
        <v>6.3019999999999996</v>
      </c>
      <c r="E1551" s="1" t="s">
        <v>727</v>
      </c>
      <c r="F1551" s="1">
        <v>62</v>
      </c>
      <c r="G1551" s="1">
        <v>59</v>
      </c>
      <c r="H1551" s="1">
        <v>46</v>
      </c>
      <c r="I1551" s="1">
        <v>28</v>
      </c>
      <c r="J1551" s="1">
        <v>64</v>
      </c>
      <c r="K1551" s="1">
        <v>67</v>
      </c>
      <c r="L1551" s="1">
        <v>82</v>
      </c>
      <c r="M1551" s="1">
        <v>19</v>
      </c>
      <c r="N1551" s="1">
        <v>70</v>
      </c>
      <c r="O1551" s="1">
        <v>67</v>
      </c>
      <c r="P1551" s="1">
        <v>77</v>
      </c>
      <c r="Q1551" s="1">
        <v>53</v>
      </c>
    </row>
    <row r="1552" spans="1:17" ht="15.75" customHeight="1">
      <c r="A1552" s="1">
        <v>2025</v>
      </c>
      <c r="B1552" s="1">
        <v>51</v>
      </c>
      <c r="C1552" s="1" t="s">
        <v>98</v>
      </c>
      <c r="D1552" s="1">
        <v>6.3010000000000002</v>
      </c>
      <c r="E1552" s="1">
        <v>0.79400000000000004</v>
      </c>
      <c r="F1552" s="1"/>
      <c r="G1552" s="1"/>
      <c r="H1552" s="1"/>
      <c r="I1552" s="1">
        <v>50</v>
      </c>
      <c r="J1552" s="1"/>
      <c r="K1552" s="1"/>
      <c r="L1552" s="1"/>
      <c r="M1552" s="1"/>
      <c r="N1552" s="1"/>
      <c r="O1552" s="1"/>
      <c r="P1552" s="1"/>
      <c r="Q1552" s="1"/>
    </row>
    <row r="1553" spans="1:17" ht="15.75" customHeight="1">
      <c r="A1553" s="1">
        <v>2025</v>
      </c>
      <c r="B1553" s="1">
        <v>52</v>
      </c>
      <c r="C1553" s="1" t="s">
        <v>78</v>
      </c>
      <c r="D1553" s="1">
        <v>6.2960000000000003</v>
      </c>
      <c r="E1553" s="1" t="s">
        <v>469</v>
      </c>
      <c r="F1553" s="1">
        <v>73</v>
      </c>
      <c r="G1553" s="1">
        <v>56</v>
      </c>
      <c r="H1553" s="1">
        <v>58</v>
      </c>
      <c r="I1553" s="1">
        <v>37</v>
      </c>
      <c r="J1553" s="1">
        <v>8</v>
      </c>
      <c r="K1553" s="1">
        <v>23</v>
      </c>
      <c r="L1553" s="1">
        <v>127</v>
      </c>
      <c r="M1553" s="1">
        <v>13</v>
      </c>
      <c r="N1553" s="1">
        <v>50</v>
      </c>
      <c r="O1553" s="1">
        <v>23</v>
      </c>
      <c r="P1553" s="1">
        <v>103</v>
      </c>
      <c r="Q1553" s="1">
        <v>97</v>
      </c>
    </row>
    <row r="1554" spans="1:17" ht="15.75" customHeight="1">
      <c r="A1554" s="1">
        <v>2025</v>
      </c>
      <c r="B1554" s="1">
        <v>53</v>
      </c>
      <c r="C1554" s="1" t="s">
        <v>99</v>
      </c>
      <c r="D1554" s="1">
        <v>6.2830000000000004</v>
      </c>
      <c r="E1554" s="1">
        <v>0.66</v>
      </c>
      <c r="F1554" s="1">
        <v>77</v>
      </c>
      <c r="G1554" s="1">
        <v>32</v>
      </c>
      <c r="H1554" s="1">
        <v>87</v>
      </c>
      <c r="I1554" s="1">
        <v>65</v>
      </c>
      <c r="J1554" s="1">
        <v>19</v>
      </c>
      <c r="K1554" s="1">
        <v>25</v>
      </c>
      <c r="L1554" s="1">
        <v>37</v>
      </c>
      <c r="M1554" s="1">
        <v>24</v>
      </c>
      <c r="N1554" s="1">
        <v>46</v>
      </c>
      <c r="O1554" s="1">
        <v>25</v>
      </c>
      <c r="P1554" s="1">
        <v>92</v>
      </c>
      <c r="Q1554" s="1">
        <v>94</v>
      </c>
    </row>
    <row r="1555" spans="1:17" ht="15.75" customHeight="1">
      <c r="A1555" s="1">
        <v>2025</v>
      </c>
      <c r="B1555" s="12">
        <v>54</v>
      </c>
      <c r="C1555" s="8" t="s">
        <v>796</v>
      </c>
      <c r="D1555" s="5">
        <v>6.2549999999999999</v>
      </c>
      <c r="E1555" s="6">
        <v>0.28599999999999998</v>
      </c>
      <c r="F1555" s="6">
        <v>8</v>
      </c>
      <c r="G1555" s="6">
        <v>7</v>
      </c>
      <c r="H1555" s="6">
        <v>37</v>
      </c>
      <c r="I1555" s="7">
        <v>47</v>
      </c>
      <c r="J1555" s="6">
        <v>98</v>
      </c>
      <c r="K1555" s="6">
        <v>98</v>
      </c>
      <c r="L1555" s="6">
        <v>113</v>
      </c>
      <c r="M1555" s="6">
        <v>84</v>
      </c>
      <c r="N1555" s="6">
        <v>21</v>
      </c>
      <c r="O1555" s="6">
        <v>98</v>
      </c>
      <c r="P1555" s="6">
        <v>102</v>
      </c>
      <c r="Q1555" s="6">
        <v>133</v>
      </c>
    </row>
    <row r="1556" spans="1:17" ht="15.75" customHeight="1">
      <c r="A1556" s="1">
        <v>2025</v>
      </c>
      <c r="B1556" s="12">
        <v>55</v>
      </c>
      <c r="C1556" s="8" t="s">
        <v>797</v>
      </c>
      <c r="D1556" s="5">
        <v>6.2539999999999996</v>
      </c>
      <c r="E1556" s="6">
        <v>0.94199999999999995</v>
      </c>
      <c r="F1556" s="6">
        <v>88</v>
      </c>
      <c r="G1556" s="6">
        <v>64</v>
      </c>
      <c r="H1556" s="6">
        <v>15</v>
      </c>
      <c r="I1556" s="10"/>
      <c r="J1556" s="6">
        <v>10</v>
      </c>
      <c r="K1556" s="6">
        <v>20</v>
      </c>
      <c r="L1556" s="10"/>
      <c r="M1556" s="6">
        <v>54</v>
      </c>
      <c r="N1556" s="6">
        <v>44</v>
      </c>
      <c r="O1556" s="6">
        <v>20</v>
      </c>
      <c r="P1556" s="6">
        <v>70</v>
      </c>
      <c r="Q1556" s="6">
        <v>34</v>
      </c>
    </row>
    <row r="1557" spans="1:17" ht="15.75" customHeight="1">
      <c r="A1557" s="1">
        <v>2025</v>
      </c>
      <c r="B1557" s="1">
        <v>56</v>
      </c>
      <c r="C1557" s="1" t="s">
        <v>141</v>
      </c>
      <c r="D1557" s="1">
        <v>6.2060000000000004</v>
      </c>
      <c r="E1557" s="1">
        <v>1.2210000000000001</v>
      </c>
      <c r="F1557" s="1">
        <v>101</v>
      </c>
      <c r="G1557" s="1">
        <v>63</v>
      </c>
      <c r="H1557" s="1">
        <v>88</v>
      </c>
      <c r="I1557" s="1">
        <v>93</v>
      </c>
      <c r="J1557" s="1">
        <v>13</v>
      </c>
      <c r="K1557" s="1">
        <v>81</v>
      </c>
      <c r="L1557" s="1">
        <v>96</v>
      </c>
      <c r="M1557" s="1">
        <v>18</v>
      </c>
      <c r="N1557" s="1">
        <v>111</v>
      </c>
      <c r="O1557" s="1">
        <v>81</v>
      </c>
      <c r="P1557" s="1">
        <v>5</v>
      </c>
      <c r="Q1557" s="1">
        <v>29</v>
      </c>
    </row>
    <row r="1558" spans="1:17" ht="15.75" customHeight="1">
      <c r="A1558" s="1">
        <v>2025</v>
      </c>
      <c r="B1558" s="1">
        <v>57</v>
      </c>
      <c r="C1558" s="1" t="s">
        <v>126</v>
      </c>
      <c r="D1558" s="1">
        <v>6.1980000000000004</v>
      </c>
      <c r="E1558" s="1">
        <v>0.41899999999999998</v>
      </c>
      <c r="F1558" s="1">
        <v>100</v>
      </c>
      <c r="G1558" s="1">
        <v>14</v>
      </c>
      <c r="H1558" s="1">
        <v>70</v>
      </c>
      <c r="I1558" s="1">
        <v>84</v>
      </c>
      <c r="J1558" s="1">
        <v>26</v>
      </c>
      <c r="K1558" s="1">
        <v>60</v>
      </c>
      <c r="L1558" s="1">
        <v>114</v>
      </c>
      <c r="M1558" s="1">
        <v>2</v>
      </c>
      <c r="N1558" s="1">
        <v>47</v>
      </c>
      <c r="O1558" s="1">
        <v>60</v>
      </c>
      <c r="P1558" s="1">
        <v>25</v>
      </c>
      <c r="Q1558" s="1">
        <v>32</v>
      </c>
    </row>
    <row r="1559" spans="1:17" ht="15.75" customHeight="1">
      <c r="A1559" s="1">
        <v>2025</v>
      </c>
      <c r="B1559" s="1">
        <v>58</v>
      </c>
      <c r="C1559" s="1" t="s">
        <v>749</v>
      </c>
      <c r="D1559" s="1">
        <v>6.1970000000000001</v>
      </c>
      <c r="E1559" s="1" t="s">
        <v>750</v>
      </c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</row>
    <row r="1560" spans="1:17" ht="15.75" customHeight="1">
      <c r="A1560" s="1">
        <v>2025</v>
      </c>
      <c r="B1560" s="1">
        <v>59</v>
      </c>
      <c r="C1560" s="1" t="s">
        <v>102</v>
      </c>
      <c r="D1560" s="1">
        <v>6.1440000000000001</v>
      </c>
      <c r="E1560" s="1">
        <v>0.27900000000000003</v>
      </c>
      <c r="F1560" s="1">
        <v>98</v>
      </c>
      <c r="G1560" s="1">
        <v>81</v>
      </c>
      <c r="H1560" s="1">
        <v>77</v>
      </c>
      <c r="I1560" s="1">
        <v>51</v>
      </c>
      <c r="J1560" s="1">
        <v>81</v>
      </c>
      <c r="K1560" s="1">
        <v>103</v>
      </c>
      <c r="L1560" s="1">
        <v>77</v>
      </c>
      <c r="M1560" s="1">
        <v>6</v>
      </c>
      <c r="N1560" s="1">
        <v>95</v>
      </c>
      <c r="O1560" s="1">
        <v>103</v>
      </c>
      <c r="P1560" s="1">
        <v>94</v>
      </c>
      <c r="Q1560" s="1">
        <v>55</v>
      </c>
    </row>
    <row r="1561" spans="1:17" ht="15.75" customHeight="1">
      <c r="A1561" s="1">
        <v>2025</v>
      </c>
      <c r="B1561" s="1">
        <v>60</v>
      </c>
      <c r="C1561" s="1" t="s">
        <v>147</v>
      </c>
      <c r="D1561" s="1">
        <v>6.1390000000000002</v>
      </c>
      <c r="E1561" s="1">
        <v>0.84</v>
      </c>
      <c r="F1561" s="1">
        <v>30</v>
      </c>
      <c r="G1561" s="1">
        <v>13</v>
      </c>
      <c r="H1561" s="1">
        <v>48</v>
      </c>
      <c r="I1561" s="1"/>
      <c r="J1561" s="1">
        <v>45</v>
      </c>
      <c r="K1561" s="1">
        <v>64</v>
      </c>
      <c r="L1561" s="1">
        <v>79</v>
      </c>
      <c r="M1561" s="1">
        <v>117</v>
      </c>
      <c r="N1561" s="1">
        <v>92</v>
      </c>
      <c r="O1561" s="1">
        <v>64</v>
      </c>
      <c r="P1561" s="1">
        <v>115</v>
      </c>
      <c r="Q1561" s="1">
        <v>128</v>
      </c>
    </row>
    <row r="1562" spans="1:17" ht="15.75" customHeight="1">
      <c r="A1562" s="1">
        <v>2025</v>
      </c>
      <c r="B1562" s="1">
        <v>61</v>
      </c>
      <c r="C1562" s="1" t="s">
        <v>104</v>
      </c>
      <c r="D1562" s="1">
        <v>6.13</v>
      </c>
      <c r="E1562" s="1">
        <v>6.6000000000000003E-2</v>
      </c>
      <c r="F1562" s="1">
        <v>40</v>
      </c>
      <c r="G1562" s="1">
        <v>44</v>
      </c>
      <c r="H1562" s="1">
        <v>28</v>
      </c>
      <c r="I1562" s="1">
        <v>2</v>
      </c>
      <c r="J1562" s="1">
        <v>85</v>
      </c>
      <c r="K1562" s="1">
        <v>122</v>
      </c>
      <c r="L1562" s="1">
        <v>29</v>
      </c>
      <c r="M1562" s="1">
        <v>79</v>
      </c>
      <c r="N1562" s="1">
        <v>5</v>
      </c>
      <c r="O1562" s="1">
        <v>122</v>
      </c>
      <c r="P1562" s="1">
        <v>95</v>
      </c>
      <c r="Q1562" s="1">
        <v>138</v>
      </c>
    </row>
    <row r="1563" spans="1:17" ht="15.75" customHeight="1">
      <c r="A1563" s="1">
        <v>2025</v>
      </c>
      <c r="B1563" s="1">
        <v>62</v>
      </c>
      <c r="C1563" s="1" t="s">
        <v>124</v>
      </c>
      <c r="D1563" s="1">
        <v>6.1260000000000003</v>
      </c>
      <c r="E1563" s="1" t="s">
        <v>329</v>
      </c>
      <c r="F1563" s="1">
        <v>39</v>
      </c>
      <c r="G1563" s="1">
        <v>78</v>
      </c>
      <c r="H1563" s="1">
        <v>77</v>
      </c>
      <c r="I1563" s="1">
        <v>10</v>
      </c>
      <c r="J1563" s="1">
        <v>28</v>
      </c>
      <c r="K1563" s="1">
        <v>65</v>
      </c>
      <c r="L1563" s="1">
        <v>67</v>
      </c>
      <c r="M1563" s="1">
        <v>80</v>
      </c>
      <c r="N1563" s="1">
        <v>28</v>
      </c>
      <c r="O1563" s="1">
        <v>41</v>
      </c>
      <c r="P1563" s="1">
        <v>57</v>
      </c>
      <c r="Q1563" s="1"/>
    </row>
    <row r="1564" spans="1:17" ht="15.75" customHeight="1">
      <c r="A1564" s="1">
        <v>2025</v>
      </c>
      <c r="B1564" s="1">
        <v>63</v>
      </c>
      <c r="C1564" s="1" t="s">
        <v>167</v>
      </c>
      <c r="D1564" s="1">
        <v>6.0960000000000001</v>
      </c>
      <c r="E1564" s="1">
        <v>0.95399999999999996</v>
      </c>
      <c r="F1564" s="1">
        <v>117</v>
      </c>
      <c r="G1564" s="1">
        <v>97</v>
      </c>
      <c r="H1564" s="1">
        <v>100</v>
      </c>
      <c r="I1564" s="1">
        <v>90</v>
      </c>
      <c r="J1564" s="1">
        <v>40</v>
      </c>
      <c r="K1564" s="1">
        <v>73</v>
      </c>
      <c r="L1564" s="1">
        <v>95</v>
      </c>
      <c r="M1564" s="1">
        <v>15</v>
      </c>
      <c r="N1564" s="1">
        <v>77</v>
      </c>
      <c r="O1564" s="1">
        <v>73</v>
      </c>
      <c r="P1564" s="1">
        <v>15</v>
      </c>
      <c r="Q1564" s="1">
        <v>26</v>
      </c>
    </row>
    <row r="1565" spans="1:17" ht="15.75" customHeight="1">
      <c r="A1565" s="1">
        <v>2025</v>
      </c>
      <c r="B1565" s="1">
        <v>64</v>
      </c>
      <c r="C1565" s="1" t="s">
        <v>149</v>
      </c>
      <c r="D1565" s="1">
        <v>6.093</v>
      </c>
      <c r="E1565" s="1">
        <v>1.1299999999999999</v>
      </c>
      <c r="F1565" s="1">
        <v>132</v>
      </c>
      <c r="G1565" s="1">
        <v>65</v>
      </c>
      <c r="H1565" s="1">
        <v>54</v>
      </c>
      <c r="I1565" s="1">
        <v>63</v>
      </c>
      <c r="J1565" s="1">
        <v>31</v>
      </c>
      <c r="K1565" s="1">
        <v>88</v>
      </c>
      <c r="L1565" s="1">
        <v>32</v>
      </c>
      <c r="M1565" s="1">
        <v>33</v>
      </c>
      <c r="N1565" s="1">
        <v>63</v>
      </c>
      <c r="O1565" s="1">
        <v>88</v>
      </c>
      <c r="P1565" s="1">
        <v>20</v>
      </c>
      <c r="Q1565" s="1">
        <v>20</v>
      </c>
    </row>
    <row r="1566" spans="1:17" ht="15.75" customHeight="1">
      <c r="A1566" s="1">
        <v>2025</v>
      </c>
      <c r="B1566" s="1">
        <v>65</v>
      </c>
      <c r="C1566" s="1" t="s">
        <v>142</v>
      </c>
      <c r="D1566" s="1">
        <v>6.0739999999999998</v>
      </c>
      <c r="E1566" s="1">
        <v>1.0960000000000001</v>
      </c>
      <c r="F1566" s="1">
        <v>76</v>
      </c>
      <c r="G1566" s="1">
        <v>126</v>
      </c>
      <c r="H1566" s="1">
        <v>53</v>
      </c>
      <c r="I1566" s="1">
        <v>26</v>
      </c>
      <c r="J1566" s="1">
        <v>121</v>
      </c>
      <c r="K1566" s="1">
        <v>61</v>
      </c>
      <c r="L1566" s="1">
        <v>93</v>
      </c>
      <c r="M1566" s="1">
        <v>105</v>
      </c>
      <c r="N1566" s="1">
        <v>61</v>
      </c>
      <c r="O1566" s="1">
        <v>14</v>
      </c>
      <c r="P1566" s="1">
        <v>124</v>
      </c>
      <c r="Q1566" s="1"/>
    </row>
    <row r="1567" spans="1:17" ht="15.75" customHeight="1">
      <c r="A1567" s="1">
        <v>2025</v>
      </c>
      <c r="B1567" s="1">
        <v>66</v>
      </c>
      <c r="C1567" s="1" t="s">
        <v>144</v>
      </c>
      <c r="D1567" s="1">
        <v>6.0490000000000004</v>
      </c>
      <c r="E1567" s="1">
        <v>1.0069999999999999</v>
      </c>
      <c r="F1567" s="1">
        <v>14</v>
      </c>
      <c r="G1567" s="1">
        <v>41</v>
      </c>
      <c r="H1567" s="1">
        <v>96</v>
      </c>
      <c r="I1567" s="1">
        <v>64</v>
      </c>
      <c r="J1567" s="1">
        <v>6</v>
      </c>
      <c r="K1567" s="1">
        <v>51</v>
      </c>
      <c r="L1567" s="1">
        <v>36</v>
      </c>
      <c r="M1567" s="1">
        <v>71</v>
      </c>
      <c r="N1567" s="1">
        <v>9</v>
      </c>
      <c r="O1567" s="1">
        <v>51</v>
      </c>
      <c r="P1567" s="1">
        <v>63</v>
      </c>
      <c r="Q1567" s="1">
        <v>90</v>
      </c>
    </row>
    <row r="1568" spans="1:17" ht="15.75" customHeight="1">
      <c r="A1568" s="1">
        <v>2025</v>
      </c>
      <c r="B1568" s="1">
        <v>67</v>
      </c>
      <c r="C1568" s="1" t="s">
        <v>110</v>
      </c>
      <c r="D1568" s="1">
        <v>6.04</v>
      </c>
      <c r="E1568" s="1" t="s">
        <v>317</v>
      </c>
      <c r="F1568" s="1">
        <v>58</v>
      </c>
      <c r="G1568" s="1">
        <v>76</v>
      </c>
      <c r="H1568" s="1">
        <v>99</v>
      </c>
      <c r="I1568" s="1">
        <v>3</v>
      </c>
      <c r="J1568" s="1">
        <v>58</v>
      </c>
      <c r="K1568" s="1">
        <v>43</v>
      </c>
      <c r="L1568" s="1">
        <v>99</v>
      </c>
      <c r="M1568" s="1">
        <v>45</v>
      </c>
      <c r="N1568" s="1">
        <v>58</v>
      </c>
      <c r="O1568" s="1">
        <v>101</v>
      </c>
      <c r="P1568" s="1">
        <v>125</v>
      </c>
      <c r="Q1568" s="1"/>
    </row>
    <row r="1569" spans="1:17" ht="15.75" customHeight="1">
      <c r="A1569" s="1">
        <v>2025</v>
      </c>
      <c r="B1569" s="1">
        <v>68</v>
      </c>
      <c r="C1569" s="1" t="s">
        <v>75</v>
      </c>
      <c r="D1569" s="1">
        <v>6.04</v>
      </c>
      <c r="E1569" s="1" t="s">
        <v>495</v>
      </c>
      <c r="F1569" s="1">
        <v>106</v>
      </c>
      <c r="G1569" s="1">
        <v>57</v>
      </c>
      <c r="H1569" s="1">
        <v>64</v>
      </c>
      <c r="I1569" s="1">
        <v>44</v>
      </c>
      <c r="J1569" s="1">
        <v>69</v>
      </c>
      <c r="K1569" s="1">
        <v>115</v>
      </c>
      <c r="L1569" s="1">
        <v>109</v>
      </c>
      <c r="M1569" s="1">
        <v>12</v>
      </c>
      <c r="N1569" s="1">
        <v>83</v>
      </c>
      <c r="O1569" s="1">
        <v>115</v>
      </c>
      <c r="P1569" s="1">
        <v>91</v>
      </c>
      <c r="Q1569" s="1">
        <v>52</v>
      </c>
    </row>
    <row r="1570" spans="1:17" ht="15.75" customHeight="1">
      <c r="A1570" s="1">
        <v>2025</v>
      </c>
      <c r="B1570" s="1">
        <v>69</v>
      </c>
      <c r="C1570" s="1" t="s">
        <v>155</v>
      </c>
      <c r="D1570" s="1">
        <v>6.0289999999999999</v>
      </c>
      <c r="E1570" s="1">
        <v>0.92800000000000005</v>
      </c>
      <c r="F1570" s="1">
        <v>57</v>
      </c>
      <c r="G1570" s="1">
        <v>45</v>
      </c>
      <c r="H1570" s="1">
        <v>32</v>
      </c>
      <c r="I1570" s="1">
        <v>22</v>
      </c>
      <c r="J1570" s="1">
        <v>27</v>
      </c>
      <c r="K1570" s="1">
        <v>108</v>
      </c>
      <c r="L1570" s="1">
        <v>124</v>
      </c>
      <c r="M1570" s="1">
        <v>96</v>
      </c>
      <c r="N1570" s="1">
        <v>86</v>
      </c>
      <c r="O1570" s="1">
        <v>108</v>
      </c>
      <c r="P1570" s="1">
        <v>117</v>
      </c>
      <c r="Q1570" s="1">
        <v>105</v>
      </c>
    </row>
    <row r="1571" spans="1:17" ht="15.75" customHeight="1">
      <c r="A1571" s="1">
        <v>2025</v>
      </c>
      <c r="B1571" s="1">
        <v>70</v>
      </c>
      <c r="C1571" s="1" t="s">
        <v>131</v>
      </c>
      <c r="D1571" s="1">
        <v>6.0090000000000003</v>
      </c>
      <c r="E1571" s="1">
        <v>0.34799999999999998</v>
      </c>
      <c r="F1571" s="1">
        <v>18</v>
      </c>
      <c r="G1571" s="1">
        <v>27</v>
      </c>
      <c r="H1571" s="1">
        <v>31</v>
      </c>
      <c r="I1571" s="1">
        <v>31</v>
      </c>
      <c r="J1571" s="1">
        <v>110</v>
      </c>
      <c r="K1571" s="1">
        <v>125</v>
      </c>
      <c r="L1571" s="1">
        <v>57</v>
      </c>
      <c r="M1571" s="1">
        <v>101</v>
      </c>
      <c r="N1571" s="1">
        <v>13</v>
      </c>
      <c r="O1571" s="1">
        <v>125</v>
      </c>
      <c r="P1571" s="1">
        <v>122</v>
      </c>
      <c r="Q1571" s="1">
        <v>137</v>
      </c>
    </row>
    <row r="1572" spans="1:17" ht="15.75" customHeight="1">
      <c r="A1572" s="1">
        <v>2025</v>
      </c>
      <c r="B1572" s="1">
        <v>71</v>
      </c>
      <c r="C1572" s="1" t="s">
        <v>97</v>
      </c>
      <c r="D1572" s="1">
        <v>6.0049999999999999</v>
      </c>
      <c r="E1572" s="1">
        <v>0.245</v>
      </c>
      <c r="F1572" s="1">
        <v>71</v>
      </c>
      <c r="G1572" s="1">
        <v>82</v>
      </c>
      <c r="H1572" s="1">
        <v>44</v>
      </c>
      <c r="I1572" s="1">
        <v>55</v>
      </c>
      <c r="J1572" s="1">
        <v>14</v>
      </c>
      <c r="K1572" s="1">
        <v>26</v>
      </c>
      <c r="L1572" s="1">
        <v>78</v>
      </c>
      <c r="M1572" s="1">
        <v>22</v>
      </c>
      <c r="N1572" s="1">
        <v>30</v>
      </c>
      <c r="O1572" s="1">
        <v>26</v>
      </c>
      <c r="P1572" s="1">
        <v>26</v>
      </c>
      <c r="Q1572" s="1">
        <v>59</v>
      </c>
    </row>
    <row r="1573" spans="1:17" ht="15.75" customHeight="1">
      <c r="A1573" s="1">
        <v>2025</v>
      </c>
      <c r="B1573" s="1">
        <v>72</v>
      </c>
      <c r="C1573" s="1" t="s">
        <v>118</v>
      </c>
      <c r="D1573" s="1">
        <v>5.9740000000000002</v>
      </c>
      <c r="E1573" s="1">
        <v>0.19800000000000001</v>
      </c>
      <c r="F1573" s="1">
        <v>89</v>
      </c>
      <c r="G1573" s="1">
        <v>70</v>
      </c>
      <c r="H1573" s="1">
        <v>72</v>
      </c>
      <c r="I1573" s="1">
        <v>69</v>
      </c>
      <c r="J1573" s="1">
        <v>86</v>
      </c>
      <c r="K1573" s="1">
        <v>114</v>
      </c>
      <c r="L1573" s="1">
        <v>131</v>
      </c>
      <c r="M1573" s="1">
        <v>16</v>
      </c>
      <c r="N1573" s="1">
        <v>104</v>
      </c>
      <c r="O1573" s="1">
        <v>114</v>
      </c>
      <c r="P1573" s="1">
        <v>84</v>
      </c>
      <c r="Q1573" s="1">
        <v>63</v>
      </c>
    </row>
    <row r="1574" spans="1:17" ht="15.75" customHeight="1">
      <c r="A1574" s="1">
        <v>2025</v>
      </c>
      <c r="B1574" s="1">
        <v>73</v>
      </c>
      <c r="C1574" s="1" t="s">
        <v>121</v>
      </c>
      <c r="D1574" s="1">
        <v>5.9390000000000001</v>
      </c>
      <c r="E1574" s="1">
        <v>0.46200000000000002</v>
      </c>
      <c r="F1574" s="1">
        <v>87</v>
      </c>
      <c r="G1574" s="1">
        <v>49</v>
      </c>
      <c r="H1574" s="1">
        <v>47</v>
      </c>
      <c r="I1574" s="1">
        <v>61</v>
      </c>
      <c r="J1574" s="1">
        <v>39</v>
      </c>
      <c r="K1574" s="1">
        <v>69</v>
      </c>
      <c r="L1574" s="1">
        <v>73</v>
      </c>
      <c r="M1574" s="1">
        <v>74</v>
      </c>
      <c r="N1574" s="1">
        <v>6</v>
      </c>
      <c r="O1574" s="1">
        <v>69</v>
      </c>
      <c r="P1574" s="1">
        <v>37</v>
      </c>
      <c r="Q1574" s="1">
        <v>108</v>
      </c>
    </row>
    <row r="1575" spans="1:17" ht="15.75" customHeight="1">
      <c r="A1575" s="1">
        <v>2025</v>
      </c>
      <c r="B1575" s="12">
        <v>74</v>
      </c>
      <c r="C1575" s="8" t="s">
        <v>798</v>
      </c>
      <c r="D1575" s="5">
        <v>5.9370000000000003</v>
      </c>
      <c r="E1575" s="6">
        <v>1.1619999999999999</v>
      </c>
      <c r="F1575" s="6">
        <v>68</v>
      </c>
      <c r="G1575" s="6">
        <v>16</v>
      </c>
      <c r="H1575" s="6">
        <v>36</v>
      </c>
      <c r="I1575" s="7">
        <v>48</v>
      </c>
      <c r="J1575" s="6">
        <v>111</v>
      </c>
      <c r="K1575" s="6">
        <v>36</v>
      </c>
      <c r="L1575" s="6">
        <v>106</v>
      </c>
      <c r="M1575" s="6">
        <v>82</v>
      </c>
      <c r="N1575" s="6">
        <v>25</v>
      </c>
      <c r="O1575" s="6">
        <v>36</v>
      </c>
      <c r="P1575" s="6">
        <v>109</v>
      </c>
      <c r="Q1575" s="6">
        <v>18</v>
      </c>
    </row>
    <row r="1576" spans="1:17" ht="15.75" customHeight="1">
      <c r="A1576" s="1">
        <v>2025</v>
      </c>
      <c r="B1576" s="1">
        <v>75</v>
      </c>
      <c r="C1576" s="1" t="s">
        <v>163</v>
      </c>
      <c r="D1576" s="1">
        <v>5.9359999999999999</v>
      </c>
      <c r="E1576" s="1">
        <v>1.1020000000000001</v>
      </c>
      <c r="F1576" s="1">
        <v>55</v>
      </c>
      <c r="G1576" s="1">
        <v>5</v>
      </c>
      <c r="H1576" s="1">
        <v>66</v>
      </c>
      <c r="I1576" s="1">
        <v>80</v>
      </c>
      <c r="J1576" s="1">
        <v>116</v>
      </c>
      <c r="K1576" s="1">
        <v>30</v>
      </c>
      <c r="L1576" s="1">
        <v>107</v>
      </c>
      <c r="M1576" s="1">
        <v>119</v>
      </c>
      <c r="N1576" s="1">
        <v>20</v>
      </c>
      <c r="O1576" s="1">
        <v>30</v>
      </c>
      <c r="P1576" s="1">
        <v>10</v>
      </c>
      <c r="Q1576" s="1">
        <v>119</v>
      </c>
    </row>
    <row r="1577" spans="1:17" ht="15.75" customHeight="1">
      <c r="A1577" s="1">
        <v>2025</v>
      </c>
      <c r="B1577" s="1">
        <v>76</v>
      </c>
      <c r="C1577" s="1" t="s">
        <v>91</v>
      </c>
      <c r="D1577" s="1">
        <v>5.9050000000000002</v>
      </c>
      <c r="E1577" s="1" t="s">
        <v>754</v>
      </c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</row>
    <row r="1578" spans="1:17" ht="15.75" customHeight="1">
      <c r="A1578" s="1">
        <v>2025</v>
      </c>
      <c r="B1578" s="1">
        <v>77</v>
      </c>
      <c r="C1578" s="1" t="s">
        <v>285</v>
      </c>
      <c r="D1578" s="1">
        <v>5.851</v>
      </c>
      <c r="E1578" s="1">
        <v>0.06</v>
      </c>
      <c r="F1578" s="1">
        <v>70</v>
      </c>
      <c r="G1578" s="1">
        <v>87</v>
      </c>
      <c r="H1578" s="1">
        <v>69</v>
      </c>
      <c r="I1578" s="1">
        <v>81</v>
      </c>
      <c r="J1578" s="1">
        <v>37</v>
      </c>
      <c r="K1578" s="1">
        <v>100</v>
      </c>
      <c r="L1578" s="1">
        <v>120</v>
      </c>
      <c r="M1578" s="1">
        <v>49</v>
      </c>
      <c r="N1578" s="1">
        <v>75</v>
      </c>
      <c r="O1578" s="1">
        <v>100</v>
      </c>
      <c r="P1578" s="1">
        <v>118</v>
      </c>
      <c r="Q1578" s="1">
        <v>40</v>
      </c>
    </row>
    <row r="1579" spans="1:17" ht="15.75" customHeight="1">
      <c r="A1579" s="1">
        <v>2025</v>
      </c>
      <c r="B1579" s="1">
        <v>78</v>
      </c>
      <c r="C1579" s="1" t="s">
        <v>112</v>
      </c>
      <c r="D1579" s="1">
        <v>5.835</v>
      </c>
      <c r="E1579" s="1" t="s">
        <v>799</v>
      </c>
      <c r="F1579" s="1">
        <v>82</v>
      </c>
      <c r="G1579" s="1">
        <v>83</v>
      </c>
      <c r="H1579" s="1">
        <v>85</v>
      </c>
      <c r="I1579" s="1">
        <v>98</v>
      </c>
      <c r="J1579" s="1">
        <v>80</v>
      </c>
      <c r="K1579" s="1">
        <v>116</v>
      </c>
      <c r="L1579" s="1">
        <v>125</v>
      </c>
      <c r="M1579" s="1">
        <v>28</v>
      </c>
      <c r="N1579" s="1">
        <v>125</v>
      </c>
      <c r="O1579" s="1">
        <v>116</v>
      </c>
      <c r="P1579" s="1">
        <v>68</v>
      </c>
      <c r="Q1579" s="1">
        <v>69</v>
      </c>
    </row>
    <row r="1580" spans="1:17" ht="15.75" customHeight="1">
      <c r="A1580" s="1">
        <v>2025</v>
      </c>
      <c r="B1580" s="1">
        <v>79</v>
      </c>
      <c r="C1580" s="1" t="s">
        <v>108</v>
      </c>
      <c r="D1580" s="1">
        <v>5.8339999999999996</v>
      </c>
      <c r="E1580" s="1">
        <v>0.37</v>
      </c>
      <c r="F1580" s="1">
        <v>95</v>
      </c>
      <c r="G1580" s="1">
        <v>73</v>
      </c>
      <c r="H1580" s="1">
        <v>33</v>
      </c>
      <c r="I1580" s="1">
        <v>83</v>
      </c>
      <c r="J1580" s="1">
        <v>112</v>
      </c>
      <c r="K1580" s="1">
        <v>31</v>
      </c>
      <c r="L1580" s="1">
        <v>47</v>
      </c>
      <c r="M1580" s="1">
        <v>104</v>
      </c>
      <c r="N1580" s="1">
        <v>28</v>
      </c>
      <c r="O1580" s="1">
        <v>31</v>
      </c>
      <c r="P1580" s="1">
        <v>53</v>
      </c>
      <c r="Q1580" s="1">
        <v>30</v>
      </c>
    </row>
    <row r="1581" spans="1:17" ht="15.75" customHeight="1">
      <c r="A1581" s="1">
        <v>2025</v>
      </c>
      <c r="B1581" s="1">
        <v>80</v>
      </c>
      <c r="C1581" s="1" t="s">
        <v>93</v>
      </c>
      <c r="D1581" s="1">
        <v>5.7560000000000002</v>
      </c>
      <c r="E1581" s="1" t="s">
        <v>732</v>
      </c>
      <c r="F1581" s="1">
        <v>102</v>
      </c>
      <c r="G1581" s="1">
        <v>55</v>
      </c>
      <c r="H1581" s="1">
        <v>79</v>
      </c>
      <c r="I1581" s="1">
        <v>74</v>
      </c>
      <c r="J1581" s="1">
        <v>117</v>
      </c>
      <c r="K1581" s="1">
        <v>51</v>
      </c>
      <c r="L1581" s="1">
        <v>21</v>
      </c>
      <c r="M1581" s="1">
        <v>96</v>
      </c>
      <c r="N1581" s="1">
        <v>117</v>
      </c>
      <c r="O1581" s="1">
        <v>48</v>
      </c>
      <c r="P1581" s="1">
        <v>21</v>
      </c>
      <c r="Q1581" s="1"/>
    </row>
    <row r="1582" spans="1:17" ht="15.75" customHeight="1">
      <c r="A1582" s="1">
        <v>2025</v>
      </c>
      <c r="B1582" s="1">
        <v>81</v>
      </c>
      <c r="C1582" s="1" t="s">
        <v>122</v>
      </c>
      <c r="D1582" s="1">
        <v>5.7309999999999999</v>
      </c>
      <c r="E1582" s="1">
        <v>0.39100000000000001</v>
      </c>
      <c r="F1582" s="1">
        <v>32</v>
      </c>
      <c r="G1582" s="1">
        <v>94</v>
      </c>
      <c r="H1582" s="1">
        <v>78</v>
      </c>
      <c r="I1582" s="1"/>
      <c r="J1582" s="1">
        <v>87</v>
      </c>
      <c r="K1582" s="1">
        <v>85</v>
      </c>
      <c r="L1582" s="1">
        <v>21</v>
      </c>
      <c r="M1582" s="1">
        <v>123</v>
      </c>
      <c r="N1582" s="1">
        <v>71</v>
      </c>
      <c r="O1582" s="1">
        <v>85</v>
      </c>
      <c r="P1582" s="1">
        <v>106</v>
      </c>
      <c r="Q1582" s="1">
        <v>114</v>
      </c>
    </row>
    <row r="1583" spans="1:17" ht="15.75" customHeight="1">
      <c r="A1583" s="1">
        <v>2025</v>
      </c>
      <c r="B1583" s="1">
        <v>82</v>
      </c>
      <c r="C1583" s="1" t="s">
        <v>156</v>
      </c>
      <c r="D1583" s="1">
        <v>5.7190000000000003</v>
      </c>
      <c r="E1583" s="1">
        <v>1.145</v>
      </c>
      <c r="F1583" s="1">
        <v>53</v>
      </c>
      <c r="G1583" s="1">
        <v>43</v>
      </c>
      <c r="H1583" s="1">
        <v>55</v>
      </c>
      <c r="I1583" s="1">
        <v>60</v>
      </c>
      <c r="J1583" s="1">
        <v>120</v>
      </c>
      <c r="K1583" s="1">
        <v>43</v>
      </c>
      <c r="L1583" s="1">
        <v>128</v>
      </c>
      <c r="M1583" s="1">
        <v>132</v>
      </c>
      <c r="N1583" s="1">
        <v>81</v>
      </c>
      <c r="O1583" s="1">
        <v>43</v>
      </c>
      <c r="P1583" s="1">
        <v>128</v>
      </c>
      <c r="Q1583" s="1">
        <v>134</v>
      </c>
    </row>
    <row r="1584" spans="1:17" ht="15.75" customHeight="1">
      <c r="A1584" s="1">
        <v>2025</v>
      </c>
      <c r="B1584" s="1">
        <v>83</v>
      </c>
      <c r="C1584" s="1" t="s">
        <v>85</v>
      </c>
      <c r="D1584" s="1">
        <v>5.7140000000000004</v>
      </c>
      <c r="E1584" s="1">
        <v>0.29199999999999998</v>
      </c>
      <c r="F1584" s="1">
        <v>104</v>
      </c>
      <c r="G1584" s="1">
        <v>77</v>
      </c>
      <c r="H1584" s="1">
        <v>73</v>
      </c>
      <c r="I1584" s="1">
        <v>39</v>
      </c>
      <c r="J1584" s="1">
        <v>52</v>
      </c>
      <c r="K1584" s="1">
        <v>91</v>
      </c>
      <c r="L1584" s="1">
        <v>86</v>
      </c>
      <c r="M1584" s="1">
        <v>120</v>
      </c>
      <c r="N1584" s="1">
        <v>91</v>
      </c>
      <c r="O1584" s="1">
        <v>88</v>
      </c>
      <c r="P1584" s="1">
        <v>13</v>
      </c>
      <c r="Q1584" s="1"/>
    </row>
    <row r="1585" spans="1:17" ht="15.75" customHeight="1">
      <c r="A1585" s="1">
        <v>2025</v>
      </c>
      <c r="B1585" s="1">
        <v>84</v>
      </c>
      <c r="C1585" s="1" t="s">
        <v>205</v>
      </c>
      <c r="D1585" s="1">
        <v>5.7030000000000003</v>
      </c>
      <c r="E1585" s="1">
        <v>1.722</v>
      </c>
      <c r="F1585" s="1">
        <v>51</v>
      </c>
      <c r="G1585" s="1">
        <v>19</v>
      </c>
      <c r="H1585" s="1">
        <v>43</v>
      </c>
      <c r="I1585" s="1">
        <v>71</v>
      </c>
      <c r="J1585" s="1">
        <v>65</v>
      </c>
      <c r="K1585" s="1">
        <v>89</v>
      </c>
      <c r="L1585" s="1">
        <v>130</v>
      </c>
      <c r="M1585" s="1">
        <v>111</v>
      </c>
      <c r="N1585" s="1">
        <v>17</v>
      </c>
      <c r="O1585" s="1">
        <v>89</v>
      </c>
      <c r="P1585" s="1">
        <v>124</v>
      </c>
      <c r="Q1585" s="1">
        <v>126</v>
      </c>
    </row>
    <row r="1586" spans="1:17" ht="15.75" customHeight="1">
      <c r="A1586" s="1">
        <v>2025</v>
      </c>
      <c r="B1586" s="1">
        <v>85</v>
      </c>
      <c r="C1586" s="1" t="s">
        <v>160</v>
      </c>
      <c r="D1586" s="1">
        <v>5.6970000000000001</v>
      </c>
      <c r="E1586" s="1">
        <v>0.26200000000000001</v>
      </c>
      <c r="F1586" s="1">
        <v>64</v>
      </c>
      <c r="G1586" s="1">
        <v>79</v>
      </c>
      <c r="H1586" s="1">
        <v>39</v>
      </c>
      <c r="I1586" s="1">
        <v>27</v>
      </c>
      <c r="J1586" s="1">
        <v>134</v>
      </c>
      <c r="K1586" s="1">
        <v>111</v>
      </c>
      <c r="L1586" s="1">
        <v>111</v>
      </c>
      <c r="M1586" s="1">
        <v>112</v>
      </c>
      <c r="N1586" s="1">
        <v>106</v>
      </c>
      <c r="O1586" s="1">
        <v>111</v>
      </c>
      <c r="P1586" s="1">
        <v>90</v>
      </c>
      <c r="Q1586" s="1">
        <v>62</v>
      </c>
    </row>
    <row r="1587" spans="1:17" ht="15.75" customHeight="1">
      <c r="A1587" s="1">
        <v>2025</v>
      </c>
      <c r="B1587" s="1">
        <v>86</v>
      </c>
      <c r="C1587" s="1" t="s">
        <v>174</v>
      </c>
      <c r="D1587" s="1">
        <v>5.6619999999999999</v>
      </c>
      <c r="E1587" s="1">
        <v>0.112</v>
      </c>
      <c r="F1587" s="1">
        <v>97</v>
      </c>
      <c r="G1587" s="1">
        <v>89</v>
      </c>
      <c r="H1587" s="1">
        <v>56</v>
      </c>
      <c r="I1587" s="1">
        <v>35</v>
      </c>
      <c r="J1587" s="1">
        <v>34</v>
      </c>
      <c r="K1587" s="1">
        <v>53</v>
      </c>
      <c r="L1587" s="1">
        <v>98</v>
      </c>
      <c r="M1587" s="1">
        <v>100</v>
      </c>
      <c r="N1587" s="1">
        <v>67</v>
      </c>
      <c r="O1587" s="1">
        <v>53</v>
      </c>
      <c r="P1587" s="1">
        <v>133</v>
      </c>
      <c r="Q1587" s="1">
        <v>111</v>
      </c>
    </row>
    <row r="1588" spans="1:17" ht="15.75" customHeight="1">
      <c r="A1588" s="1">
        <v>2025</v>
      </c>
      <c r="B1588" s="1">
        <v>87</v>
      </c>
      <c r="C1588" s="1" t="s">
        <v>137</v>
      </c>
      <c r="D1588" s="1">
        <v>5.617</v>
      </c>
      <c r="E1588" s="1">
        <v>0.26900000000000002</v>
      </c>
      <c r="F1588" s="1">
        <v>83</v>
      </c>
      <c r="G1588" s="1">
        <v>80</v>
      </c>
      <c r="H1588" s="1">
        <v>75</v>
      </c>
      <c r="I1588" s="1">
        <v>85</v>
      </c>
      <c r="J1588" s="1">
        <v>29</v>
      </c>
      <c r="K1588" s="1">
        <v>1</v>
      </c>
      <c r="L1588" s="1">
        <v>126</v>
      </c>
      <c r="M1588" s="1">
        <v>4</v>
      </c>
      <c r="N1588" s="1">
        <v>88</v>
      </c>
      <c r="O1588" s="1">
        <v>1</v>
      </c>
      <c r="P1588" s="1">
        <v>1</v>
      </c>
      <c r="Q1588" s="1">
        <v>71</v>
      </c>
    </row>
    <row r="1589" spans="1:17" ht="15.75" customHeight="1">
      <c r="A1589" s="1">
        <v>2025</v>
      </c>
      <c r="B1589" s="1">
        <v>88</v>
      </c>
      <c r="C1589" s="1" t="s">
        <v>162</v>
      </c>
      <c r="D1589" s="1">
        <v>5.5910000000000002</v>
      </c>
      <c r="E1589" s="1">
        <v>1.2110000000000001</v>
      </c>
      <c r="F1589" s="1">
        <v>35</v>
      </c>
      <c r="G1589" s="1">
        <v>31</v>
      </c>
      <c r="H1589" s="1">
        <v>108</v>
      </c>
      <c r="I1589" s="1">
        <v>67</v>
      </c>
      <c r="J1589" s="1">
        <v>79</v>
      </c>
      <c r="K1589" s="1">
        <v>11</v>
      </c>
      <c r="L1589" s="1">
        <v>73</v>
      </c>
      <c r="M1589" s="1">
        <v>10</v>
      </c>
      <c r="N1589" s="1">
        <v>79</v>
      </c>
      <c r="O1589" s="1">
        <v>4</v>
      </c>
      <c r="P1589" s="1">
        <v>39</v>
      </c>
      <c r="Q1589" s="1"/>
    </row>
    <row r="1590" spans="1:17" ht="15.75" customHeight="1">
      <c r="A1590" s="1">
        <v>2025</v>
      </c>
      <c r="B1590" s="1">
        <v>89</v>
      </c>
      <c r="C1590" s="1" t="s">
        <v>192</v>
      </c>
      <c r="D1590" s="1">
        <v>5.5839999999999996</v>
      </c>
      <c r="E1590" s="1">
        <v>1.268</v>
      </c>
      <c r="F1590" s="1">
        <v>81</v>
      </c>
      <c r="G1590" s="1">
        <v>72</v>
      </c>
      <c r="H1590" s="1">
        <v>61</v>
      </c>
      <c r="I1590" s="1">
        <v>53</v>
      </c>
      <c r="J1590" s="1">
        <v>83</v>
      </c>
      <c r="K1590" s="1">
        <v>133</v>
      </c>
      <c r="L1590" s="1">
        <v>50</v>
      </c>
      <c r="M1590" s="1">
        <v>120</v>
      </c>
      <c r="N1590" s="1">
        <v>135</v>
      </c>
      <c r="O1590" s="1">
        <v>133</v>
      </c>
      <c r="P1590" s="1">
        <v>138</v>
      </c>
      <c r="Q1590" s="1">
        <v>95</v>
      </c>
    </row>
    <row r="1591" spans="1:17" ht="15.75" customHeight="1">
      <c r="A1591" s="1">
        <v>2025</v>
      </c>
      <c r="B1591" s="1">
        <v>90</v>
      </c>
      <c r="C1591" s="1" t="s">
        <v>132</v>
      </c>
      <c r="D1591" s="1">
        <v>5.569</v>
      </c>
      <c r="E1591" s="1">
        <v>4.5999999999999999E-2</v>
      </c>
      <c r="F1591" s="1">
        <v>11</v>
      </c>
      <c r="G1591" s="1">
        <v>60</v>
      </c>
      <c r="H1591" s="1">
        <v>82</v>
      </c>
      <c r="I1591" s="1"/>
      <c r="J1591" s="1">
        <v>34</v>
      </c>
      <c r="K1591" s="1">
        <v>7</v>
      </c>
      <c r="L1591" s="1">
        <v>116</v>
      </c>
      <c r="M1591" s="1">
        <v>12</v>
      </c>
      <c r="N1591" s="1">
        <v>34</v>
      </c>
      <c r="O1591" s="1">
        <v>80</v>
      </c>
      <c r="P1591" s="1">
        <v>91</v>
      </c>
      <c r="Q1591" s="1"/>
    </row>
    <row r="1592" spans="1:17" ht="15.75" customHeight="1">
      <c r="A1592" s="1">
        <v>2025</v>
      </c>
      <c r="B1592" s="1">
        <v>91</v>
      </c>
      <c r="C1592" s="1" t="s">
        <v>201</v>
      </c>
      <c r="D1592" s="1">
        <v>5.5170000000000003</v>
      </c>
      <c r="E1592" s="1">
        <v>67</v>
      </c>
      <c r="F1592" s="1">
        <v>75</v>
      </c>
      <c r="G1592" s="1">
        <v>52</v>
      </c>
      <c r="H1592" s="1">
        <v>51</v>
      </c>
      <c r="I1592" s="1">
        <v>70</v>
      </c>
      <c r="J1592" s="1">
        <v>138</v>
      </c>
      <c r="K1592" s="1">
        <v>44</v>
      </c>
      <c r="L1592" s="1">
        <v>126</v>
      </c>
      <c r="M1592" s="1">
        <v>14</v>
      </c>
      <c r="N1592" s="1">
        <v>138</v>
      </c>
      <c r="O1592" s="1">
        <v>93</v>
      </c>
      <c r="P1592" s="1">
        <v>51</v>
      </c>
      <c r="Q1592" s="1"/>
    </row>
    <row r="1593" spans="1:17" ht="15.75" customHeight="1">
      <c r="A1593" s="1">
        <v>2025</v>
      </c>
      <c r="B1593" s="1">
        <v>92</v>
      </c>
      <c r="C1593" s="1" t="s">
        <v>164</v>
      </c>
      <c r="D1593" s="1">
        <v>5.5149999999999997</v>
      </c>
      <c r="E1593" s="1">
        <v>0.72799999999999998</v>
      </c>
      <c r="F1593" s="1">
        <v>113</v>
      </c>
      <c r="G1593" s="1">
        <v>114</v>
      </c>
      <c r="H1593" s="1">
        <v>93</v>
      </c>
      <c r="I1593" s="1">
        <v>87</v>
      </c>
      <c r="J1593" s="1">
        <v>12</v>
      </c>
      <c r="K1593" s="1">
        <v>52</v>
      </c>
      <c r="L1593" s="1">
        <v>35</v>
      </c>
      <c r="M1593" s="1">
        <v>32</v>
      </c>
      <c r="N1593" s="1">
        <v>99</v>
      </c>
      <c r="O1593" s="1">
        <v>52</v>
      </c>
      <c r="P1593" s="1">
        <v>105</v>
      </c>
      <c r="Q1593" s="1">
        <v>135</v>
      </c>
    </row>
    <row r="1594" spans="1:17" ht="15.75" customHeight="1">
      <c r="A1594" s="1">
        <v>2025</v>
      </c>
      <c r="B1594" s="12">
        <v>93</v>
      </c>
      <c r="C1594" s="8" t="s">
        <v>800</v>
      </c>
      <c r="D1594" s="5">
        <v>5.3360000000000003</v>
      </c>
      <c r="E1594" s="6">
        <v>0.36499999999999999</v>
      </c>
      <c r="F1594" s="6">
        <v>138</v>
      </c>
      <c r="G1594" s="6">
        <v>103</v>
      </c>
      <c r="H1594" s="6">
        <v>130</v>
      </c>
      <c r="I1594" s="10">
        <v>117</v>
      </c>
      <c r="J1594" s="6">
        <v>94</v>
      </c>
      <c r="K1594" s="6">
        <v>121</v>
      </c>
      <c r="L1594" s="6">
        <v>46</v>
      </c>
      <c r="M1594" s="6">
        <v>97</v>
      </c>
      <c r="N1594" s="6">
        <v>118</v>
      </c>
      <c r="O1594" s="6">
        <v>121</v>
      </c>
      <c r="P1594" s="6">
        <v>50</v>
      </c>
      <c r="Q1594" s="6">
        <v>106</v>
      </c>
    </row>
    <row r="1595" spans="1:17" ht="15.75" customHeight="1">
      <c r="A1595" s="1">
        <v>2025</v>
      </c>
      <c r="B1595" s="12">
        <v>94</v>
      </c>
      <c r="C1595" s="8" t="s">
        <v>801</v>
      </c>
      <c r="D1595" s="5">
        <v>5.3</v>
      </c>
      <c r="E1595" s="9" t="s">
        <v>633</v>
      </c>
      <c r="F1595" s="6">
        <v>43</v>
      </c>
      <c r="G1595" s="6">
        <v>71</v>
      </c>
      <c r="H1595" s="6">
        <v>40</v>
      </c>
      <c r="I1595" s="7">
        <v>42</v>
      </c>
      <c r="J1595" s="6">
        <v>135</v>
      </c>
      <c r="K1595" s="6">
        <v>97</v>
      </c>
      <c r="L1595" s="6">
        <v>84</v>
      </c>
      <c r="M1595" s="6">
        <v>139</v>
      </c>
      <c r="N1595" s="6">
        <v>113</v>
      </c>
      <c r="O1595" s="6">
        <v>97</v>
      </c>
      <c r="P1595" s="6">
        <v>125</v>
      </c>
      <c r="Q1595" s="6">
        <v>100</v>
      </c>
    </row>
    <row r="1596" spans="1:17" ht="15.75" customHeight="1">
      <c r="A1596" s="1">
        <v>2025</v>
      </c>
      <c r="B1596" s="1">
        <v>95</v>
      </c>
      <c r="C1596" s="1" t="s">
        <v>179</v>
      </c>
      <c r="D1596" s="1">
        <v>5.2119999999999997</v>
      </c>
      <c r="E1596" s="1">
        <v>0.39500000000000002</v>
      </c>
      <c r="F1596" s="1">
        <v>115</v>
      </c>
      <c r="G1596" s="1">
        <v>100</v>
      </c>
      <c r="H1596" s="1">
        <v>82</v>
      </c>
      <c r="I1596" s="1">
        <v>82</v>
      </c>
      <c r="J1596" s="1">
        <v>130</v>
      </c>
      <c r="K1596" s="1">
        <v>77</v>
      </c>
      <c r="L1596" s="1">
        <v>86</v>
      </c>
      <c r="M1596" s="1">
        <v>114</v>
      </c>
      <c r="N1596" s="1">
        <v>137</v>
      </c>
      <c r="O1596" s="1">
        <v>77</v>
      </c>
      <c r="P1596" s="1">
        <v>116</v>
      </c>
      <c r="Q1596" s="1">
        <v>44</v>
      </c>
    </row>
    <row r="1597" spans="1:17" ht="15.75" customHeight="1">
      <c r="A1597" s="1">
        <v>2025</v>
      </c>
      <c r="B1597" s="1">
        <v>96</v>
      </c>
      <c r="C1597" s="1" t="s">
        <v>306</v>
      </c>
      <c r="D1597" s="1">
        <v>5.1669999999999998</v>
      </c>
      <c r="E1597" s="1">
        <v>1.0529999999999999</v>
      </c>
      <c r="F1597" s="1">
        <v>105</v>
      </c>
      <c r="G1597" s="1">
        <v>111</v>
      </c>
      <c r="H1597" s="1">
        <v>63</v>
      </c>
      <c r="I1597" s="1">
        <v>101</v>
      </c>
      <c r="J1597" s="1">
        <v>84</v>
      </c>
      <c r="K1597" s="1">
        <v>126</v>
      </c>
      <c r="L1597" s="1">
        <v>72</v>
      </c>
      <c r="M1597" s="1">
        <v>91</v>
      </c>
      <c r="N1597" s="1">
        <v>119</v>
      </c>
      <c r="O1597" s="1">
        <v>126</v>
      </c>
      <c r="P1597" s="1">
        <v>108</v>
      </c>
      <c r="Q1597" s="1">
        <v>42</v>
      </c>
    </row>
    <row r="1598" spans="1:17" ht="15.75" customHeight="1">
      <c r="A1598" s="1">
        <v>2025</v>
      </c>
      <c r="B1598" s="1">
        <v>97</v>
      </c>
      <c r="C1598" s="1" t="s">
        <v>169</v>
      </c>
      <c r="D1598" s="1">
        <v>5.1509999999999998</v>
      </c>
      <c r="E1598" s="1">
        <v>0.50800000000000001</v>
      </c>
      <c r="F1598" s="1"/>
      <c r="G1598" s="1"/>
      <c r="H1598" s="1"/>
      <c r="I1598" s="1">
        <v>54</v>
      </c>
      <c r="J1598" s="1"/>
      <c r="K1598" s="1"/>
      <c r="L1598" s="1"/>
      <c r="M1598" s="1"/>
      <c r="N1598" s="1"/>
      <c r="O1598" s="1"/>
      <c r="P1598" s="1"/>
      <c r="Q1598" s="1"/>
    </row>
    <row r="1599" spans="1:17" ht="15.75" customHeight="1">
      <c r="A1599" s="1">
        <v>2025</v>
      </c>
      <c r="B1599" s="1">
        <v>98</v>
      </c>
      <c r="C1599" s="1" t="s">
        <v>220</v>
      </c>
      <c r="D1599" s="1">
        <v>5.1479999999999997</v>
      </c>
      <c r="E1599" s="1">
        <v>109</v>
      </c>
      <c r="F1599" s="1">
        <v>122</v>
      </c>
      <c r="G1599" s="1">
        <v>99</v>
      </c>
      <c r="H1599" s="1">
        <v>72</v>
      </c>
      <c r="I1599" s="1"/>
      <c r="J1599" s="1">
        <v>75</v>
      </c>
      <c r="K1599" s="1">
        <v>39</v>
      </c>
      <c r="L1599" s="1">
        <v>78</v>
      </c>
      <c r="M1599" s="1">
        <v>108</v>
      </c>
      <c r="N1599" s="1">
        <v>75</v>
      </c>
      <c r="O1599" s="1">
        <v>66</v>
      </c>
      <c r="P1599" s="1">
        <v>35</v>
      </c>
      <c r="Q1599" s="1"/>
    </row>
    <row r="1600" spans="1:17" ht="15.75" customHeight="1">
      <c r="A1600" s="1">
        <v>2025</v>
      </c>
      <c r="B1600" s="1">
        <v>99</v>
      </c>
      <c r="C1600" s="1" t="s">
        <v>172</v>
      </c>
      <c r="D1600" s="1">
        <v>5.1470000000000002</v>
      </c>
      <c r="E1600" s="1">
        <v>0.99099999999999999</v>
      </c>
      <c r="F1600" s="1">
        <v>103</v>
      </c>
      <c r="G1600" s="1">
        <v>88</v>
      </c>
      <c r="H1600" s="1">
        <v>106</v>
      </c>
      <c r="I1600" s="1">
        <v>89</v>
      </c>
      <c r="J1600" s="1">
        <v>63</v>
      </c>
      <c r="K1600" s="1">
        <v>124</v>
      </c>
      <c r="L1600" s="1">
        <v>118</v>
      </c>
      <c r="M1600" s="1">
        <v>136</v>
      </c>
      <c r="N1600" s="1">
        <v>66</v>
      </c>
      <c r="O1600" s="1">
        <v>124</v>
      </c>
      <c r="P1600" s="1">
        <v>86</v>
      </c>
      <c r="Q1600" s="1">
        <v>130</v>
      </c>
    </row>
    <row r="1601" spans="1:17" ht="15.75" customHeight="1">
      <c r="A1601" s="1">
        <v>2025</v>
      </c>
      <c r="B1601" s="1">
        <v>100</v>
      </c>
      <c r="C1601" s="1" t="s">
        <v>182</v>
      </c>
      <c r="D1601" s="1">
        <v>5.0830000000000002</v>
      </c>
      <c r="E1601" s="1">
        <v>0.66300000000000003</v>
      </c>
      <c r="F1601" s="1">
        <v>121</v>
      </c>
      <c r="G1601" s="1">
        <v>108</v>
      </c>
      <c r="H1601" s="1">
        <v>109</v>
      </c>
      <c r="I1601" s="1">
        <v>108</v>
      </c>
      <c r="J1601" s="1">
        <v>106</v>
      </c>
      <c r="K1601" s="1">
        <v>95</v>
      </c>
      <c r="L1601" s="1">
        <v>119</v>
      </c>
      <c r="M1601" s="1">
        <v>94</v>
      </c>
      <c r="N1601" s="1">
        <v>116</v>
      </c>
      <c r="O1601" s="1">
        <v>95</v>
      </c>
      <c r="P1601" s="1">
        <v>72</v>
      </c>
      <c r="Q1601" s="1">
        <v>17</v>
      </c>
    </row>
    <row r="1602" spans="1:17" ht="15.75" customHeight="1">
      <c r="A1602" s="1">
        <v>2025</v>
      </c>
      <c r="B1602" s="1">
        <v>101</v>
      </c>
      <c r="C1602" s="1" t="s">
        <v>185</v>
      </c>
      <c r="D1602" s="1">
        <v>5.0090000000000003</v>
      </c>
      <c r="E1602" s="1">
        <v>4.5999999999999999E-2</v>
      </c>
      <c r="F1602" s="1">
        <v>123</v>
      </c>
      <c r="G1602" s="1">
        <v>69</v>
      </c>
      <c r="H1602" s="1">
        <v>79</v>
      </c>
      <c r="I1602" s="1">
        <v>114</v>
      </c>
      <c r="J1602" s="1">
        <v>100</v>
      </c>
      <c r="K1602" s="1">
        <v>94</v>
      </c>
      <c r="L1602" s="1">
        <v>93</v>
      </c>
      <c r="M1602" s="1">
        <v>51</v>
      </c>
      <c r="N1602" s="1">
        <v>59</v>
      </c>
      <c r="O1602" s="1">
        <v>94</v>
      </c>
      <c r="P1602" s="1">
        <v>64</v>
      </c>
      <c r="Q1602" s="1">
        <v>45</v>
      </c>
    </row>
    <row r="1603" spans="1:17" ht="15.75" customHeight="1">
      <c r="A1603" s="1">
        <v>2025</v>
      </c>
      <c r="B1603" s="1">
        <v>102</v>
      </c>
      <c r="C1603" s="1" t="s">
        <v>140</v>
      </c>
      <c r="D1603" s="1">
        <v>4.9930000000000003</v>
      </c>
      <c r="E1603" s="1">
        <v>0.38900000000000001</v>
      </c>
      <c r="F1603" s="1">
        <v>12</v>
      </c>
      <c r="G1603" s="1">
        <v>92</v>
      </c>
      <c r="H1603" s="1">
        <v>57</v>
      </c>
      <c r="I1603" s="1"/>
      <c r="J1603" s="1">
        <v>54</v>
      </c>
      <c r="K1603" s="1">
        <v>84</v>
      </c>
      <c r="L1603" s="1">
        <v>27</v>
      </c>
      <c r="M1603" s="1">
        <v>127</v>
      </c>
      <c r="N1603" s="1">
        <v>7</v>
      </c>
      <c r="O1603" s="1">
        <v>84</v>
      </c>
      <c r="P1603" s="1">
        <v>123</v>
      </c>
      <c r="Q1603" s="1">
        <v>75</v>
      </c>
    </row>
    <row r="1604" spans="1:17" ht="15.75" customHeight="1">
      <c r="A1604" s="1">
        <v>2025</v>
      </c>
      <c r="B1604" s="1">
        <v>103</v>
      </c>
      <c r="C1604" s="1" t="s">
        <v>224</v>
      </c>
      <c r="D1604" s="1">
        <v>4.9400000000000004</v>
      </c>
      <c r="E1604" s="1">
        <v>0.78800000000000003</v>
      </c>
      <c r="F1604" s="1">
        <v>128</v>
      </c>
      <c r="G1604" s="1">
        <v>128</v>
      </c>
      <c r="H1604" s="1">
        <v>125</v>
      </c>
      <c r="I1604" s="1"/>
      <c r="J1604" s="1">
        <v>73</v>
      </c>
      <c r="K1604" s="1">
        <v>96</v>
      </c>
      <c r="L1604" s="1">
        <v>20</v>
      </c>
      <c r="M1604" s="1">
        <v>114</v>
      </c>
      <c r="N1604" s="1">
        <v>96</v>
      </c>
      <c r="O1604" s="1">
        <v>58</v>
      </c>
      <c r="P1604" s="1">
        <v>4</v>
      </c>
      <c r="Q1604" s="1"/>
    </row>
    <row r="1605" spans="1:17" ht="15.75" customHeight="1">
      <c r="A1605" s="1">
        <v>2025</v>
      </c>
      <c r="B1605" s="1">
        <v>104</v>
      </c>
      <c r="C1605" s="1" t="s">
        <v>152</v>
      </c>
      <c r="D1605" s="1">
        <v>4.8680000000000003</v>
      </c>
      <c r="E1605" s="1" t="s">
        <v>802</v>
      </c>
      <c r="F1605" s="1">
        <v>124</v>
      </c>
      <c r="G1605" s="1">
        <v>135</v>
      </c>
      <c r="H1605" s="1">
        <v>104</v>
      </c>
      <c r="I1605" s="1">
        <v>100</v>
      </c>
      <c r="J1605" s="1">
        <v>132</v>
      </c>
      <c r="K1605" s="1">
        <v>48</v>
      </c>
      <c r="L1605" s="1">
        <v>62</v>
      </c>
      <c r="M1605" s="1">
        <v>137</v>
      </c>
      <c r="N1605" s="1">
        <v>109</v>
      </c>
      <c r="O1605" s="1">
        <v>48</v>
      </c>
      <c r="P1605" s="1">
        <v>87</v>
      </c>
      <c r="Q1605" s="1">
        <v>99</v>
      </c>
    </row>
    <row r="1606" spans="1:17" ht="15.75" customHeight="1">
      <c r="A1606" s="1">
        <v>2025</v>
      </c>
      <c r="B1606" s="1">
        <v>105</v>
      </c>
      <c r="C1606" s="1" t="s">
        <v>159</v>
      </c>
      <c r="D1606" s="1">
        <v>4.798</v>
      </c>
      <c r="E1606" s="1" t="s">
        <v>803</v>
      </c>
      <c r="F1606" s="1">
        <v>65</v>
      </c>
      <c r="G1606" s="1">
        <v>107</v>
      </c>
      <c r="H1606" s="1">
        <v>80</v>
      </c>
      <c r="I1606" s="1">
        <v>62</v>
      </c>
      <c r="J1606" s="1">
        <v>96</v>
      </c>
      <c r="K1606" s="1">
        <v>136</v>
      </c>
      <c r="L1606" s="1">
        <v>94</v>
      </c>
      <c r="M1606" s="1">
        <v>129</v>
      </c>
      <c r="N1606" s="1">
        <v>115</v>
      </c>
      <c r="O1606" s="1">
        <v>136</v>
      </c>
      <c r="P1606" s="1">
        <v>107</v>
      </c>
      <c r="Q1606" s="1">
        <v>33</v>
      </c>
    </row>
    <row r="1607" spans="1:17" ht="15.75" customHeight="1">
      <c r="A1607" s="1">
        <v>2025</v>
      </c>
      <c r="B1607" s="1">
        <v>106</v>
      </c>
      <c r="C1607" s="1" t="s">
        <v>165</v>
      </c>
      <c r="D1607" s="1">
        <v>4.7880000000000003</v>
      </c>
      <c r="E1607" s="1" t="s">
        <v>804</v>
      </c>
      <c r="F1607" s="1">
        <v>44</v>
      </c>
      <c r="G1607" s="1">
        <v>98</v>
      </c>
      <c r="H1607" s="1">
        <v>95</v>
      </c>
      <c r="I1607" s="1">
        <v>104</v>
      </c>
      <c r="J1607" s="1">
        <v>115</v>
      </c>
      <c r="K1607" s="1">
        <v>41</v>
      </c>
      <c r="L1607" s="1">
        <v>122</v>
      </c>
      <c r="M1607" s="1">
        <v>42</v>
      </c>
      <c r="N1607" s="1">
        <v>57</v>
      </c>
      <c r="O1607" s="1">
        <v>41</v>
      </c>
      <c r="P1607" s="1">
        <v>9</v>
      </c>
      <c r="Q1607" s="1">
        <v>24</v>
      </c>
    </row>
    <row r="1608" spans="1:17" ht="15.75" customHeight="1">
      <c r="A1608" s="1">
        <v>2025</v>
      </c>
      <c r="B1608" s="1">
        <v>107</v>
      </c>
      <c r="C1608" s="1" t="s">
        <v>204</v>
      </c>
      <c r="D1608" s="1">
        <v>4.7869999999999999</v>
      </c>
      <c r="E1608" s="1">
        <v>0.82799999999999996</v>
      </c>
      <c r="F1608" s="1">
        <v>74</v>
      </c>
      <c r="G1608" s="1">
        <v>118</v>
      </c>
      <c r="H1608" s="1">
        <v>110</v>
      </c>
      <c r="I1608" s="1">
        <v>92</v>
      </c>
      <c r="J1608" s="1">
        <v>76</v>
      </c>
      <c r="K1608" s="1">
        <v>101</v>
      </c>
      <c r="L1608" s="1">
        <v>58</v>
      </c>
      <c r="M1608" s="1">
        <v>3</v>
      </c>
      <c r="N1608" s="1">
        <v>42</v>
      </c>
      <c r="O1608" s="1">
        <v>101</v>
      </c>
      <c r="P1608" s="1">
        <v>67</v>
      </c>
      <c r="Q1608" s="1">
        <v>9</v>
      </c>
    </row>
    <row r="1609" spans="1:17" ht="15.75" customHeight="1">
      <c r="A1609" s="1">
        <v>2025</v>
      </c>
      <c r="B1609" s="1">
        <v>108</v>
      </c>
      <c r="C1609" s="1" t="s">
        <v>181</v>
      </c>
      <c r="D1609" s="1">
        <v>4.7809999999999997</v>
      </c>
      <c r="E1609" s="1">
        <v>61</v>
      </c>
      <c r="F1609" s="1">
        <v>51</v>
      </c>
      <c r="G1609" s="1">
        <v>90</v>
      </c>
      <c r="H1609" s="1">
        <v>129</v>
      </c>
      <c r="I1609" s="1">
        <v>113</v>
      </c>
      <c r="J1609" s="1">
        <v>129</v>
      </c>
      <c r="K1609" s="1">
        <v>102</v>
      </c>
      <c r="L1609" s="1">
        <v>105</v>
      </c>
      <c r="M1609" s="1">
        <v>27</v>
      </c>
      <c r="N1609" s="1">
        <v>129</v>
      </c>
      <c r="O1609" s="1">
        <v>51</v>
      </c>
      <c r="P1609" s="1">
        <v>102</v>
      </c>
      <c r="Q1609" s="1"/>
    </row>
    <row r="1610" spans="1:17" ht="15.75" customHeight="1">
      <c r="A1610" s="1">
        <v>2025</v>
      </c>
      <c r="B1610" s="1">
        <v>109</v>
      </c>
      <c r="C1610" s="1" t="s">
        <v>173</v>
      </c>
      <c r="D1610" s="1">
        <v>4.694</v>
      </c>
      <c r="E1610" s="1" t="s">
        <v>309</v>
      </c>
      <c r="F1610" s="1">
        <v>110</v>
      </c>
      <c r="G1610" s="1">
        <v>54</v>
      </c>
      <c r="H1610" s="1">
        <v>119</v>
      </c>
      <c r="I1610" s="1"/>
      <c r="J1610" s="1">
        <v>120</v>
      </c>
      <c r="K1610" s="1">
        <v>68</v>
      </c>
      <c r="L1610" s="1">
        <v>122</v>
      </c>
      <c r="M1610" s="1">
        <v>132</v>
      </c>
      <c r="N1610" s="1">
        <v>120</v>
      </c>
      <c r="O1610" s="1">
        <v>120</v>
      </c>
      <c r="P1610" s="1">
        <v>72</v>
      </c>
      <c r="Q1610" s="1"/>
    </row>
    <row r="1611" spans="1:17" ht="15.75" customHeight="1">
      <c r="A1611" s="1">
        <v>2025</v>
      </c>
      <c r="B1611" s="1">
        <v>110</v>
      </c>
      <c r="C1611" s="1" t="s">
        <v>193</v>
      </c>
      <c r="D1611" s="1">
        <v>4.6740000000000004</v>
      </c>
      <c r="E1611" s="1">
        <v>0.27100000000000002</v>
      </c>
      <c r="F1611" s="1">
        <v>133</v>
      </c>
      <c r="G1611" s="1">
        <v>117</v>
      </c>
      <c r="H1611" s="1">
        <v>103</v>
      </c>
      <c r="I1611" s="1">
        <v>94</v>
      </c>
      <c r="J1611" s="1">
        <v>102</v>
      </c>
      <c r="K1611" s="1">
        <v>15</v>
      </c>
      <c r="L1611" s="1">
        <v>83</v>
      </c>
      <c r="M1611" s="1">
        <v>37</v>
      </c>
      <c r="N1611" s="1">
        <v>61</v>
      </c>
      <c r="O1611" s="1">
        <v>15</v>
      </c>
      <c r="P1611" s="1">
        <v>3</v>
      </c>
      <c r="Q1611" s="1">
        <v>1</v>
      </c>
    </row>
    <row r="1612" spans="1:17" ht="15.75" customHeight="1">
      <c r="A1612" s="1">
        <v>2025</v>
      </c>
      <c r="B1612" s="1">
        <v>111</v>
      </c>
      <c r="C1612" s="1" t="s">
        <v>195</v>
      </c>
      <c r="D1612" s="1">
        <v>4.6580000000000004</v>
      </c>
      <c r="E1612" s="1" t="s">
        <v>805</v>
      </c>
      <c r="F1612" s="1">
        <v>90</v>
      </c>
      <c r="G1612" s="1">
        <v>74</v>
      </c>
      <c r="H1612" s="1">
        <v>71</v>
      </c>
      <c r="I1612" s="1">
        <v>78</v>
      </c>
      <c r="J1612" s="1">
        <v>128</v>
      </c>
      <c r="K1612" s="1">
        <v>4</v>
      </c>
      <c r="L1612" s="1">
        <v>129</v>
      </c>
      <c r="M1612" s="1">
        <v>128</v>
      </c>
      <c r="N1612" s="1">
        <v>127</v>
      </c>
      <c r="O1612" s="1">
        <v>4</v>
      </c>
      <c r="P1612" s="1">
        <v>49</v>
      </c>
      <c r="Q1612" s="1">
        <v>10</v>
      </c>
    </row>
    <row r="1613" spans="1:17" ht="15.75" customHeight="1">
      <c r="A1613" s="1">
        <v>2025</v>
      </c>
      <c r="B1613" s="12">
        <v>112</v>
      </c>
      <c r="C1613" s="8" t="s">
        <v>806</v>
      </c>
      <c r="D1613" s="5">
        <v>4.6459999999999999</v>
      </c>
      <c r="E1613" s="9" t="s">
        <v>374</v>
      </c>
      <c r="F1613" s="6">
        <v>99</v>
      </c>
      <c r="G1613" s="6">
        <v>138</v>
      </c>
      <c r="H1613" s="6">
        <v>92</v>
      </c>
      <c r="I1613" s="7">
        <v>72</v>
      </c>
      <c r="J1613" s="6">
        <v>105</v>
      </c>
      <c r="K1613" s="6">
        <v>139</v>
      </c>
      <c r="L1613" s="6">
        <v>105</v>
      </c>
      <c r="M1613" s="6">
        <v>134</v>
      </c>
      <c r="N1613" s="6">
        <v>123</v>
      </c>
      <c r="O1613" s="6">
        <v>139</v>
      </c>
      <c r="P1613" s="6">
        <v>134</v>
      </c>
      <c r="Q1613" s="6">
        <v>86</v>
      </c>
    </row>
    <row r="1614" spans="1:17" ht="15.75" customHeight="1">
      <c r="A1614" s="1">
        <v>2025</v>
      </c>
      <c r="B1614" s="12">
        <v>113</v>
      </c>
      <c r="C1614" s="8" t="s">
        <v>807</v>
      </c>
      <c r="D1614" s="5">
        <v>4.609</v>
      </c>
      <c r="E1614" s="6">
        <v>0.76200000000000001</v>
      </c>
      <c r="F1614" s="6">
        <v>125</v>
      </c>
      <c r="G1614" s="6">
        <v>131</v>
      </c>
      <c r="H1614" s="6">
        <v>111</v>
      </c>
      <c r="I1614" s="10">
        <v>110</v>
      </c>
      <c r="J1614" s="6">
        <v>55</v>
      </c>
      <c r="K1614" s="6">
        <v>72</v>
      </c>
      <c r="L1614" s="6">
        <v>66</v>
      </c>
      <c r="M1614" s="6">
        <v>55</v>
      </c>
      <c r="N1614" s="6">
        <v>134</v>
      </c>
      <c r="O1614" s="6">
        <v>72</v>
      </c>
      <c r="P1614" s="6">
        <v>38</v>
      </c>
      <c r="Q1614" s="6">
        <v>23</v>
      </c>
    </row>
    <row r="1615" spans="1:17" ht="15.75" customHeight="1">
      <c r="A1615" s="1">
        <v>2025</v>
      </c>
      <c r="B1615" s="1">
        <v>114</v>
      </c>
      <c r="C1615" s="1" t="s">
        <v>311</v>
      </c>
      <c r="D1615" s="1">
        <v>4.5880000000000001</v>
      </c>
      <c r="E1615" s="1">
        <v>0.34100000000000003</v>
      </c>
      <c r="F1615" s="1">
        <v>122</v>
      </c>
      <c r="G1615" s="1">
        <v>116</v>
      </c>
      <c r="H1615" s="1">
        <v>121</v>
      </c>
      <c r="I1615" s="1">
        <v>109</v>
      </c>
      <c r="J1615" s="1">
        <v>58</v>
      </c>
      <c r="K1615" s="1">
        <v>132</v>
      </c>
      <c r="L1615" s="1">
        <v>76</v>
      </c>
      <c r="M1615" s="1">
        <v>58</v>
      </c>
      <c r="N1615" s="1">
        <v>124</v>
      </c>
      <c r="O1615" s="1">
        <v>132</v>
      </c>
      <c r="P1615" s="1">
        <v>61</v>
      </c>
      <c r="Q1615" s="1">
        <v>117</v>
      </c>
    </row>
    <row r="1616" spans="1:17" ht="15.75" customHeight="1">
      <c r="A1616" s="1">
        <v>2025</v>
      </c>
      <c r="B1616" s="1">
        <v>115</v>
      </c>
      <c r="C1616" s="1" t="s">
        <v>197</v>
      </c>
      <c r="D1616" s="1">
        <v>4.5540000000000003</v>
      </c>
      <c r="E1616" s="1" t="s">
        <v>808</v>
      </c>
      <c r="F1616" s="1">
        <v>45</v>
      </c>
      <c r="G1616" s="1">
        <v>102</v>
      </c>
      <c r="H1616" s="1">
        <v>98</v>
      </c>
      <c r="I1616" s="1">
        <v>97</v>
      </c>
      <c r="J1616" s="1">
        <v>47</v>
      </c>
      <c r="K1616" s="1">
        <v>70</v>
      </c>
      <c r="L1616" s="1">
        <v>110</v>
      </c>
      <c r="M1616" s="1">
        <v>57</v>
      </c>
      <c r="N1616" s="1">
        <v>79</v>
      </c>
      <c r="O1616" s="1">
        <v>70</v>
      </c>
      <c r="P1616" s="1">
        <v>7</v>
      </c>
      <c r="Q1616" s="1">
        <v>56</v>
      </c>
    </row>
    <row r="1617" spans="1:17" ht="15.75" customHeight="1">
      <c r="A1617" s="1">
        <v>2025</v>
      </c>
      <c r="B1617" s="1">
        <v>116</v>
      </c>
      <c r="C1617" s="1" t="s">
        <v>188</v>
      </c>
      <c r="D1617" s="1">
        <v>4.5359999999999996</v>
      </c>
      <c r="E1617" s="1" t="s">
        <v>809</v>
      </c>
      <c r="F1617" s="1">
        <v>92</v>
      </c>
      <c r="G1617" s="1">
        <v>123</v>
      </c>
      <c r="H1617" s="1">
        <v>89</v>
      </c>
      <c r="I1617" s="1">
        <v>95</v>
      </c>
      <c r="J1617" s="1">
        <v>61</v>
      </c>
      <c r="K1617" s="1">
        <v>78</v>
      </c>
      <c r="L1617" s="1">
        <v>64</v>
      </c>
      <c r="M1617" s="1">
        <v>60</v>
      </c>
      <c r="N1617" s="1">
        <v>94</v>
      </c>
      <c r="O1617" s="1">
        <v>78</v>
      </c>
      <c r="P1617" s="1">
        <v>45</v>
      </c>
      <c r="Q1617" s="1">
        <v>121</v>
      </c>
    </row>
    <row r="1618" spans="1:17" ht="15.75" customHeight="1">
      <c r="A1618" s="1">
        <v>2025</v>
      </c>
      <c r="B1618" s="1">
        <v>117</v>
      </c>
      <c r="C1618" s="1" t="s">
        <v>134</v>
      </c>
      <c r="D1618" s="1">
        <v>4.508</v>
      </c>
      <c r="E1618" s="1">
        <v>78</v>
      </c>
      <c r="F1618" s="1">
        <v>115</v>
      </c>
      <c r="G1618" s="1">
        <v>131</v>
      </c>
      <c r="H1618" s="1">
        <v>103</v>
      </c>
      <c r="I1618" s="1"/>
      <c r="J1618" s="1">
        <v>106</v>
      </c>
      <c r="K1618" s="1">
        <v>26</v>
      </c>
      <c r="L1618" s="1">
        <v>50</v>
      </c>
      <c r="M1618" s="1">
        <v>52</v>
      </c>
      <c r="N1618" s="1">
        <v>106</v>
      </c>
      <c r="O1618" s="1">
        <v>82</v>
      </c>
      <c r="P1618" s="1">
        <v>78</v>
      </c>
      <c r="Q1618" s="1"/>
    </row>
    <row r="1619" spans="1:17" ht="15.75" customHeight="1">
      <c r="A1619" s="1">
        <v>2025</v>
      </c>
      <c r="B1619" s="1">
        <v>118</v>
      </c>
      <c r="C1619" s="1" t="s">
        <v>231</v>
      </c>
      <c r="D1619" s="1">
        <v>4.4909999999999997</v>
      </c>
      <c r="E1619" s="1">
        <v>4.8000000000000001E-2</v>
      </c>
      <c r="F1619" s="1">
        <v>127</v>
      </c>
      <c r="G1619" s="1">
        <v>99</v>
      </c>
      <c r="H1619" s="1">
        <v>120</v>
      </c>
      <c r="I1619" s="1">
        <v>99</v>
      </c>
      <c r="J1619" s="1">
        <v>78</v>
      </c>
      <c r="K1619" s="1">
        <v>59</v>
      </c>
      <c r="L1619" s="1">
        <v>115</v>
      </c>
      <c r="M1619" s="1">
        <v>52</v>
      </c>
      <c r="N1619" s="1">
        <v>133</v>
      </c>
      <c r="O1619" s="1">
        <v>59</v>
      </c>
      <c r="P1619" s="1">
        <v>18</v>
      </c>
      <c r="Q1619" s="1">
        <v>7</v>
      </c>
    </row>
    <row r="1620" spans="1:17" ht="15.75" customHeight="1">
      <c r="A1620" s="1">
        <v>2025</v>
      </c>
      <c r="B1620" s="1">
        <v>119</v>
      </c>
      <c r="C1620" s="1" t="s">
        <v>138</v>
      </c>
      <c r="D1620" s="1">
        <v>4.4779999999999998</v>
      </c>
      <c r="E1620" s="1" t="s">
        <v>810</v>
      </c>
      <c r="F1620" s="1">
        <v>126</v>
      </c>
      <c r="G1620" s="1">
        <v>95</v>
      </c>
      <c r="H1620" s="1">
        <v>91</v>
      </c>
      <c r="I1620" s="1">
        <v>43</v>
      </c>
      <c r="J1620" s="1">
        <v>75</v>
      </c>
      <c r="K1620" s="1">
        <v>123</v>
      </c>
      <c r="L1620" s="1">
        <v>38</v>
      </c>
      <c r="M1620" s="1">
        <v>115</v>
      </c>
      <c r="N1620" s="1">
        <v>131</v>
      </c>
      <c r="O1620" s="1">
        <v>123</v>
      </c>
      <c r="P1620" s="1">
        <v>127</v>
      </c>
      <c r="Q1620" s="1">
        <v>36</v>
      </c>
    </row>
    <row r="1621" spans="1:17" ht="15.75" customHeight="1">
      <c r="A1621" s="1">
        <v>2025</v>
      </c>
      <c r="B1621" s="1">
        <v>120</v>
      </c>
      <c r="C1621" s="1" t="s">
        <v>206</v>
      </c>
      <c r="D1621" s="1">
        <v>4.4729999999999999</v>
      </c>
      <c r="E1621" s="1" t="s">
        <v>727</v>
      </c>
      <c r="F1621" s="1">
        <v>85</v>
      </c>
      <c r="G1621" s="1">
        <v>119</v>
      </c>
      <c r="H1621" s="1">
        <v>101</v>
      </c>
      <c r="I1621" s="1"/>
      <c r="J1621" s="1">
        <v>126</v>
      </c>
      <c r="K1621" s="1">
        <v>83</v>
      </c>
      <c r="L1621" s="1">
        <v>40</v>
      </c>
      <c r="M1621" s="1">
        <v>66</v>
      </c>
      <c r="N1621" s="1">
        <v>72</v>
      </c>
      <c r="O1621" s="1">
        <v>83</v>
      </c>
      <c r="P1621" s="1">
        <v>59</v>
      </c>
      <c r="Q1621" s="1">
        <v>79</v>
      </c>
    </row>
    <row r="1622" spans="1:17" ht="15.75" customHeight="1">
      <c r="A1622" s="1">
        <v>2025</v>
      </c>
      <c r="B1622" s="1">
        <v>121</v>
      </c>
      <c r="C1622" s="1" t="s">
        <v>221</v>
      </c>
      <c r="D1622" s="1">
        <v>4.4619999999999997</v>
      </c>
      <c r="E1622" s="1">
        <v>0.39500000000000002</v>
      </c>
      <c r="F1622" s="1">
        <v>93</v>
      </c>
      <c r="G1622" s="1">
        <v>90</v>
      </c>
      <c r="H1622" s="1">
        <v>97</v>
      </c>
      <c r="I1622" s="1">
        <v>86</v>
      </c>
      <c r="J1622" s="1">
        <v>2</v>
      </c>
      <c r="K1622" s="1">
        <v>21</v>
      </c>
      <c r="L1622" s="1">
        <v>90</v>
      </c>
      <c r="M1622" s="1">
        <v>29</v>
      </c>
      <c r="N1622" s="1">
        <v>112</v>
      </c>
      <c r="O1622" s="1">
        <v>21</v>
      </c>
      <c r="P1622" s="1">
        <v>131</v>
      </c>
      <c r="Q1622" s="1">
        <v>136</v>
      </c>
    </row>
    <row r="1623" spans="1:17" ht="15.75" customHeight="1">
      <c r="A1623" s="1">
        <v>2025</v>
      </c>
      <c r="B1623" s="1">
        <v>122</v>
      </c>
      <c r="C1623" s="1" t="s">
        <v>202</v>
      </c>
      <c r="D1623" s="1">
        <v>4.4560000000000004</v>
      </c>
      <c r="E1623" s="1">
        <v>0.159</v>
      </c>
      <c r="F1623" s="1">
        <v>129</v>
      </c>
      <c r="G1623" s="1">
        <v>134</v>
      </c>
      <c r="H1623" s="1">
        <v>102</v>
      </c>
      <c r="I1623" s="1">
        <v>105</v>
      </c>
      <c r="J1623" s="1">
        <v>118</v>
      </c>
      <c r="K1623" s="1">
        <v>110</v>
      </c>
      <c r="L1623" s="1">
        <v>70</v>
      </c>
      <c r="M1623" s="1">
        <v>121</v>
      </c>
      <c r="N1623" s="1">
        <v>138</v>
      </c>
      <c r="O1623" s="1">
        <v>110</v>
      </c>
      <c r="P1623" s="1">
        <v>39</v>
      </c>
      <c r="Q1623" s="1">
        <v>22</v>
      </c>
    </row>
    <row r="1624" spans="1:17" ht="15.75" customHeight="1">
      <c r="A1624" s="1">
        <v>2025</v>
      </c>
      <c r="B1624" s="1">
        <v>123</v>
      </c>
      <c r="C1624" s="1" t="s">
        <v>229</v>
      </c>
      <c r="D1624" s="1">
        <v>4.4550000000000001</v>
      </c>
      <c r="E1624" s="1">
        <v>0.19600000000000001</v>
      </c>
      <c r="F1624" s="1">
        <v>79</v>
      </c>
      <c r="G1624" s="1">
        <v>132</v>
      </c>
      <c r="H1624" s="1">
        <v>123</v>
      </c>
      <c r="I1624" s="1">
        <v>107</v>
      </c>
      <c r="J1624" s="1">
        <v>88</v>
      </c>
      <c r="K1624" s="1">
        <v>71</v>
      </c>
      <c r="L1624" s="1">
        <v>15</v>
      </c>
      <c r="M1624" s="1">
        <v>109</v>
      </c>
      <c r="N1624" s="1">
        <v>84</v>
      </c>
      <c r="O1624" s="1">
        <v>71</v>
      </c>
      <c r="P1624" s="1">
        <v>32</v>
      </c>
      <c r="Q1624" s="1">
        <v>92</v>
      </c>
    </row>
    <row r="1625" spans="1:17" ht="15.75" customHeight="1">
      <c r="A1625" s="1">
        <v>2025</v>
      </c>
      <c r="B1625" s="1">
        <v>124</v>
      </c>
      <c r="C1625" s="1" t="s">
        <v>244</v>
      </c>
      <c r="D1625" s="1">
        <v>4.3929999999999998</v>
      </c>
      <c r="E1625" s="1">
        <v>0.86499999999999999</v>
      </c>
      <c r="F1625" s="1">
        <v>116</v>
      </c>
      <c r="G1625" s="1">
        <v>139</v>
      </c>
      <c r="H1625" s="1">
        <v>112</v>
      </c>
      <c r="I1625" s="1">
        <v>103</v>
      </c>
      <c r="J1625" s="1">
        <v>109</v>
      </c>
      <c r="K1625" s="1">
        <v>112</v>
      </c>
      <c r="L1625" s="1">
        <v>24</v>
      </c>
      <c r="M1625" s="1">
        <v>106</v>
      </c>
      <c r="N1625" s="1">
        <v>126</v>
      </c>
      <c r="O1625" s="1">
        <v>112</v>
      </c>
      <c r="P1625" s="1">
        <v>96</v>
      </c>
      <c r="Q1625" s="1">
        <v>112</v>
      </c>
    </row>
    <row r="1626" spans="1:17" ht="15.75" customHeight="1">
      <c r="A1626" s="1">
        <v>2025</v>
      </c>
      <c r="B1626" s="1">
        <v>125</v>
      </c>
      <c r="C1626" s="1" t="s">
        <v>227</v>
      </c>
      <c r="D1626" s="1">
        <v>4.3849999999999998</v>
      </c>
      <c r="E1626" s="1">
        <v>0.32900000000000001</v>
      </c>
      <c r="F1626" s="1">
        <v>120</v>
      </c>
      <c r="G1626" s="1">
        <v>121</v>
      </c>
      <c r="H1626" s="1">
        <v>124</v>
      </c>
      <c r="I1626" s="1"/>
      <c r="J1626" s="1">
        <v>131</v>
      </c>
      <c r="K1626" s="1">
        <v>57</v>
      </c>
      <c r="L1626" s="1">
        <v>75</v>
      </c>
      <c r="M1626" s="1">
        <v>110</v>
      </c>
      <c r="N1626" s="1">
        <v>139</v>
      </c>
      <c r="O1626" s="1">
        <v>57</v>
      </c>
      <c r="P1626" s="1">
        <v>19</v>
      </c>
      <c r="Q1626" s="1">
        <v>11</v>
      </c>
    </row>
    <row r="1627" spans="1:17" ht="15.75" customHeight="1">
      <c r="A1627" s="1">
        <v>2025</v>
      </c>
      <c r="B1627" s="1">
        <v>126</v>
      </c>
      <c r="C1627" s="1" t="s">
        <v>321</v>
      </c>
      <c r="D1627" s="1">
        <v>4.375</v>
      </c>
      <c r="E1627" s="1" t="s">
        <v>811</v>
      </c>
      <c r="F1627" s="1">
        <v>139</v>
      </c>
      <c r="G1627" s="1">
        <v>86</v>
      </c>
      <c r="H1627" s="1">
        <v>122</v>
      </c>
      <c r="I1627" s="1"/>
      <c r="J1627" s="1">
        <v>113</v>
      </c>
      <c r="K1627" s="1">
        <v>137</v>
      </c>
      <c r="L1627" s="1">
        <v>97</v>
      </c>
      <c r="M1627" s="1">
        <v>30</v>
      </c>
      <c r="N1627" s="1">
        <v>55</v>
      </c>
      <c r="O1627" s="1">
        <v>137</v>
      </c>
      <c r="P1627" s="1">
        <v>104</v>
      </c>
      <c r="Q1627" s="1">
        <v>50</v>
      </c>
    </row>
    <row r="1628" spans="1:17" ht="15.75" customHeight="1">
      <c r="A1628" s="1">
        <v>2025</v>
      </c>
      <c r="B1628" s="1">
        <v>127</v>
      </c>
      <c r="C1628" s="1" t="s">
        <v>176</v>
      </c>
      <c r="D1628" s="1">
        <v>4.319</v>
      </c>
      <c r="E1628" s="1" t="s">
        <v>812</v>
      </c>
      <c r="F1628" s="1">
        <v>135</v>
      </c>
      <c r="G1628" s="1">
        <v>133</v>
      </c>
      <c r="H1628" s="1">
        <v>94</v>
      </c>
      <c r="I1628" s="1">
        <v>68</v>
      </c>
      <c r="J1628" s="1">
        <v>15</v>
      </c>
      <c r="K1628" s="1">
        <v>82</v>
      </c>
      <c r="L1628" s="1">
        <v>91</v>
      </c>
      <c r="M1628" s="1">
        <v>135</v>
      </c>
      <c r="N1628" s="1">
        <v>122</v>
      </c>
      <c r="O1628" s="1">
        <v>82</v>
      </c>
      <c r="P1628" s="1">
        <v>114</v>
      </c>
      <c r="Q1628" s="1">
        <v>14</v>
      </c>
    </row>
    <row r="1629" spans="1:17" ht="15.75" customHeight="1">
      <c r="A1629" s="1">
        <v>2025</v>
      </c>
      <c r="B1629" s="1">
        <v>128</v>
      </c>
      <c r="C1629" s="1" t="s">
        <v>403</v>
      </c>
      <c r="D1629" s="1">
        <v>4.306</v>
      </c>
      <c r="E1629" s="1">
        <v>29</v>
      </c>
      <c r="F1629" s="1">
        <v>125</v>
      </c>
      <c r="G1629" s="1">
        <v>116</v>
      </c>
      <c r="H1629" s="1">
        <v>108</v>
      </c>
      <c r="I1629" s="1"/>
      <c r="J1629" s="1">
        <v>33</v>
      </c>
      <c r="K1629" s="1">
        <v>123</v>
      </c>
      <c r="L1629" s="1">
        <v>92</v>
      </c>
      <c r="M1629" s="1">
        <v>43</v>
      </c>
      <c r="N1629" s="1">
        <v>33</v>
      </c>
      <c r="O1629" s="1">
        <v>62</v>
      </c>
      <c r="P1629" s="1">
        <v>60</v>
      </c>
      <c r="Q1629" s="1"/>
    </row>
    <row r="1630" spans="1:17" ht="15.75" customHeight="1">
      <c r="A1630" s="1">
        <v>2025</v>
      </c>
      <c r="B1630" s="1">
        <v>129</v>
      </c>
      <c r="C1630" s="1" t="s">
        <v>190</v>
      </c>
      <c r="D1630" s="1">
        <v>4.2869999999999999</v>
      </c>
      <c r="E1630" s="1" t="s">
        <v>813</v>
      </c>
      <c r="F1630" s="1">
        <v>84</v>
      </c>
      <c r="G1630" s="1">
        <v>105</v>
      </c>
      <c r="H1630" s="1">
        <v>107</v>
      </c>
      <c r="I1630" s="1">
        <v>91</v>
      </c>
      <c r="J1630" s="1">
        <v>117</v>
      </c>
      <c r="K1630" s="1">
        <v>2</v>
      </c>
      <c r="L1630" s="1">
        <v>55</v>
      </c>
      <c r="M1630" s="1">
        <v>89</v>
      </c>
      <c r="N1630" s="1">
        <v>101</v>
      </c>
      <c r="O1630" s="1">
        <v>2</v>
      </c>
      <c r="P1630" s="1">
        <v>40</v>
      </c>
      <c r="Q1630" s="1">
        <v>113</v>
      </c>
    </row>
    <row r="1631" spans="1:17" ht="15.75" customHeight="1">
      <c r="A1631" s="1">
        <v>2025</v>
      </c>
      <c r="B1631" s="1">
        <v>130</v>
      </c>
      <c r="C1631" s="1" t="s">
        <v>238</v>
      </c>
      <c r="D1631" s="1">
        <v>4.28</v>
      </c>
      <c r="E1631" s="1">
        <v>8.4000000000000005E-2</v>
      </c>
      <c r="F1631" s="1">
        <v>137</v>
      </c>
      <c r="G1631" s="1">
        <v>112</v>
      </c>
      <c r="H1631" s="1">
        <v>126</v>
      </c>
      <c r="I1631" s="1"/>
      <c r="J1631" s="1">
        <v>93</v>
      </c>
      <c r="K1631" s="1">
        <v>93</v>
      </c>
      <c r="L1631" s="1">
        <v>101</v>
      </c>
      <c r="M1631" s="1">
        <v>81</v>
      </c>
      <c r="N1631" s="1">
        <v>136</v>
      </c>
      <c r="O1631" s="1">
        <v>93</v>
      </c>
      <c r="P1631" s="1">
        <v>2</v>
      </c>
      <c r="Q1631" s="1">
        <v>5</v>
      </c>
    </row>
    <row r="1632" spans="1:17" ht="15.75" customHeight="1">
      <c r="A1632" s="1">
        <v>2025</v>
      </c>
      <c r="B1632" s="12">
        <v>131</v>
      </c>
      <c r="C1632" s="8" t="s">
        <v>814</v>
      </c>
      <c r="D1632" s="5">
        <v>4.2770000000000001</v>
      </c>
      <c r="E1632" s="6">
        <v>1.341</v>
      </c>
      <c r="F1632" s="6">
        <v>52</v>
      </c>
      <c r="G1632" s="6">
        <v>129</v>
      </c>
      <c r="H1632" s="6">
        <v>118</v>
      </c>
      <c r="I1632" s="10">
        <v>102</v>
      </c>
      <c r="J1632" s="6">
        <v>125</v>
      </c>
      <c r="K1632" s="6">
        <v>127</v>
      </c>
      <c r="L1632" s="6">
        <v>63</v>
      </c>
      <c r="M1632" s="6">
        <v>125</v>
      </c>
      <c r="N1632" s="6">
        <v>121</v>
      </c>
      <c r="O1632" s="6">
        <v>127</v>
      </c>
      <c r="P1632" s="6">
        <v>111</v>
      </c>
      <c r="Q1632" s="6">
        <v>123</v>
      </c>
    </row>
    <row r="1633" spans="1:17" ht="15.75" customHeight="1">
      <c r="A1633" s="1">
        <v>2025</v>
      </c>
      <c r="B1633" s="12">
        <v>132</v>
      </c>
      <c r="C1633" s="8" t="s">
        <v>815</v>
      </c>
      <c r="D1633" s="5">
        <v>4.1740000000000004</v>
      </c>
      <c r="E1633" s="6">
        <v>0.20799999999999999</v>
      </c>
      <c r="F1633" s="6">
        <v>112</v>
      </c>
      <c r="G1633" s="6">
        <v>130</v>
      </c>
      <c r="H1633" s="6">
        <v>127</v>
      </c>
      <c r="I1633" s="7"/>
      <c r="J1633" s="6">
        <v>136</v>
      </c>
      <c r="K1633" s="6">
        <v>107</v>
      </c>
      <c r="L1633" s="6">
        <v>61</v>
      </c>
      <c r="M1633" s="6">
        <v>88</v>
      </c>
      <c r="N1633" s="6">
        <v>130</v>
      </c>
      <c r="O1633" s="6">
        <v>107</v>
      </c>
      <c r="P1633" s="6">
        <v>6</v>
      </c>
      <c r="Q1633" s="6">
        <v>73</v>
      </c>
    </row>
    <row r="1634" spans="1:17" ht="15.75" customHeight="1">
      <c r="A1634" s="1">
        <v>2025</v>
      </c>
      <c r="B1634" s="1">
        <v>133</v>
      </c>
      <c r="C1634" s="1" t="s">
        <v>170</v>
      </c>
      <c r="D1634" s="1">
        <v>4.1059999999999999</v>
      </c>
      <c r="E1634" s="1" t="s">
        <v>816</v>
      </c>
      <c r="F1634" s="1">
        <v>134</v>
      </c>
      <c r="G1634" s="1">
        <v>106</v>
      </c>
      <c r="H1634" s="1">
        <v>114</v>
      </c>
      <c r="I1634" s="1">
        <v>112</v>
      </c>
      <c r="J1634" s="1">
        <v>38</v>
      </c>
      <c r="K1634" s="1">
        <v>56</v>
      </c>
      <c r="L1634" s="1">
        <v>56</v>
      </c>
      <c r="M1634" s="1">
        <v>75</v>
      </c>
      <c r="N1634" s="1">
        <v>110</v>
      </c>
      <c r="O1634" s="1">
        <v>56</v>
      </c>
      <c r="P1634" s="1">
        <v>27</v>
      </c>
      <c r="Q1634" s="1">
        <v>15</v>
      </c>
    </row>
    <row r="1635" spans="1:17" ht="15.75" customHeight="1">
      <c r="A1635" s="1">
        <v>2025</v>
      </c>
      <c r="B1635" s="1">
        <v>134</v>
      </c>
      <c r="C1635" s="1" t="s">
        <v>187</v>
      </c>
      <c r="D1635" s="1">
        <v>4.0129999999999999</v>
      </c>
      <c r="E1635" s="1" t="s">
        <v>148</v>
      </c>
      <c r="F1635" s="1">
        <v>108</v>
      </c>
      <c r="G1635" s="1">
        <v>91</v>
      </c>
      <c r="H1635" s="1">
        <v>76</v>
      </c>
      <c r="I1635" s="1">
        <v>34</v>
      </c>
      <c r="J1635" s="1">
        <v>60</v>
      </c>
      <c r="K1635" s="1">
        <v>68</v>
      </c>
      <c r="L1635" s="1">
        <v>60</v>
      </c>
      <c r="M1635" s="1">
        <v>40</v>
      </c>
      <c r="N1635" s="1">
        <v>87</v>
      </c>
      <c r="O1635" s="1">
        <v>68</v>
      </c>
      <c r="P1635" s="1">
        <v>13</v>
      </c>
      <c r="Q1635" s="1">
        <v>54</v>
      </c>
    </row>
    <row r="1636" spans="1:17" ht="15.75" customHeight="1">
      <c r="A1636" s="1">
        <v>2025</v>
      </c>
      <c r="B1636" s="1">
        <v>135</v>
      </c>
      <c r="C1636" s="1" t="s">
        <v>183</v>
      </c>
      <c r="D1636" s="1">
        <v>3.9849999999999999</v>
      </c>
      <c r="E1636" s="1" t="s">
        <v>817</v>
      </c>
      <c r="F1636" s="1">
        <v>46</v>
      </c>
      <c r="G1636" s="1">
        <v>110</v>
      </c>
      <c r="H1636" s="1">
        <v>119</v>
      </c>
      <c r="I1636" s="1"/>
      <c r="J1636" s="1">
        <v>127</v>
      </c>
      <c r="K1636" s="1">
        <v>62</v>
      </c>
      <c r="L1636" s="1">
        <v>87</v>
      </c>
      <c r="M1636" s="1">
        <v>130</v>
      </c>
      <c r="N1636" s="1">
        <v>91</v>
      </c>
      <c r="O1636" s="1">
        <v>62</v>
      </c>
      <c r="P1636" s="1">
        <v>60</v>
      </c>
      <c r="Q1636" s="1">
        <v>49</v>
      </c>
    </row>
    <row r="1637" spans="1:17" ht="15.75" customHeight="1">
      <c r="A1637" s="1">
        <v>2025</v>
      </c>
      <c r="B1637" s="1">
        <v>136</v>
      </c>
      <c r="C1637" s="1" t="s">
        <v>219</v>
      </c>
      <c r="D1637" s="1">
        <v>3.9249999999999998</v>
      </c>
      <c r="E1637" s="1">
        <v>7.3999999999999996E-2</v>
      </c>
      <c r="F1637" s="1">
        <v>136</v>
      </c>
      <c r="G1637" s="1">
        <v>137</v>
      </c>
      <c r="H1637" s="1">
        <v>115</v>
      </c>
      <c r="I1637" s="1"/>
      <c r="J1637" s="1">
        <v>137</v>
      </c>
      <c r="K1637" s="1">
        <v>80</v>
      </c>
      <c r="L1637" s="1">
        <v>41</v>
      </c>
      <c r="M1637" s="1">
        <v>90</v>
      </c>
      <c r="N1637" s="1">
        <v>117</v>
      </c>
      <c r="O1637" s="1">
        <v>80</v>
      </c>
      <c r="P1637" s="1">
        <v>8</v>
      </c>
      <c r="Q1637" s="1">
        <v>84</v>
      </c>
    </row>
    <row r="1638" spans="1:17" ht="15.75" customHeight="1">
      <c r="A1638" s="1">
        <v>2025</v>
      </c>
      <c r="B1638" s="1">
        <v>137</v>
      </c>
      <c r="C1638" s="1" t="s">
        <v>453</v>
      </c>
      <c r="D1638" s="1">
        <v>3.9089999999999998</v>
      </c>
      <c r="E1638" s="1" t="s">
        <v>818</v>
      </c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</row>
    <row r="1639" spans="1:17" ht="15.75" customHeight="1">
      <c r="A1639" s="1">
        <v>2025</v>
      </c>
      <c r="B1639" s="1">
        <v>138</v>
      </c>
      <c r="C1639" s="1" t="s">
        <v>236</v>
      </c>
      <c r="D1639" s="1">
        <v>3.9020000000000001</v>
      </c>
      <c r="E1639" s="1">
        <v>0.13200000000000001</v>
      </c>
      <c r="F1639" s="1">
        <v>130</v>
      </c>
      <c r="G1639" s="1">
        <v>127</v>
      </c>
      <c r="H1639" s="1">
        <v>113</v>
      </c>
      <c r="I1639" s="1">
        <v>96</v>
      </c>
      <c r="J1639" s="1">
        <v>30</v>
      </c>
      <c r="K1639" s="1">
        <v>54</v>
      </c>
      <c r="L1639" s="1">
        <v>22</v>
      </c>
      <c r="M1639" s="1">
        <v>35</v>
      </c>
      <c r="N1639" s="1">
        <v>15</v>
      </c>
      <c r="O1639" s="1">
        <v>54</v>
      </c>
      <c r="P1639" s="1">
        <v>110</v>
      </c>
      <c r="Q1639" s="1">
        <v>103</v>
      </c>
    </row>
    <row r="1640" spans="1:17" ht="15.75" customHeight="1">
      <c r="A1640" s="1">
        <v>2025</v>
      </c>
      <c r="B1640" s="1">
        <v>139</v>
      </c>
      <c r="C1640" s="1" t="s">
        <v>191</v>
      </c>
      <c r="D1640" s="1">
        <v>3.8620000000000001</v>
      </c>
      <c r="E1640" s="1" t="s">
        <v>699</v>
      </c>
      <c r="F1640" s="1">
        <v>80</v>
      </c>
      <c r="G1640" s="1">
        <v>109</v>
      </c>
      <c r="H1640" s="1">
        <v>67</v>
      </c>
      <c r="I1640" s="1">
        <v>88</v>
      </c>
      <c r="J1640" s="1">
        <v>101</v>
      </c>
      <c r="K1640" s="1">
        <v>134</v>
      </c>
      <c r="L1640" s="1">
        <v>133</v>
      </c>
      <c r="M1640" s="1">
        <v>97</v>
      </c>
      <c r="N1640" s="1">
        <v>134</v>
      </c>
      <c r="O1640" s="1">
        <v>139</v>
      </c>
      <c r="P1640" s="1">
        <v>19</v>
      </c>
      <c r="Q1640" s="1"/>
    </row>
    <row r="1641" spans="1:17" ht="15.75" customHeight="1">
      <c r="A1641" s="1">
        <v>2025</v>
      </c>
      <c r="B1641" s="1">
        <v>140</v>
      </c>
      <c r="C1641" s="1" t="s">
        <v>199</v>
      </c>
      <c r="D1641" s="1">
        <v>3.7610000000000001</v>
      </c>
      <c r="E1641" s="1" t="s">
        <v>819</v>
      </c>
      <c r="F1641" s="1">
        <v>114</v>
      </c>
      <c r="G1641" s="1">
        <v>120</v>
      </c>
      <c r="H1641" s="1">
        <v>128</v>
      </c>
      <c r="I1641" s="1"/>
      <c r="J1641" s="1">
        <v>123</v>
      </c>
      <c r="K1641" s="1">
        <v>74</v>
      </c>
      <c r="L1641" s="1">
        <v>92</v>
      </c>
      <c r="M1641" s="1">
        <v>118</v>
      </c>
      <c r="N1641" s="1">
        <v>129</v>
      </c>
      <c r="O1641" s="1">
        <v>74</v>
      </c>
      <c r="P1641" s="1">
        <v>31</v>
      </c>
      <c r="Q1641" s="1">
        <v>31</v>
      </c>
    </row>
    <row r="1642" spans="1:17" ht="15.75" customHeight="1">
      <c r="A1642" s="1">
        <v>2025</v>
      </c>
      <c r="B1642" s="1">
        <v>141</v>
      </c>
      <c r="C1642" s="1" t="s">
        <v>154</v>
      </c>
      <c r="D1642" s="1">
        <v>3.7229999999999999</v>
      </c>
      <c r="E1642" s="1" t="s">
        <v>820</v>
      </c>
      <c r="F1642" s="1">
        <v>75</v>
      </c>
      <c r="G1642" s="1">
        <v>96</v>
      </c>
      <c r="H1642" s="1">
        <v>86</v>
      </c>
      <c r="I1642" s="1">
        <v>66</v>
      </c>
      <c r="J1642" s="1">
        <v>133</v>
      </c>
      <c r="K1642" s="1">
        <v>105</v>
      </c>
      <c r="L1642" s="1">
        <v>89</v>
      </c>
      <c r="M1642" s="1">
        <v>138</v>
      </c>
      <c r="N1642" s="1">
        <v>128</v>
      </c>
      <c r="O1642" s="1">
        <v>105</v>
      </c>
      <c r="P1642" s="1">
        <v>137</v>
      </c>
      <c r="Q1642" s="1">
        <v>132</v>
      </c>
    </row>
    <row r="1643" spans="1:17" ht="15.75" customHeight="1">
      <c r="A1643" s="1">
        <v>2025</v>
      </c>
      <c r="B1643" s="1">
        <v>142</v>
      </c>
      <c r="C1643" s="1" t="s">
        <v>233</v>
      </c>
      <c r="D1643" s="1">
        <v>3.532</v>
      </c>
      <c r="E1643" s="1" t="s">
        <v>681</v>
      </c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</row>
    <row r="1644" spans="1:17" ht="15.75" customHeight="1">
      <c r="A1644" s="1">
        <v>2025</v>
      </c>
      <c r="B1644" s="1">
        <v>143</v>
      </c>
      <c r="C1644" s="1" t="s">
        <v>218</v>
      </c>
      <c r="D1644" s="1">
        <v>3.464</v>
      </c>
      <c r="E1644" s="1" t="s">
        <v>821</v>
      </c>
      <c r="F1644" s="1">
        <v>111</v>
      </c>
      <c r="G1644" s="1">
        <v>101</v>
      </c>
      <c r="H1644" s="1">
        <v>65</v>
      </c>
      <c r="I1644" s="1"/>
      <c r="J1644" s="1">
        <v>74</v>
      </c>
      <c r="K1644" s="1">
        <v>135</v>
      </c>
      <c r="L1644" s="1">
        <v>81</v>
      </c>
      <c r="M1644" s="1">
        <v>85</v>
      </c>
      <c r="N1644" s="1">
        <v>73</v>
      </c>
      <c r="O1644" s="1">
        <v>135</v>
      </c>
      <c r="P1644" s="1">
        <v>112</v>
      </c>
      <c r="Q1644" s="1">
        <v>12</v>
      </c>
    </row>
    <row r="1645" spans="1:17" ht="15.75" customHeight="1">
      <c r="A1645" s="1">
        <v>2025</v>
      </c>
      <c r="B1645" s="1">
        <v>144</v>
      </c>
      <c r="C1645" s="1" t="s">
        <v>208</v>
      </c>
      <c r="D1645" s="1">
        <v>3.3460000000000001</v>
      </c>
      <c r="E1645" s="1" t="s">
        <v>822</v>
      </c>
      <c r="F1645" s="1">
        <v>69</v>
      </c>
      <c r="G1645" s="1">
        <v>124</v>
      </c>
      <c r="H1645" s="1">
        <v>105</v>
      </c>
      <c r="I1645" s="1">
        <v>115</v>
      </c>
      <c r="J1645" s="1">
        <v>124</v>
      </c>
      <c r="K1645" s="1">
        <v>128</v>
      </c>
      <c r="L1645" s="1">
        <v>69</v>
      </c>
      <c r="M1645" s="1">
        <v>102</v>
      </c>
      <c r="N1645" s="1">
        <v>48</v>
      </c>
      <c r="O1645" s="1">
        <v>128</v>
      </c>
      <c r="P1645" s="1">
        <v>42</v>
      </c>
      <c r="Q1645" s="1">
        <v>82</v>
      </c>
    </row>
    <row r="1646" spans="1:17" ht="15.75" customHeight="1">
      <c r="A1646" s="1">
        <v>2025</v>
      </c>
      <c r="B1646" s="1">
        <v>145</v>
      </c>
      <c r="C1646" s="1" t="s">
        <v>210</v>
      </c>
      <c r="D1646" s="1">
        <v>3.2839999999999998</v>
      </c>
      <c r="E1646" s="1" t="s">
        <v>823</v>
      </c>
      <c r="F1646" s="1">
        <v>131</v>
      </c>
      <c r="G1646" s="1">
        <v>136</v>
      </c>
      <c r="H1646" s="1">
        <v>129</v>
      </c>
      <c r="I1646" s="1">
        <v>106</v>
      </c>
      <c r="J1646" s="1">
        <v>97</v>
      </c>
      <c r="K1646" s="1">
        <v>113</v>
      </c>
      <c r="L1646" s="1">
        <v>45</v>
      </c>
      <c r="M1646" s="1">
        <v>103</v>
      </c>
      <c r="N1646" s="1">
        <v>98</v>
      </c>
      <c r="O1646" s="1">
        <v>113</v>
      </c>
      <c r="P1646" s="1">
        <v>46</v>
      </c>
      <c r="Q1646" s="1">
        <v>8</v>
      </c>
    </row>
    <row r="1647" spans="1:17" ht="15.75" customHeight="1">
      <c r="A1647" s="1">
        <v>2025</v>
      </c>
      <c r="B1647" s="1">
        <v>146</v>
      </c>
      <c r="C1647" s="1" t="s">
        <v>178</v>
      </c>
      <c r="D1647" s="1">
        <v>3.2509999999999999</v>
      </c>
      <c r="E1647" s="1" t="s">
        <v>824</v>
      </c>
      <c r="F1647" s="1">
        <v>96</v>
      </c>
      <c r="G1647" s="1">
        <v>113</v>
      </c>
      <c r="H1647" s="1">
        <v>117</v>
      </c>
      <c r="I1647" s="1">
        <v>111</v>
      </c>
      <c r="J1647" s="1">
        <v>91</v>
      </c>
      <c r="K1647" s="1">
        <v>76</v>
      </c>
      <c r="L1647" s="1">
        <v>108</v>
      </c>
      <c r="M1647" s="1">
        <v>131</v>
      </c>
      <c r="N1647" s="1">
        <v>107</v>
      </c>
      <c r="O1647" s="1">
        <v>76</v>
      </c>
      <c r="P1647" s="1">
        <v>76</v>
      </c>
      <c r="Q1647" s="1">
        <v>2</v>
      </c>
    </row>
    <row r="1648" spans="1:17" ht="15.75" customHeight="1">
      <c r="A1648" s="1">
        <v>2025</v>
      </c>
      <c r="B1648" s="1">
        <v>147</v>
      </c>
      <c r="C1648" s="1" t="s">
        <v>245</v>
      </c>
      <c r="D1648" s="1">
        <v>1.446</v>
      </c>
      <c r="E1648" s="1" t="s">
        <v>825</v>
      </c>
      <c r="F1648" s="1"/>
      <c r="G1648" s="1"/>
      <c r="H1648" s="1"/>
      <c r="I1648" s="1">
        <v>116</v>
      </c>
      <c r="J1648" s="1"/>
      <c r="K1648" s="1"/>
      <c r="L1648" s="1"/>
      <c r="M1648" s="1"/>
      <c r="N1648" s="1"/>
      <c r="O1648" s="1"/>
      <c r="P1648" s="1"/>
      <c r="Q1648" s="1"/>
    </row>
    <row r="1649" spans="1:17" ht="15.75" customHeight="1">
      <c r="A1649" s="1"/>
      <c r="B1649" s="1"/>
      <c r="C1649" s="5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</row>
    <row r="1650" spans="1:17" ht="15.75" customHeight="1">
      <c r="A1650" s="1"/>
      <c r="B1650" s="1"/>
      <c r="C1650" s="6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</row>
    <row r="1651" spans="1:17" ht="15.75" customHeight="1">
      <c r="A1651" s="1"/>
      <c r="B1651" s="1"/>
      <c r="C1651" s="6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</row>
    <row r="1652" spans="1:17" ht="15.75" customHeight="1">
      <c r="A1652" s="1"/>
      <c r="B1652" s="1"/>
      <c r="C1652" s="6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</row>
    <row r="1653" spans="1:17" ht="15.75" customHeight="1">
      <c r="A1653" s="1"/>
      <c r="B1653" s="1"/>
      <c r="C1653" s="6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</row>
    <row r="1654" spans="1:17" ht="15.75" customHeight="1">
      <c r="A1654" s="1"/>
      <c r="B1654" s="1"/>
      <c r="C1654" s="7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</row>
    <row r="1655" spans="1:17" ht="15.75" customHeight="1">
      <c r="A1655" s="1"/>
      <c r="B1655" s="1"/>
      <c r="C1655" s="6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</row>
    <row r="1656" spans="1:17" ht="15.75" customHeight="1">
      <c r="A1656" s="1"/>
      <c r="B1656" s="1"/>
      <c r="C1656" s="6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</row>
    <row r="1657" spans="1:17" ht="15.75" customHeight="1">
      <c r="A1657" s="1"/>
      <c r="B1657" s="1"/>
      <c r="C1657" s="6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</row>
    <row r="1658" spans="1:17" ht="15.75" customHeight="1">
      <c r="A1658" s="1"/>
      <c r="B1658" s="1"/>
      <c r="C1658" s="6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</row>
    <row r="1659" spans="1:17" ht="15.75" customHeight="1">
      <c r="A1659" s="1"/>
      <c r="B1659" s="1"/>
      <c r="C1659" s="6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</row>
    <row r="1660" spans="1:17" ht="15.75" customHeight="1">
      <c r="A1660" s="1"/>
      <c r="B1660" s="1"/>
      <c r="C1660" s="6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</row>
    <row r="1661" spans="1:17" ht="15.75" customHeight="1">
      <c r="A1661" s="1"/>
      <c r="B1661" s="1"/>
      <c r="C1661" s="6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</row>
    <row r="1662" spans="1:17" ht="15.75" customHeight="1">
      <c r="A1662" s="1"/>
      <c r="B1662" s="1"/>
      <c r="C1662" s="6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</row>
    <row r="1663" spans="1:17" ht="15.75" customHeight="1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</row>
    <row r="1664" spans="1:17" ht="15.75" customHeight="1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</row>
    <row r="1665" spans="1:17" ht="15.75" customHeight="1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</row>
    <row r="1666" spans="1:17" ht="15.75" customHeight="1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</row>
    <row r="1667" spans="1:17" ht="15.75" customHeight="1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</row>
    <row r="1668" spans="1:17" ht="15.75" customHeight="1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</row>
    <row r="1669" spans="1:17" ht="15.75" customHeight="1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</row>
    <row r="1670" spans="1:17" ht="15.75" customHeight="1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</row>
    <row r="1671" spans="1:17" ht="15.75" customHeight="1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</row>
    <row r="1672" spans="1:17" ht="15.75" customHeight="1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</row>
    <row r="1673" spans="1:17" ht="15.75" customHeight="1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</row>
    <row r="1674" spans="1:17" ht="15.75" customHeight="1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</row>
    <row r="1675" spans="1:17" ht="15.75" customHeight="1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</row>
    <row r="1676" spans="1:17" ht="15.75" customHeight="1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</row>
    <row r="1677" spans="1:17" ht="15.75" customHeight="1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</row>
    <row r="1678" spans="1:17" ht="15.75" customHeight="1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</row>
    <row r="1679" spans="1:17" ht="15.75" customHeight="1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</row>
    <row r="1680" spans="1:17" ht="15.75" customHeight="1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</row>
    <row r="1681" spans="1:17" ht="15.75" customHeight="1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</row>
    <row r="1682" spans="1:17" ht="15.75" customHeight="1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</row>
    <row r="1683" spans="1:17" ht="15.75" customHeight="1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</row>
    <row r="1684" spans="1:17" ht="15.75" customHeight="1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</row>
    <row r="1685" spans="1:17" ht="15.75" customHeight="1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</row>
    <row r="1686" spans="1:17" ht="15.75" customHeight="1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</row>
    <row r="1687" spans="1:17" ht="15.75" customHeight="1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</row>
    <row r="1688" spans="1:17" ht="15.75" customHeight="1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</row>
    <row r="1689" spans="1:17" ht="15.75" customHeight="1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</row>
    <row r="1690" spans="1:17" ht="15.75" customHeight="1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</row>
    <row r="1691" spans="1:17" ht="15.75" customHeight="1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</row>
    <row r="1692" spans="1:17" ht="15.75" customHeight="1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</row>
    <row r="1693" spans="1:17" ht="15.75" customHeight="1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</row>
    <row r="1694" spans="1:17" ht="15.75" customHeight="1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</row>
    <row r="1695" spans="1:17" ht="15.75" customHeight="1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</row>
    <row r="1696" spans="1:17" ht="15.75" customHeight="1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</row>
    <row r="1697" spans="1:17" ht="15.75" customHeight="1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</row>
    <row r="1698" spans="1:17" ht="15.75" customHeight="1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</row>
    <row r="1699" spans="1:17" ht="15.75" customHeight="1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</row>
    <row r="1700" spans="1:17" ht="15.75" customHeight="1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</row>
    <row r="1701" spans="1:17" ht="15.75" customHeight="1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</row>
    <row r="1702" spans="1:17" ht="15.75" customHeight="1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</row>
    <row r="1703" spans="1:17" ht="15.75" customHeight="1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</row>
    <row r="1704" spans="1:17" ht="15.75" customHeight="1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</row>
    <row r="1705" spans="1:17" ht="15.75" customHeight="1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</row>
    <row r="1706" spans="1:17" ht="15.75" customHeight="1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</row>
    <row r="1707" spans="1:17" ht="15.75" customHeight="1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</row>
    <row r="1708" spans="1:17" ht="15.75" customHeight="1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</row>
    <row r="1709" spans="1:17" ht="15.75" customHeight="1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</row>
    <row r="1710" spans="1:17" ht="15.75" customHeight="1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</row>
    <row r="1711" spans="1:17" ht="15.75" customHeight="1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</row>
    <row r="1712" spans="1:17" ht="15.75" customHeight="1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</row>
    <row r="1713" spans="1:17" ht="15.75" customHeight="1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</row>
    <row r="1714" spans="1:17" ht="15.75" customHeight="1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</row>
    <row r="1715" spans="1:17" ht="15.75" customHeight="1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</row>
    <row r="1716" spans="1:17" ht="15.75" customHeight="1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</row>
    <row r="1717" spans="1:17" ht="15.75" customHeight="1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</row>
    <row r="1718" spans="1:17" ht="15.75" customHeight="1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</row>
    <row r="1719" spans="1:17" ht="15.75" customHeight="1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</row>
    <row r="1720" spans="1:17" ht="15.75" customHeight="1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</row>
    <row r="1721" spans="1:17" ht="15.75" customHeight="1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</row>
    <row r="1722" spans="1:17" ht="15.75" customHeight="1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</row>
    <row r="1723" spans="1:17" ht="15.75" customHeight="1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</row>
    <row r="1724" spans="1:17" ht="15.75" customHeight="1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</row>
    <row r="1725" spans="1:17" ht="15.75" customHeight="1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</row>
    <row r="1726" spans="1:17" ht="15.75" customHeight="1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</row>
    <row r="1727" spans="1:17" ht="15.75" customHeight="1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</row>
    <row r="1728" spans="1:17" ht="15.75" customHeight="1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</row>
    <row r="1729" spans="1:17" ht="15.75" customHeight="1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</row>
    <row r="1730" spans="1:17" ht="15.75" customHeight="1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</row>
    <row r="1731" spans="1:17" ht="15.75" customHeight="1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</row>
    <row r="1732" spans="1:17" ht="15.75" customHeight="1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</row>
    <row r="1733" spans="1:17" ht="15.75" customHeight="1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</row>
    <row r="1734" spans="1:17" ht="15.75" customHeight="1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</row>
    <row r="1735" spans="1:17" ht="15.75" customHeight="1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</row>
    <row r="1736" spans="1:17" ht="15.75" customHeight="1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</row>
    <row r="1737" spans="1:17" ht="15.75" customHeight="1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</row>
    <row r="1738" spans="1:17" ht="15.75" customHeight="1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</row>
    <row r="1739" spans="1:17" ht="15.75" customHeight="1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</row>
    <row r="1740" spans="1:17" ht="15.75" customHeight="1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</row>
    <row r="1741" spans="1:17" ht="15.75" customHeight="1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</row>
    <row r="1742" spans="1:17" ht="15.75" customHeight="1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</row>
    <row r="1743" spans="1:17" ht="15.75" customHeight="1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</row>
    <row r="1744" spans="1:17" ht="15.75" customHeight="1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</row>
    <row r="1745" spans="1:17" ht="15.75" customHeight="1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</row>
    <row r="1746" spans="1:17" ht="15.75" customHeight="1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</row>
    <row r="1747" spans="1:17" ht="15.75" customHeight="1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</row>
    <row r="1748" spans="1:17" ht="15.75" customHeight="1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</row>
    <row r="1749" spans="1:17" ht="15.75" customHeight="1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</row>
    <row r="1750" spans="1:17" ht="15.75" customHeight="1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</row>
    <row r="1751" spans="1:17" ht="15.75" customHeight="1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</row>
    <row r="1752" spans="1:17" ht="15.75" customHeight="1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</row>
    <row r="1753" spans="1:17" ht="15.75" customHeight="1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</row>
    <row r="1754" spans="1:17" ht="15.75" customHeight="1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</row>
    <row r="1755" spans="1:17" ht="15.75" customHeight="1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</row>
    <row r="1756" spans="1:17" ht="15.75" customHeight="1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</row>
    <row r="1757" spans="1:17" ht="15.75" customHeight="1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</row>
    <row r="1758" spans="1:17" ht="15.75" customHeight="1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</row>
    <row r="1759" spans="1:17" ht="15.75" customHeight="1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</row>
    <row r="1760" spans="1:17" ht="15.75" customHeight="1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</row>
    <row r="1761" spans="1:17" ht="15.75" customHeight="1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</row>
    <row r="1762" spans="1:17" ht="15.75" customHeight="1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</row>
    <row r="1763" spans="1:17" ht="15.75" customHeight="1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</row>
    <row r="1764" spans="1:17" ht="15.75" customHeight="1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</row>
    <row r="1765" spans="1:17" ht="15.75" customHeight="1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</row>
    <row r="1766" spans="1:17" ht="15.75" customHeight="1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</row>
    <row r="1767" spans="1:17" ht="15.75" customHeight="1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</row>
    <row r="1768" spans="1:17" ht="15.75" customHeight="1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</row>
    <row r="1769" spans="1:17" ht="15.75" customHeight="1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</row>
    <row r="1770" spans="1:17" ht="15.75" customHeight="1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</row>
    <row r="1771" spans="1:17" ht="15.75" customHeight="1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</row>
    <row r="1772" spans="1:17" ht="15.75" customHeight="1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</row>
    <row r="1773" spans="1:17" ht="15.75" customHeight="1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</row>
    <row r="1774" spans="1:17" ht="15.75" customHeight="1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</row>
    <row r="1775" spans="1:17" ht="15.75" customHeight="1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</row>
    <row r="1776" spans="1:17" ht="15.75" customHeight="1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</row>
    <row r="1777" spans="1:17" ht="15.75" customHeight="1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</row>
    <row r="1778" spans="1:17" ht="15.75" customHeight="1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</row>
    <row r="1779" spans="1:17" ht="15.75" customHeight="1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</row>
    <row r="1780" spans="1:17" ht="15.75" customHeight="1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</row>
    <row r="1781" spans="1:17" ht="15.75" customHeight="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</row>
    <row r="1782" spans="1:17" ht="15.75" customHeight="1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</row>
    <row r="1783" spans="1:17" ht="15.75" customHeight="1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</row>
    <row r="1784" spans="1:17" ht="15.75" customHeight="1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</row>
    <row r="1785" spans="1:17" ht="15.75" customHeight="1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</row>
    <row r="1786" spans="1:17" ht="15.75" customHeight="1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</row>
    <row r="1787" spans="1:17" ht="15.75" customHeight="1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</row>
    <row r="1788" spans="1:17" ht="15.75" customHeight="1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</row>
    <row r="1789" spans="1:17" ht="15.75" customHeight="1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</row>
    <row r="1790" spans="1:17" ht="15.75" customHeight="1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</row>
    <row r="1791" spans="1:17" ht="15.75" customHeight="1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</row>
    <row r="1792" spans="1:17" ht="15.75" customHeight="1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</row>
    <row r="1793" spans="1:17" ht="15.75" customHeight="1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</row>
    <row r="1794" spans="1:17" ht="15.75" customHeight="1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</row>
    <row r="1795" spans="1:17" ht="15.75" customHeight="1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</row>
    <row r="1796" spans="1:17" ht="15.75" customHeight="1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</row>
    <row r="1797" spans="1:17" ht="15.75" customHeight="1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</row>
    <row r="1798" spans="1:17" ht="15.75" customHeight="1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</row>
    <row r="1799" spans="1:17" ht="15.75" customHeight="1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</row>
    <row r="1800" spans="1:17" ht="15.75" customHeight="1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</row>
    <row r="1801" spans="1:17" ht="15.75" customHeight="1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</row>
    <row r="1802" spans="1:17" ht="15.75" customHeight="1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</row>
    <row r="1803" spans="1:17" ht="15.75" customHeight="1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</row>
    <row r="1804" spans="1:17" ht="15.75" customHeight="1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</row>
    <row r="1805" spans="1:17" ht="15.75" customHeight="1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</row>
    <row r="1806" spans="1:17" ht="15.75" customHeight="1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</row>
    <row r="1807" spans="1:17" ht="15.75" customHeight="1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</row>
    <row r="1808" spans="1:17" ht="15.75" customHeight="1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</row>
    <row r="1809" spans="1:17" ht="15.75" customHeight="1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</row>
    <row r="1810" spans="1:17" ht="15.75" customHeight="1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</row>
    <row r="1811" spans="1:17" ht="15.75" customHeight="1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</row>
    <row r="1812" spans="1:17" ht="15.75" customHeight="1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</row>
    <row r="1813" spans="1:17" ht="15.75" customHeight="1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</row>
    <row r="1814" spans="1:17" ht="15.75" customHeight="1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</row>
    <row r="1815" spans="1:17" ht="15.75" customHeight="1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</row>
    <row r="1816" spans="1:17" ht="15.75" customHeight="1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</row>
    <row r="1817" spans="1:17" ht="15.75" customHeight="1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</row>
    <row r="1818" spans="1:17" ht="15.75" customHeight="1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</row>
    <row r="1819" spans="1:17" ht="15.75" customHeight="1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</row>
    <row r="1820" spans="1:17" ht="15.75" customHeight="1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</row>
    <row r="1821" spans="1:17" ht="15.75" customHeight="1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</row>
    <row r="1822" spans="1:17" ht="15.75" customHeight="1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</row>
    <row r="1823" spans="1:17" ht="15.75" customHeight="1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</row>
    <row r="1824" spans="1:17" ht="15.75" customHeight="1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</row>
    <row r="1825" spans="1:17" ht="15.75" customHeight="1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</row>
    <row r="1826" spans="1:17" ht="15.75" customHeight="1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</row>
    <row r="1827" spans="1:17" ht="15.75" customHeight="1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</row>
    <row r="1828" spans="1:17" ht="15.75" customHeight="1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</row>
    <row r="1829" spans="1:17" ht="15.75" customHeight="1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</row>
    <row r="1830" spans="1:17" ht="15.75" customHeight="1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</row>
    <row r="1831" spans="1:17" ht="15.75" customHeight="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</row>
    <row r="1832" spans="1:17" ht="15.75" customHeight="1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</row>
    <row r="1833" spans="1:17" ht="15.75" customHeight="1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</row>
    <row r="1834" spans="1:17" ht="15.75" customHeight="1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</row>
    <row r="1835" spans="1:17" ht="15.75" customHeight="1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</row>
    <row r="1836" spans="1:17" ht="15.75" customHeight="1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</row>
    <row r="1837" spans="1:17" ht="15.75" customHeight="1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</row>
    <row r="1838" spans="1:17" ht="15.75" customHeight="1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</row>
    <row r="1839" spans="1:17" ht="15.75" customHeight="1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</row>
    <row r="1840" spans="1:17" ht="15.75" customHeight="1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</row>
    <row r="1841" spans="1:17" ht="15.75" customHeight="1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</row>
    <row r="1842" spans="1:17" ht="15.75" customHeight="1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</row>
    <row r="1843" spans="1:17" ht="15.75" customHeight="1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</row>
    <row r="1844" spans="1:17" ht="15.75" customHeight="1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</row>
    <row r="1845" spans="1:17" ht="15.75" customHeight="1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</row>
    <row r="1846" spans="1:17" ht="15.75" customHeight="1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</row>
    <row r="1847" spans="1:17" ht="15.75" customHeight="1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</row>
    <row r="1848" spans="1:17" ht="15.75" customHeight="1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</row>
    <row r="1849" spans="1:17" ht="15.75" customHeight="1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</row>
    <row r="1850" spans="1:17" ht="15.75" customHeight="1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</row>
    <row r="1851" spans="1:17" ht="15.75" customHeight="1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</row>
    <row r="1852" spans="1:17" ht="15.75" customHeight="1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</row>
    <row r="1853" spans="1:17" ht="15.75" customHeight="1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</row>
    <row r="1854" spans="1:17" ht="15.75" customHeight="1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</row>
    <row r="1855" spans="1:17" ht="15.75" customHeight="1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</row>
    <row r="1856" spans="1:17" ht="15.75" customHeight="1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</row>
    <row r="1857" spans="1:17" ht="15.75" customHeight="1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</row>
    <row r="1858" spans="1:17" ht="15.75" customHeight="1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</row>
    <row r="1859" spans="1:17" ht="15.75" customHeight="1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</row>
    <row r="1860" spans="1:17" ht="15.75" customHeight="1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</row>
    <row r="1861" spans="1:17" ht="15.75" customHeight="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</row>
    <row r="1862" spans="1:17" ht="15.75" customHeight="1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</row>
    <row r="1863" spans="1:17" ht="15.75" customHeight="1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</row>
    <row r="1864" spans="1:17" ht="15.75" customHeight="1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</row>
    <row r="1865" spans="1:17" ht="15.75" customHeight="1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</row>
    <row r="1866" spans="1:17" ht="15.75" customHeight="1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</row>
    <row r="1867" spans="1:17" ht="15.75" customHeight="1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</row>
    <row r="1868" spans="1:17" ht="15.75" customHeight="1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</row>
    <row r="1869" spans="1:17" ht="15.75" customHeight="1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</row>
    <row r="1870" spans="1:17" ht="15.75" customHeight="1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</row>
    <row r="1871" spans="1:17" ht="15.75" customHeight="1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</row>
    <row r="1872" spans="1:17" ht="15.75" customHeight="1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</row>
    <row r="1873" spans="1:17" ht="15.75" customHeight="1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</row>
    <row r="1874" spans="1:17" ht="15.75" customHeight="1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</row>
    <row r="1875" spans="1:17" ht="15.75" customHeight="1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</row>
    <row r="1876" spans="1:17" ht="15.75" customHeight="1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</row>
    <row r="1877" spans="1:17" ht="15.75" customHeight="1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</row>
    <row r="1878" spans="1:17" ht="15.75" customHeight="1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</row>
    <row r="1879" spans="1:17" ht="15.75" customHeight="1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</row>
    <row r="1880" spans="1:17" ht="15.75" customHeight="1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</row>
    <row r="1881" spans="1:17" ht="15.75" customHeight="1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</row>
    <row r="1882" spans="1:17" ht="15.75" customHeight="1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</row>
    <row r="1883" spans="1:17" ht="15.75" customHeight="1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</row>
    <row r="1884" spans="1:17" ht="15.75" customHeight="1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</row>
    <row r="1885" spans="1:17" ht="15.75" customHeight="1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</row>
    <row r="1886" spans="1:17" ht="15.75" customHeight="1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</row>
    <row r="1887" spans="1:17" ht="15.75" customHeight="1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</row>
    <row r="1888" spans="1:17" ht="15.75" customHeight="1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</row>
    <row r="1889" spans="1:17" ht="15.75" customHeight="1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</row>
    <row r="1890" spans="1:17" ht="15.75" customHeight="1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</row>
    <row r="1891" spans="1:17" ht="15.75" customHeight="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</row>
    <row r="1892" spans="1:17" ht="15.75" customHeight="1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</row>
    <row r="1893" spans="1:17" ht="15.75" customHeight="1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</row>
    <row r="1894" spans="1:17" ht="15.75" customHeight="1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</row>
    <row r="1895" spans="1:17" ht="15.75" customHeight="1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</row>
    <row r="1896" spans="1:17" ht="15.75" customHeight="1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</row>
    <row r="1897" spans="1:17" ht="15.75" customHeight="1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</row>
    <row r="1898" spans="1:17" ht="15.75" customHeight="1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</row>
    <row r="1899" spans="1:17" ht="15.75" customHeight="1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</row>
    <row r="1900" spans="1:17" ht="15.75" customHeight="1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</row>
    <row r="1901" spans="1:17" ht="15.75" customHeight="1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</row>
    <row r="1902" spans="1:17" ht="15.75" customHeight="1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</row>
    <row r="1903" spans="1:17" ht="15.75" customHeight="1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</row>
    <row r="1904" spans="1:17" ht="15.75" customHeight="1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</row>
    <row r="1905" spans="1:17" ht="15.75" customHeight="1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</row>
    <row r="1906" spans="1:17" ht="15.75" customHeight="1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</row>
    <row r="1907" spans="1:17" ht="15.75" customHeight="1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</row>
    <row r="1908" spans="1:17" ht="15.75" customHeight="1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</row>
    <row r="1909" spans="1:17" ht="15.75" customHeight="1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</row>
    <row r="1910" spans="1:17" ht="15.75" customHeight="1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</row>
    <row r="1911" spans="1:17" ht="15.75" customHeight="1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</row>
    <row r="1912" spans="1:17" ht="15.75" customHeight="1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</row>
    <row r="1913" spans="1:17" ht="15.75" customHeight="1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</row>
    <row r="1914" spans="1:17" ht="15.75" customHeight="1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</row>
    <row r="1915" spans="1:17" ht="15.75" customHeight="1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</row>
    <row r="1916" spans="1:17" ht="15.75" customHeight="1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</row>
    <row r="1917" spans="1:17" ht="15.75" customHeight="1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</row>
    <row r="1918" spans="1:17" ht="15.75" customHeight="1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</row>
    <row r="1919" spans="1:17" ht="15.75" customHeight="1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</row>
    <row r="1920" spans="1:17" ht="15.75" customHeight="1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</row>
    <row r="1921" spans="1:17" ht="15.75" customHeight="1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</row>
    <row r="1922" spans="1:17" ht="15.75" customHeight="1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</row>
    <row r="1923" spans="1:17" ht="15.75" customHeight="1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</row>
    <row r="1924" spans="1:17" ht="15.75" customHeight="1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</row>
    <row r="1925" spans="1:17" ht="15.75" customHeight="1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</row>
    <row r="1926" spans="1:17" ht="15.75" customHeight="1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</row>
    <row r="1927" spans="1:17" ht="15.75" customHeight="1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</row>
    <row r="1928" spans="1:17" ht="15.75" customHeight="1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</row>
    <row r="1929" spans="1:17" ht="15.75" customHeight="1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</row>
    <row r="1930" spans="1:17" ht="15.75" customHeight="1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</row>
    <row r="1931" spans="1:17" ht="15.75" customHeight="1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</row>
    <row r="1932" spans="1:17" ht="15.75" customHeight="1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</row>
    <row r="1933" spans="1:17" ht="15.75" customHeight="1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</row>
    <row r="1934" spans="1:17" ht="15.75" customHeight="1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</row>
    <row r="1935" spans="1:17" ht="15.75" customHeight="1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</row>
    <row r="1936" spans="1:17" ht="15.75" customHeight="1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</row>
    <row r="1937" spans="1:17" ht="15.75" customHeight="1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</row>
    <row r="1938" spans="1:17" ht="15.75" customHeight="1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</row>
    <row r="1939" spans="1:17" ht="15.75" customHeight="1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</row>
    <row r="1940" spans="1:17" ht="15.75" customHeight="1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</row>
    <row r="1941" spans="1:17" ht="15.75" customHeight="1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</row>
    <row r="1942" spans="1:17" ht="15.75" customHeight="1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</row>
    <row r="1943" spans="1:17" ht="15.75" customHeight="1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</row>
    <row r="1944" spans="1:17" ht="15.75" customHeight="1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</row>
    <row r="1945" spans="1:17" ht="15.75" customHeight="1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</row>
    <row r="1946" spans="1:17" ht="15.75" customHeight="1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</row>
    <row r="1947" spans="1:17" ht="15.75" customHeight="1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</row>
    <row r="1948" spans="1:17" ht="15.75" customHeight="1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</row>
    <row r="1949" spans="1:17" ht="15.75" customHeight="1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</row>
    <row r="1950" spans="1:17" ht="15.75" customHeight="1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</row>
    <row r="1951" spans="1:17" ht="15.75" customHeight="1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</row>
    <row r="1952" spans="1:17" ht="15.75" customHeight="1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</row>
    <row r="1953" spans="1:17" ht="15.75" customHeight="1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</row>
    <row r="1954" spans="1:17" ht="15.75" customHeight="1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</row>
    <row r="1955" spans="1:17" ht="15.75" customHeight="1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</row>
    <row r="1956" spans="1:17" ht="15.75" customHeight="1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</row>
    <row r="1957" spans="1:17" ht="15.75" customHeight="1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</row>
    <row r="1958" spans="1:17" ht="15.75" customHeight="1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</row>
    <row r="1959" spans="1:17" ht="15.75" customHeight="1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</row>
    <row r="1960" spans="1:17" ht="15.75" customHeight="1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</row>
    <row r="1961" spans="1:17" ht="15.75" customHeight="1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</row>
    <row r="1962" spans="1:17" ht="15.75" customHeight="1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</row>
    <row r="1963" spans="1:17" ht="15.75" customHeight="1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</row>
    <row r="1964" spans="1:17" ht="15.75" customHeight="1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</row>
    <row r="1965" spans="1:17" ht="15.75" customHeight="1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</row>
    <row r="1966" spans="1:17" ht="15.75" customHeight="1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</row>
    <row r="1967" spans="1:17" ht="15.75" customHeight="1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</row>
    <row r="1968" spans="1:17" ht="15.75" customHeight="1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</row>
    <row r="1969" spans="1:17" ht="15.75" customHeight="1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</row>
    <row r="1970" spans="1:17" ht="15.75" customHeight="1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</row>
    <row r="1971" spans="1:17" ht="15.75" customHeight="1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</row>
    <row r="1972" spans="1:17" ht="15.75" customHeight="1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</row>
    <row r="1973" spans="1:17" ht="15.75" customHeight="1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</row>
    <row r="1974" spans="1:17" ht="15.75" customHeight="1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</row>
    <row r="1975" spans="1:17" ht="15.75" customHeight="1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</row>
    <row r="1976" spans="1:17" ht="15.75" customHeight="1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</row>
    <row r="1977" spans="1:17" ht="15.75" customHeight="1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</row>
    <row r="1978" spans="1:17" ht="15.75" customHeight="1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</row>
    <row r="1979" spans="1:17" ht="15.75" customHeight="1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</row>
    <row r="1980" spans="1:17" ht="15.75" customHeight="1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</row>
    <row r="1981" spans="1:17" ht="15.75" customHeight="1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</row>
    <row r="1982" spans="1:17" ht="15.75" customHeight="1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</row>
    <row r="1983" spans="1:17" ht="15.75" customHeight="1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</row>
    <row r="1984" spans="1:17" ht="15.75" customHeight="1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</row>
    <row r="1985" spans="1:17" ht="15.75" customHeight="1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</row>
    <row r="1986" spans="1:17" ht="15.75" customHeight="1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</row>
    <row r="1987" spans="1:17" ht="15.75" customHeight="1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</row>
    <row r="1988" spans="1:17" ht="15.75" customHeight="1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</row>
    <row r="1989" spans="1:17" ht="15.75" customHeight="1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</row>
    <row r="1990" spans="1:17" ht="15.75" customHeight="1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</row>
    <row r="1991" spans="1:17" ht="15.75" customHeight="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</row>
    <row r="1992" spans="1:17" ht="15.75" customHeight="1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</row>
    <row r="1993" spans="1:17" ht="15.75" customHeight="1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</row>
    <row r="1994" spans="1:17" ht="15.75" customHeight="1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</row>
    <row r="1995" spans="1:17" ht="15.75" customHeight="1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</row>
    <row r="1996" spans="1:17" ht="15.75" customHeight="1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</row>
    <row r="1997" spans="1:17" ht="15.75" customHeight="1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</row>
    <row r="1998" spans="1:17" ht="15.75" customHeight="1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</row>
    <row r="1999" spans="1:17" ht="15.75" customHeight="1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</row>
    <row r="2000" spans="1:17" ht="15.75" customHeight="1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</row>
    <row r="2001" spans="1:17" ht="15.75" customHeight="1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</row>
    <row r="2002" spans="1:17" ht="15.75" customHeight="1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</row>
    <row r="2003" spans="1:17" ht="15.75" customHeight="1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</row>
    <row r="2004" spans="1:17" ht="15.75" customHeight="1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</row>
    <row r="2005" spans="1:17" ht="15.75" customHeight="1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</row>
    <row r="2006" spans="1:17" ht="15.75" customHeight="1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</row>
    <row r="2007" spans="1:17" ht="15.75" customHeight="1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</row>
    <row r="2008" spans="1:17" ht="15.75" customHeight="1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</row>
    <row r="2009" spans="1:17" ht="15.75" customHeight="1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</row>
    <row r="2010" spans="1:17" ht="15.75" customHeight="1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</row>
    <row r="2011" spans="1:17" ht="15.75" customHeight="1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</row>
    <row r="2012" spans="1:17" ht="15.75" customHeight="1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</row>
    <row r="2013" spans="1:17" ht="15.75" customHeight="1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</row>
    <row r="2014" spans="1:17" ht="15.75" customHeight="1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</row>
    <row r="2015" spans="1:17" ht="15.75" customHeight="1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</row>
    <row r="2016" spans="1:17" ht="15.75" customHeight="1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</row>
    <row r="2017" spans="1:17" ht="15.75" customHeight="1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</row>
    <row r="2018" spans="1:17" ht="15.75" customHeight="1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</row>
    <row r="2019" spans="1:17" ht="15.75" customHeight="1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</row>
    <row r="2020" spans="1:17" ht="15.75" customHeight="1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</row>
    <row r="2021" spans="1:17" ht="15.75" customHeight="1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</row>
    <row r="2022" spans="1:17" ht="15.75" customHeight="1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</row>
    <row r="2023" spans="1:17" ht="15.75" customHeight="1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</row>
    <row r="2024" spans="1:17" ht="15.75" customHeight="1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</row>
    <row r="2025" spans="1:17" ht="15.75" customHeight="1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</row>
    <row r="2026" spans="1:17" ht="15.75" customHeight="1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</row>
    <row r="2027" spans="1:17" ht="15.75" customHeight="1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</row>
    <row r="2028" spans="1:17" ht="15.75" customHeight="1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</row>
    <row r="2029" spans="1:17" ht="15.75" customHeight="1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</row>
    <row r="2030" spans="1:17" ht="15.75" customHeight="1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</row>
    <row r="2031" spans="1:17" ht="15.75" customHeight="1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</row>
    <row r="2032" spans="1:17" ht="15.75" customHeight="1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</row>
    <row r="2033" spans="1:17" ht="15.75" customHeight="1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</row>
    <row r="2034" spans="1:17" ht="15.75" customHeight="1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</row>
    <row r="2035" spans="1:17" ht="15.75" customHeight="1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</row>
    <row r="2036" spans="1:17" ht="15.75" customHeight="1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</row>
    <row r="2037" spans="1:17" ht="15.75" customHeight="1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</row>
    <row r="2038" spans="1:17" ht="15.75" customHeight="1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</row>
    <row r="2039" spans="1:17" ht="15.75" customHeight="1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</row>
    <row r="2040" spans="1:17" ht="15.75" customHeight="1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</row>
    <row r="2041" spans="1:17" ht="15.75" customHeight="1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</row>
    <row r="2042" spans="1:17" ht="15.75" customHeight="1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</row>
    <row r="2043" spans="1:17" ht="15.75" customHeight="1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</row>
    <row r="2044" spans="1:17" ht="15.75" customHeight="1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</row>
    <row r="2045" spans="1:17" ht="15.75" customHeight="1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</row>
    <row r="2046" spans="1:17" ht="15.75" customHeight="1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</row>
    <row r="2047" spans="1:17" ht="15.75" customHeight="1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</row>
    <row r="2048" spans="1:17" ht="15.75" customHeight="1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</row>
    <row r="2049" spans="1:17" ht="15.75" customHeight="1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</row>
    <row r="2050" spans="1:17" ht="15.75" customHeight="1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</row>
    <row r="2051" spans="1:17" ht="15.75" customHeight="1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</row>
    <row r="2052" spans="1:17" ht="15.75" customHeight="1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</row>
    <row r="2053" spans="1:17" ht="15.75" customHeight="1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</row>
    <row r="2054" spans="1:17" ht="15.75" customHeight="1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</row>
    <row r="2055" spans="1:17" ht="15.75" customHeight="1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</row>
    <row r="2056" spans="1:17" ht="15.75" customHeight="1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</row>
    <row r="2057" spans="1:17" ht="15.75" customHeight="1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</row>
    <row r="2058" spans="1:17" ht="15.75" customHeight="1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</row>
    <row r="2059" spans="1:17" ht="15.75" customHeight="1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</row>
    <row r="2060" spans="1:17" ht="15.75" customHeight="1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</row>
    <row r="2061" spans="1:17" ht="15.75" customHeight="1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</row>
    <row r="2062" spans="1:17" ht="15.75" customHeight="1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</row>
    <row r="2063" spans="1:17" ht="15.75" customHeight="1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</row>
    <row r="2064" spans="1:17" ht="15.75" customHeight="1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</row>
    <row r="2065" spans="1:17" ht="15.75" customHeight="1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</row>
    <row r="2066" spans="1:17" ht="15.75" customHeight="1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</row>
    <row r="2067" spans="1:17" ht="15.75" customHeight="1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</row>
    <row r="2068" spans="1:17" ht="15.75" customHeight="1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</row>
    <row r="2069" spans="1:17" ht="15.75" customHeight="1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</row>
    <row r="2070" spans="1:17" ht="15.75" customHeight="1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</row>
    <row r="2071" spans="1:17" ht="15.75" customHeight="1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</row>
    <row r="2072" spans="1:17" ht="15.75" customHeight="1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</row>
    <row r="2073" spans="1:17" ht="15.75" customHeight="1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</row>
    <row r="2074" spans="1:17" ht="15.75" customHeight="1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</row>
    <row r="2075" spans="1:17" ht="15.75" customHeight="1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</row>
    <row r="2076" spans="1:17" ht="15.75" customHeight="1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</row>
    <row r="2077" spans="1:17" ht="15.75" customHeight="1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</row>
    <row r="2078" spans="1:17" ht="15.75" customHeight="1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</row>
    <row r="2079" spans="1:17" ht="15.75" customHeight="1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</row>
    <row r="2080" spans="1:17" ht="15.75" customHeight="1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</row>
    <row r="2081" spans="1:17" ht="15.75" customHeight="1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</row>
    <row r="2082" spans="1:17" ht="15.75" customHeight="1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</row>
    <row r="2083" spans="1:17" ht="15.75" customHeight="1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</row>
    <row r="2084" spans="1:17" ht="15.75" customHeight="1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</row>
    <row r="2085" spans="1:17" ht="15.75" customHeight="1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</row>
    <row r="2086" spans="1:17" ht="15.75" customHeight="1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</row>
    <row r="2087" spans="1:17" ht="15.75" customHeight="1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</row>
    <row r="2088" spans="1:17" ht="15.75" customHeight="1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</row>
    <row r="2089" spans="1:17" ht="15.75" customHeight="1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</row>
    <row r="2090" spans="1:17" ht="15.75" customHeight="1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</row>
    <row r="2091" spans="1:17" ht="15.75" customHeight="1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</row>
    <row r="2092" spans="1:17" ht="15.75" customHeight="1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</row>
    <row r="2093" spans="1:17" ht="15.75" customHeight="1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</row>
    <row r="2094" spans="1:17" ht="15.75" customHeight="1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</row>
    <row r="2095" spans="1:17" ht="15.75" customHeight="1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</row>
    <row r="2096" spans="1:17" ht="15.75" customHeight="1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</row>
    <row r="2097" spans="1:17" ht="15.75" customHeight="1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</row>
    <row r="2098" spans="1:17" ht="15.75" customHeight="1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</row>
    <row r="2099" spans="1:17" ht="15.75" customHeight="1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</row>
    <row r="2100" spans="1:17" ht="15.75" customHeight="1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</row>
    <row r="2101" spans="1:17" ht="15.75" customHeight="1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</row>
    <row r="2102" spans="1:17" ht="15.75" customHeight="1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</row>
    <row r="2103" spans="1:17" ht="15.75" customHeight="1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</row>
    <row r="2104" spans="1:17" ht="15.75" customHeight="1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</row>
    <row r="2105" spans="1:17" ht="15.75" customHeight="1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</row>
    <row r="2106" spans="1:17" ht="15.75" customHeight="1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</row>
    <row r="2107" spans="1:17" ht="15.75" customHeight="1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</row>
    <row r="2108" spans="1:17" ht="15.75" customHeight="1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</row>
    <row r="2109" spans="1:17" ht="15.75" customHeight="1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</row>
    <row r="2110" spans="1:17" ht="15.75" customHeight="1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</row>
    <row r="2111" spans="1:17" ht="15.75" customHeight="1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</row>
    <row r="2112" spans="1:17" ht="15.75" customHeight="1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</row>
    <row r="2113" spans="1:17" ht="15.75" customHeight="1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</row>
    <row r="2114" spans="1:17" ht="15.75" customHeight="1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</row>
    <row r="2115" spans="1:17" ht="15.75" customHeight="1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</row>
    <row r="2116" spans="1:17" ht="15.75" customHeight="1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</row>
    <row r="2117" spans="1:17" ht="15.75" customHeight="1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</row>
    <row r="2118" spans="1:17" ht="15.75" customHeight="1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</row>
    <row r="2119" spans="1:17" ht="15.75" customHeight="1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</row>
    <row r="2120" spans="1:17" ht="15.75" customHeight="1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</row>
    <row r="2121" spans="1:17" ht="15.75" customHeight="1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</row>
    <row r="2122" spans="1:17" ht="15.75" customHeight="1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</row>
    <row r="2123" spans="1:17" ht="15.75" customHeight="1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</row>
    <row r="2124" spans="1:17" ht="15.75" customHeight="1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</row>
    <row r="2125" spans="1:17" ht="15.75" customHeight="1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</row>
    <row r="2126" spans="1:17" ht="15.75" customHeight="1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</row>
    <row r="2127" spans="1:17" ht="15.75" customHeight="1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</row>
    <row r="2128" spans="1:17" ht="15.75" customHeight="1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</row>
    <row r="2129" spans="1:17" ht="15.75" customHeight="1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</row>
    <row r="2130" spans="1:17" ht="15.75" customHeight="1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</row>
    <row r="2131" spans="1:17" ht="15.75" customHeight="1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</row>
    <row r="2132" spans="1:17" ht="15.75" customHeight="1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</row>
    <row r="2133" spans="1:17" ht="15.75" customHeight="1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</row>
    <row r="2134" spans="1:17" ht="15.75" customHeight="1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</row>
    <row r="2135" spans="1:17" ht="15.75" customHeight="1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</row>
    <row r="2136" spans="1:17" ht="15.75" customHeight="1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</row>
    <row r="2137" spans="1:17" ht="15.75" customHeight="1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</row>
    <row r="2138" spans="1:17" ht="15.75" customHeight="1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</row>
    <row r="2139" spans="1:17" ht="15.75" customHeight="1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</row>
    <row r="2140" spans="1:17" ht="15.75" customHeight="1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</row>
    <row r="2141" spans="1:17" ht="15.75" customHeight="1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</row>
    <row r="2142" spans="1:17" ht="15.75" customHeight="1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</row>
    <row r="2143" spans="1:17" ht="15.75" customHeight="1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</row>
    <row r="2144" spans="1:17" ht="15.75" customHeight="1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</row>
    <row r="2145" spans="1:17" ht="15.75" customHeight="1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</row>
    <row r="2146" spans="1:17" ht="15.75" customHeight="1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</row>
    <row r="2147" spans="1:17" ht="15.75" customHeight="1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</row>
    <row r="2148" spans="1:17" ht="15.75" customHeight="1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</row>
    <row r="2149" spans="1:17" ht="15.75" customHeight="1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</row>
    <row r="2150" spans="1:17" ht="15.75" customHeight="1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</row>
    <row r="2151" spans="1:17" ht="15.75" customHeight="1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</row>
    <row r="2152" spans="1:17" ht="15.75" customHeight="1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</row>
    <row r="2153" spans="1:17" ht="15.75" customHeight="1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</row>
    <row r="2154" spans="1:17" ht="15.75" customHeight="1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</row>
    <row r="2155" spans="1:17" ht="15.75" customHeight="1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</row>
    <row r="2156" spans="1:17" ht="15.75" customHeight="1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</row>
    <row r="2157" spans="1:17" ht="15.75" customHeight="1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</row>
    <row r="2158" spans="1:17" ht="15.75" customHeight="1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</row>
    <row r="2159" spans="1:17" ht="15.75" customHeight="1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</row>
    <row r="2160" spans="1:17" ht="15.75" customHeight="1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</row>
    <row r="2161" spans="1:17" ht="15.75" customHeight="1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</row>
    <row r="2162" spans="1:17" ht="15.75" customHeight="1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</row>
    <row r="2163" spans="1:17" ht="15.75" customHeight="1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</row>
    <row r="2164" spans="1:17" ht="15.75" customHeight="1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</row>
    <row r="2165" spans="1:17" ht="15.75" customHeight="1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</row>
    <row r="2166" spans="1:17" ht="15.75" customHeight="1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</row>
    <row r="2167" spans="1:17" ht="15.75" customHeight="1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</row>
    <row r="2168" spans="1:17" ht="15.75" customHeight="1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</row>
    <row r="2169" spans="1:17" ht="15.75" customHeight="1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</row>
    <row r="2170" spans="1:17" ht="15.75" customHeight="1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</row>
    <row r="2171" spans="1:17" ht="15.75" customHeight="1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</row>
    <row r="2172" spans="1:17" ht="15.75" customHeight="1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</row>
    <row r="2173" spans="1:17" ht="15.75" customHeight="1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</row>
    <row r="2174" spans="1:17" ht="15.75" customHeight="1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</row>
    <row r="2175" spans="1:17" ht="15.75" customHeight="1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</row>
    <row r="2176" spans="1:17" ht="15.75" customHeight="1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</row>
    <row r="2177" spans="1:17" ht="15.75" customHeight="1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</row>
    <row r="2178" spans="1:17" ht="15.75" customHeight="1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</row>
    <row r="2179" spans="1:17" ht="15.75" customHeight="1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</row>
    <row r="2180" spans="1:17" ht="15.75" customHeight="1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</row>
    <row r="2181" spans="1:17" ht="15.75" customHeight="1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</row>
    <row r="2182" spans="1:17" ht="15.75" customHeight="1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</row>
    <row r="2183" spans="1:17" ht="15.75" customHeight="1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</row>
    <row r="2184" spans="1:17" ht="15.75" customHeight="1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</row>
    <row r="2185" spans="1:17" ht="15.75" customHeight="1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</row>
    <row r="2186" spans="1:17" ht="15.75" customHeight="1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</row>
    <row r="2187" spans="1:17" ht="15.75" customHeight="1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</row>
    <row r="2188" spans="1:17" ht="15.75" customHeight="1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</row>
    <row r="2189" spans="1:17" ht="15.75" customHeight="1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</row>
    <row r="2190" spans="1:17" ht="15.75" customHeight="1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</row>
    <row r="2191" spans="1:17" ht="15.75" customHeight="1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</row>
    <row r="2192" spans="1:17" ht="15.75" customHeight="1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</row>
    <row r="2193" spans="1:17" ht="15.75" customHeight="1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</row>
    <row r="2194" spans="1:17" ht="15.75" customHeight="1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</row>
    <row r="2195" spans="1:17" ht="15.75" customHeight="1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</row>
    <row r="2196" spans="1:17" ht="15.75" customHeight="1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</row>
    <row r="2197" spans="1:17" ht="15.75" customHeight="1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</row>
    <row r="2198" spans="1:17" ht="15.75" customHeight="1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</row>
    <row r="2199" spans="1:17" ht="15.75" customHeight="1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</row>
    <row r="2200" spans="1:17" ht="15.75" customHeight="1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</row>
    <row r="2201" spans="1:17" ht="15.75" customHeight="1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</row>
    <row r="2202" spans="1:17" ht="15.75" customHeight="1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</row>
    <row r="2203" spans="1:17" ht="15.75" customHeight="1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</row>
    <row r="2204" spans="1:17" ht="15.75" customHeight="1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</row>
    <row r="2205" spans="1:17" ht="15.75" customHeight="1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</row>
    <row r="2206" spans="1:17" ht="15.75" customHeight="1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</row>
    <row r="2207" spans="1:17" ht="15.75" customHeight="1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</row>
    <row r="2208" spans="1:17" ht="15.75" customHeight="1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</row>
    <row r="2209" spans="1:17" ht="15.75" customHeight="1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</row>
    <row r="2210" spans="1:17" ht="15.75" customHeight="1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</row>
    <row r="2211" spans="1:17" ht="15.75" customHeight="1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</row>
    <row r="2212" spans="1:17" ht="15.75" customHeight="1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</row>
    <row r="2213" spans="1:17" ht="15.75" customHeight="1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</row>
    <row r="2214" spans="1:17" ht="15.75" customHeight="1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</row>
    <row r="2215" spans="1:17" ht="15.75" customHeight="1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</row>
    <row r="2216" spans="1:17" ht="15.75" customHeight="1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</row>
    <row r="2217" spans="1:17" ht="15.75" customHeight="1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</row>
    <row r="2218" spans="1:17" ht="15.75" customHeight="1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</row>
    <row r="2219" spans="1:17" ht="15.75" customHeight="1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</row>
    <row r="2220" spans="1:17" ht="15.75" customHeight="1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</row>
    <row r="2221" spans="1:17" ht="15.75" customHeight="1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</row>
    <row r="2222" spans="1:17" ht="15.75" customHeight="1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</row>
    <row r="2223" spans="1:17" ht="15.75" customHeight="1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</row>
    <row r="2224" spans="1:17" ht="15.75" customHeight="1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</row>
    <row r="2225" spans="1:17" ht="15.75" customHeight="1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</row>
    <row r="2226" spans="1:17" ht="15.75" customHeight="1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</row>
    <row r="2227" spans="1:17" ht="15.75" customHeight="1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</row>
    <row r="2228" spans="1:17" ht="15.75" customHeight="1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</row>
    <row r="2229" spans="1:17" ht="15.75" customHeight="1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</row>
    <row r="2230" spans="1:17" ht="15.75" customHeight="1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</row>
    <row r="2231" spans="1:17" ht="15.75" customHeight="1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</row>
    <row r="2232" spans="1:17" ht="15.75" customHeight="1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</row>
    <row r="2233" spans="1:17" ht="15.75" customHeight="1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</row>
    <row r="2234" spans="1:17" ht="15.75" customHeight="1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</row>
    <row r="2235" spans="1:17" ht="15.75" customHeight="1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</row>
    <row r="2236" spans="1:17" ht="15.75" customHeight="1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</row>
    <row r="2237" spans="1:17" ht="15.75" customHeight="1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</row>
    <row r="2238" spans="1:17" ht="15.75" customHeight="1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</row>
    <row r="2239" spans="1:17" ht="15.75" customHeight="1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</row>
    <row r="2240" spans="1:17" ht="15.75" customHeight="1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</row>
    <row r="2241" spans="1:17" ht="15.75" customHeight="1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</row>
    <row r="2242" spans="1:17" ht="15.75" customHeight="1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</row>
    <row r="2243" spans="1:17" ht="15.75" customHeight="1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</row>
    <row r="2244" spans="1:17" ht="15.75" customHeight="1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</row>
    <row r="2245" spans="1:17" ht="15.75" customHeight="1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</row>
    <row r="2246" spans="1:17" ht="15.75" customHeight="1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</row>
    <row r="2247" spans="1:17" ht="15.75" customHeight="1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</row>
    <row r="2248" spans="1:17" ht="15.75" customHeight="1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</row>
    <row r="2249" spans="1:17" ht="15.75" customHeight="1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</row>
    <row r="2250" spans="1:17" ht="15.75" customHeight="1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</row>
    <row r="2251" spans="1:17" ht="15.75" customHeight="1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</row>
    <row r="2252" spans="1:17" ht="15.75" customHeight="1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</row>
    <row r="2253" spans="1:17" ht="15.75" customHeight="1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</row>
    <row r="2254" spans="1:17" ht="15.75" customHeight="1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</row>
    <row r="2255" spans="1:17" ht="15.75" customHeight="1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</row>
    <row r="2256" spans="1:17" ht="15.75" customHeight="1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</row>
    <row r="2257" spans="1:17" ht="15.75" customHeight="1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</row>
    <row r="2258" spans="1:17" ht="15.75" customHeight="1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</row>
    <row r="2259" spans="1:17" ht="15.75" customHeight="1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</row>
    <row r="2260" spans="1:17" ht="15.75" customHeight="1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</row>
    <row r="2261" spans="1:17" ht="15.75" customHeight="1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</row>
    <row r="2262" spans="1:17" ht="15.75" customHeight="1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</row>
    <row r="2263" spans="1:17" ht="15.75" customHeight="1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</row>
    <row r="2264" spans="1:17" ht="15.75" customHeight="1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</row>
    <row r="2265" spans="1:17" ht="15.75" customHeight="1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</row>
    <row r="2266" spans="1:17" ht="15.75" customHeight="1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</row>
    <row r="2267" spans="1:17" ht="15.75" customHeight="1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</row>
    <row r="2268" spans="1:17" ht="15.75" customHeight="1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</row>
    <row r="2269" spans="1:17" ht="15.75" customHeight="1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</row>
    <row r="2270" spans="1:17" ht="15.75" customHeight="1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</row>
    <row r="2271" spans="1:17" ht="15.75" customHeight="1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</row>
    <row r="2272" spans="1:17" ht="15.75" customHeight="1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</row>
    <row r="2273" spans="1:17" ht="15.75" customHeight="1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</row>
    <row r="2274" spans="1:17" ht="15.75" customHeight="1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</row>
    <row r="2275" spans="1:17" ht="15.75" customHeight="1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</row>
    <row r="2276" spans="1:17" ht="15.75" customHeight="1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</row>
    <row r="2277" spans="1:17" ht="15.75" customHeight="1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</row>
    <row r="2278" spans="1:17" ht="15.75" customHeight="1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</row>
    <row r="2279" spans="1:17" ht="15.75" customHeight="1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</row>
    <row r="2280" spans="1:17" ht="15.75" customHeight="1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</row>
    <row r="2281" spans="1:17" ht="15.75" customHeight="1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</row>
    <row r="2282" spans="1:17" ht="15.75" customHeight="1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</row>
    <row r="2283" spans="1:17" ht="15.75" customHeight="1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</row>
    <row r="2284" spans="1:17" ht="15.75" customHeight="1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</row>
    <row r="2285" spans="1:17" ht="15.75" customHeight="1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</row>
    <row r="2286" spans="1:17" ht="15.75" customHeight="1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</row>
    <row r="2287" spans="1:17" ht="15.75" customHeight="1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</row>
    <row r="2288" spans="1:17" ht="15.75" customHeight="1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</row>
    <row r="2289" spans="1:17" ht="15.75" customHeight="1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</row>
    <row r="2290" spans="1:17" ht="15.75" customHeight="1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</row>
    <row r="2291" spans="1:17" ht="15.75" customHeight="1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</row>
    <row r="2292" spans="1:17" ht="15.75" customHeight="1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</row>
    <row r="2293" spans="1:17" ht="15.75" customHeight="1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</row>
    <row r="2294" spans="1:17" ht="15.75" customHeight="1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</row>
    <row r="2295" spans="1:17" ht="15.75" customHeight="1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</row>
    <row r="2296" spans="1:17" ht="15.75" customHeight="1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</row>
    <row r="2297" spans="1:17" ht="15.75" customHeight="1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</row>
    <row r="2298" spans="1:17" ht="15.75" customHeight="1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</row>
    <row r="2299" spans="1:17" ht="15.75" customHeight="1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</row>
    <row r="2300" spans="1:17" ht="15.75" customHeight="1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</row>
    <row r="2301" spans="1:17" ht="15.75" customHeight="1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</row>
    <row r="2302" spans="1:17" ht="15.75" customHeight="1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</row>
    <row r="2303" spans="1:17" ht="15.75" customHeight="1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</row>
    <row r="2304" spans="1:17" ht="15.75" customHeight="1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</row>
    <row r="2305" spans="1:17" ht="15.75" customHeight="1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</row>
    <row r="2306" spans="1:17" ht="15.75" customHeight="1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</row>
    <row r="2307" spans="1:17" ht="15.75" customHeight="1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</row>
    <row r="2308" spans="1:17" ht="15.75" customHeight="1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</row>
    <row r="2309" spans="1:17" ht="15.75" customHeight="1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</row>
    <row r="2310" spans="1:17" ht="15.75" customHeight="1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</row>
    <row r="2311" spans="1:17" ht="15.75" customHeight="1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</row>
    <row r="2312" spans="1:17" ht="15.75" customHeight="1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</row>
    <row r="2313" spans="1:17" ht="15.75" customHeight="1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</row>
    <row r="2314" spans="1:17" ht="15.75" customHeight="1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</row>
    <row r="2315" spans="1:17" ht="15.75" customHeight="1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</row>
    <row r="2316" spans="1:17" ht="15.75" customHeight="1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</row>
    <row r="2317" spans="1:17" ht="15.75" customHeight="1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</row>
    <row r="2318" spans="1:17" ht="15.75" customHeight="1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</row>
    <row r="2319" spans="1:17" ht="15.75" customHeight="1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</row>
    <row r="2320" spans="1:17" ht="15.75" customHeight="1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</row>
    <row r="2321" spans="1:17" ht="15.75" customHeight="1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</row>
    <row r="2322" spans="1:17" ht="15.75" customHeight="1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</row>
    <row r="2323" spans="1:17" ht="15.75" customHeight="1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</row>
    <row r="2324" spans="1:17" ht="15.75" customHeight="1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</row>
    <row r="2325" spans="1:17" ht="15.75" customHeight="1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</row>
    <row r="2326" spans="1:17" ht="15.75" customHeight="1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</row>
    <row r="2327" spans="1:17" ht="15.75" customHeight="1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</row>
    <row r="2328" spans="1:17" ht="15.75" customHeight="1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</row>
    <row r="2329" spans="1:17" ht="15.75" customHeight="1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</row>
    <row r="2330" spans="1:17" ht="15.75" customHeight="1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</row>
    <row r="2331" spans="1:17" ht="15.75" customHeight="1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</row>
    <row r="2332" spans="1:17" ht="15.75" customHeight="1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</row>
    <row r="2333" spans="1:17" ht="15.75" customHeight="1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</row>
    <row r="2334" spans="1:17" ht="15.75" customHeight="1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</row>
    <row r="2335" spans="1:17" ht="15.75" customHeight="1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</row>
    <row r="2336" spans="1:17" ht="15.75" customHeight="1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</row>
    <row r="2337" spans="1:17" ht="15.75" customHeight="1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</row>
    <row r="2338" spans="1:17" ht="15.75" customHeight="1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</row>
    <row r="2339" spans="1:17" ht="15.75" customHeight="1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</row>
    <row r="2340" spans="1:17" ht="15.75" customHeight="1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</row>
    <row r="2341" spans="1:17" ht="15.75" customHeight="1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</row>
    <row r="2342" spans="1:17" ht="15.75" customHeight="1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</row>
    <row r="2343" spans="1:17" ht="15.75" customHeight="1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</row>
    <row r="2344" spans="1:17" ht="15.75" customHeight="1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</row>
    <row r="2345" spans="1:17" ht="15.75" customHeight="1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</row>
    <row r="2346" spans="1:17" ht="15.75" customHeight="1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</row>
  </sheetData>
  <autoFilter ref="A1:Y1662" xr:uid="{00000000-0009-0000-0000-000001000000}"/>
  <hyperlinks>
    <hyperlink ref="C17" r:id="rId1" xr:uid="{00000000-0004-0000-0100-000000000000}"/>
    <hyperlink ref="C35" r:id="rId2" xr:uid="{00000000-0004-0000-0100-000001000000}"/>
    <hyperlink ref="C36" r:id="rId3" xr:uid="{00000000-0004-0000-0100-000002000000}"/>
    <hyperlink ref="C54" r:id="rId4" xr:uid="{00000000-0004-0000-0100-000003000000}"/>
    <hyperlink ref="C131" r:id="rId5" xr:uid="{00000000-0004-0000-0100-000004000000}"/>
    <hyperlink ref="C132" r:id="rId6" xr:uid="{00000000-0004-0000-0100-000005000000}"/>
    <hyperlink ref="C170" r:id="rId7" xr:uid="{00000000-0004-0000-0100-000006000000}"/>
    <hyperlink ref="C171" r:id="rId8" xr:uid="{00000000-0004-0000-0100-000007000000}"/>
    <hyperlink ref="C172" r:id="rId9" xr:uid="{00000000-0004-0000-0100-000008000000}"/>
    <hyperlink ref="C190" r:id="rId10" xr:uid="{00000000-0004-0000-0100-000009000000}"/>
    <hyperlink ref="C191" r:id="rId11" xr:uid="{00000000-0004-0000-0100-00000A000000}"/>
    <hyperlink ref="C209" r:id="rId12" xr:uid="{00000000-0004-0000-0100-00000B000000}"/>
    <hyperlink ref="C210" r:id="rId13" xr:uid="{00000000-0004-0000-0100-00000C000000}"/>
    <hyperlink ref="C229" r:id="rId14" xr:uid="{00000000-0004-0000-0100-00000D000000}"/>
    <hyperlink ref="C248" r:id="rId15" xr:uid="{00000000-0004-0000-0100-00000E000000}"/>
    <hyperlink ref="C266" r:id="rId16" xr:uid="{00000000-0004-0000-0100-00000F000000}"/>
    <hyperlink ref="C267" r:id="rId17" xr:uid="{00000000-0004-0000-0100-000010000000}"/>
    <hyperlink ref="C285" r:id="rId18" xr:uid="{00000000-0004-0000-0100-000011000000}"/>
    <hyperlink ref="C286" r:id="rId19" xr:uid="{00000000-0004-0000-0100-000012000000}"/>
    <hyperlink ref="C323" r:id="rId20" xr:uid="{00000000-0004-0000-0100-000013000000}"/>
    <hyperlink ref="C324" r:id="rId21" xr:uid="{00000000-0004-0000-0100-000014000000}"/>
    <hyperlink ref="C325" r:id="rId22" xr:uid="{00000000-0004-0000-0100-000015000000}"/>
    <hyperlink ref="C343" r:id="rId23" xr:uid="{00000000-0004-0000-0100-000016000000}"/>
    <hyperlink ref="C344" r:id="rId24" xr:uid="{00000000-0004-0000-0100-000017000000}"/>
    <hyperlink ref="C362" r:id="rId25" xr:uid="{00000000-0004-0000-0100-000018000000}"/>
    <hyperlink ref="C363" r:id="rId26" xr:uid="{00000000-0004-0000-0100-000019000000}"/>
    <hyperlink ref="C382" r:id="rId27" xr:uid="{00000000-0004-0000-0100-00001A000000}"/>
    <hyperlink ref="C401" r:id="rId28" xr:uid="{00000000-0004-0000-0100-00001B000000}"/>
    <hyperlink ref="C402" r:id="rId29" xr:uid="{00000000-0004-0000-0100-00001C000000}"/>
    <hyperlink ref="C420" r:id="rId30" xr:uid="{00000000-0004-0000-0100-00001D000000}"/>
    <hyperlink ref="C421" r:id="rId31" xr:uid="{00000000-0004-0000-0100-00001E000000}"/>
    <hyperlink ref="C439" r:id="rId32" xr:uid="{00000000-0004-0000-0100-00001F000000}"/>
    <hyperlink ref="C440" r:id="rId33" xr:uid="{00000000-0004-0000-0100-000020000000}"/>
    <hyperlink ref="C479" r:id="rId34" xr:uid="{00000000-0004-0000-0100-000021000000}"/>
    <hyperlink ref="C480" r:id="rId35" xr:uid="{00000000-0004-0000-0100-000022000000}"/>
    <hyperlink ref="C481" r:id="rId36" xr:uid="{00000000-0004-0000-0100-000023000000}"/>
    <hyperlink ref="C499" r:id="rId37" xr:uid="{00000000-0004-0000-0100-000024000000}"/>
    <hyperlink ref="C500" r:id="rId38" xr:uid="{00000000-0004-0000-0100-000025000000}"/>
    <hyperlink ref="C518" r:id="rId39" xr:uid="{00000000-0004-0000-0100-000026000000}"/>
    <hyperlink ref="C519" r:id="rId40" xr:uid="{00000000-0004-0000-0100-000027000000}"/>
    <hyperlink ref="C538" r:id="rId41" xr:uid="{00000000-0004-0000-0100-000028000000}"/>
    <hyperlink ref="C557" r:id="rId42" xr:uid="{00000000-0004-0000-0100-000029000000}"/>
    <hyperlink ref="C558" r:id="rId43" xr:uid="{00000000-0004-0000-0100-00002A000000}"/>
    <hyperlink ref="C576" r:id="rId44" xr:uid="{00000000-0004-0000-0100-00002B000000}"/>
    <hyperlink ref="C577" r:id="rId45" xr:uid="{00000000-0004-0000-0100-00002C000000}"/>
    <hyperlink ref="C595" r:id="rId46" xr:uid="{00000000-0004-0000-0100-00002D000000}"/>
    <hyperlink ref="C634" r:id="rId47" xr:uid="{00000000-0004-0000-0100-00002E000000}"/>
    <hyperlink ref="C635" r:id="rId48" xr:uid="{00000000-0004-0000-0100-00002F000000}"/>
    <hyperlink ref="C636" r:id="rId49" xr:uid="{00000000-0004-0000-0100-000030000000}"/>
    <hyperlink ref="C654" r:id="rId50" xr:uid="{00000000-0004-0000-0100-000031000000}"/>
    <hyperlink ref="C655" r:id="rId51" xr:uid="{00000000-0004-0000-0100-000032000000}"/>
    <hyperlink ref="C673" r:id="rId52" xr:uid="{00000000-0004-0000-0100-000033000000}"/>
    <hyperlink ref="C674" r:id="rId53" xr:uid="{00000000-0004-0000-0100-000034000000}"/>
    <hyperlink ref="C693" r:id="rId54" xr:uid="{00000000-0004-0000-0100-000035000000}"/>
    <hyperlink ref="C713" r:id="rId55" xr:uid="{00000000-0004-0000-0100-000036000000}"/>
    <hyperlink ref="C714" r:id="rId56" xr:uid="{00000000-0004-0000-0100-000037000000}"/>
    <hyperlink ref="C732" r:id="rId57" xr:uid="{00000000-0004-0000-0100-000038000000}"/>
    <hyperlink ref="C733" r:id="rId58" xr:uid="{00000000-0004-0000-0100-000039000000}"/>
    <hyperlink ref="C751" r:id="rId59" xr:uid="{00000000-0004-0000-0100-00003A000000}"/>
    <hyperlink ref="C752" r:id="rId60" xr:uid="{00000000-0004-0000-0100-00003B000000}"/>
    <hyperlink ref="C753" r:id="rId61" xr:uid="{00000000-0004-0000-0100-00003C000000}"/>
    <hyperlink ref="C754" r:id="rId62" xr:uid="{00000000-0004-0000-0100-00003D000000}"/>
    <hyperlink ref="C755" r:id="rId63" xr:uid="{00000000-0004-0000-0100-00003E000000}"/>
    <hyperlink ref="C756" r:id="rId64" xr:uid="{00000000-0004-0000-0100-00003F000000}"/>
    <hyperlink ref="C757" r:id="rId65" xr:uid="{00000000-0004-0000-0100-000040000000}"/>
    <hyperlink ref="C758" r:id="rId66" xr:uid="{00000000-0004-0000-0100-000041000000}"/>
    <hyperlink ref="C790" r:id="rId67" xr:uid="{00000000-0004-0000-0100-000042000000}"/>
    <hyperlink ref="C791" r:id="rId68" xr:uid="{00000000-0004-0000-0100-000043000000}"/>
    <hyperlink ref="C809" r:id="rId69" xr:uid="{00000000-0004-0000-0100-000044000000}"/>
    <hyperlink ref="C810" r:id="rId70" xr:uid="{00000000-0004-0000-0100-000045000000}"/>
    <hyperlink ref="C828" r:id="rId71" xr:uid="{00000000-0004-0000-0100-000046000000}"/>
    <hyperlink ref="C829" r:id="rId72" xr:uid="{00000000-0004-0000-0100-000047000000}"/>
    <hyperlink ref="C848" r:id="rId73" xr:uid="{00000000-0004-0000-0100-000048000000}"/>
    <hyperlink ref="C867" r:id="rId74" xr:uid="{00000000-0004-0000-0100-000049000000}"/>
    <hyperlink ref="C868" r:id="rId75" xr:uid="{00000000-0004-0000-0100-00004A000000}"/>
    <hyperlink ref="C886" r:id="rId76" xr:uid="{00000000-0004-0000-0100-00004B000000}"/>
    <hyperlink ref="C887" r:id="rId77" xr:uid="{00000000-0004-0000-0100-00004C000000}"/>
    <hyperlink ref="C905" r:id="rId78" xr:uid="{00000000-0004-0000-0100-00004D000000}"/>
    <hyperlink ref="C906" r:id="rId79" xr:uid="{00000000-0004-0000-0100-00004E000000}"/>
    <hyperlink ref="C935" r:id="rId80" xr:uid="{00000000-0004-0000-0100-00004F000000}"/>
    <hyperlink ref="C936" r:id="rId81" xr:uid="{00000000-0004-0000-0100-000050000000}"/>
    <hyperlink ref="C937" r:id="rId82" xr:uid="{00000000-0004-0000-0100-000051000000}"/>
    <hyperlink ref="C955" r:id="rId83" xr:uid="{00000000-0004-0000-0100-000052000000}"/>
    <hyperlink ref="C956" r:id="rId84" xr:uid="{00000000-0004-0000-0100-000053000000}"/>
    <hyperlink ref="C974" r:id="rId85" xr:uid="{00000000-0004-0000-0100-000054000000}"/>
    <hyperlink ref="C975" r:id="rId86" xr:uid="{00000000-0004-0000-0100-000055000000}"/>
    <hyperlink ref="C994" r:id="rId87" xr:uid="{00000000-0004-0000-0100-000056000000}"/>
    <hyperlink ref="C999" r:id="rId88" xr:uid="{00000000-0004-0000-0100-000057000000}"/>
    <hyperlink ref="C1014" r:id="rId89" xr:uid="{00000000-0004-0000-0100-000058000000}"/>
    <hyperlink ref="C1015" r:id="rId90" xr:uid="{00000000-0004-0000-0100-000059000000}"/>
    <hyperlink ref="C1033" r:id="rId91" xr:uid="{00000000-0004-0000-0100-00005A000000}"/>
    <hyperlink ref="C1034" r:id="rId92" xr:uid="{00000000-0004-0000-0100-00005B000000}"/>
    <hyperlink ref="C1052" r:id="rId93" xr:uid="{00000000-0004-0000-0100-00005C000000}"/>
    <hyperlink ref="C1081" r:id="rId94" xr:uid="{00000000-0004-0000-0100-00005D000000}"/>
    <hyperlink ref="C1082" r:id="rId95" xr:uid="{00000000-0004-0000-0100-00005E000000}"/>
    <hyperlink ref="C1083" r:id="rId96" xr:uid="{00000000-0004-0000-0100-00005F000000}"/>
    <hyperlink ref="C1102" r:id="rId97" xr:uid="{00000000-0004-0000-0100-000060000000}"/>
    <hyperlink ref="C1103" r:id="rId98" xr:uid="{00000000-0004-0000-0100-000061000000}"/>
    <hyperlink ref="C1121" r:id="rId99" xr:uid="{00000000-0004-0000-0100-000062000000}"/>
    <hyperlink ref="C1122" r:id="rId100" xr:uid="{00000000-0004-0000-0100-000063000000}"/>
    <hyperlink ref="C1141" r:id="rId101" xr:uid="{00000000-0004-0000-0100-000064000000}"/>
    <hyperlink ref="C1160" r:id="rId102" xr:uid="{00000000-0004-0000-0100-000065000000}"/>
    <hyperlink ref="C1161" r:id="rId103" xr:uid="{00000000-0004-0000-0100-000066000000}"/>
    <hyperlink ref="C1179" r:id="rId104" xr:uid="{00000000-0004-0000-0100-000067000000}"/>
    <hyperlink ref="C1180" r:id="rId105" xr:uid="{00000000-0004-0000-0100-000068000000}"/>
    <hyperlink ref="C1225" r:id="rId106" xr:uid="{00000000-0004-0000-0100-000069000000}"/>
    <hyperlink ref="C1226" r:id="rId107" xr:uid="{00000000-0004-0000-0100-00006A000000}"/>
    <hyperlink ref="C1227" r:id="rId108" xr:uid="{00000000-0004-0000-0100-00006B000000}"/>
    <hyperlink ref="C1245" r:id="rId109" xr:uid="{00000000-0004-0000-0100-00006C000000}"/>
    <hyperlink ref="C1246" r:id="rId110" xr:uid="{00000000-0004-0000-0100-00006D000000}"/>
    <hyperlink ref="C1264" r:id="rId111" xr:uid="{00000000-0004-0000-0100-00006E000000}"/>
    <hyperlink ref="C1265" r:id="rId112" xr:uid="{00000000-0004-0000-0100-00006F000000}"/>
    <hyperlink ref="C1284" r:id="rId113" xr:uid="{00000000-0004-0000-0100-000070000000}"/>
    <hyperlink ref="C1303" r:id="rId114" xr:uid="{00000000-0004-0000-0100-000071000000}"/>
    <hyperlink ref="C1304" r:id="rId115" xr:uid="{00000000-0004-0000-0100-000072000000}"/>
    <hyperlink ref="C1322" r:id="rId116" xr:uid="{00000000-0004-0000-0100-000073000000}"/>
    <hyperlink ref="C1323" r:id="rId117" xr:uid="{00000000-0004-0000-0100-000074000000}"/>
    <hyperlink ref="C1369" r:id="rId118" xr:uid="{00000000-0004-0000-0100-000075000000}"/>
    <hyperlink ref="C1370" r:id="rId119" xr:uid="{00000000-0004-0000-0100-000076000000}"/>
    <hyperlink ref="C1371" r:id="rId120" xr:uid="{00000000-0004-0000-0100-000077000000}"/>
    <hyperlink ref="C1389" r:id="rId121" xr:uid="{00000000-0004-0000-0100-000078000000}"/>
    <hyperlink ref="C1390" r:id="rId122" xr:uid="{00000000-0004-0000-0100-000079000000}"/>
    <hyperlink ref="C1408" r:id="rId123" xr:uid="{00000000-0004-0000-0100-00007A000000}"/>
    <hyperlink ref="C1409" r:id="rId124" xr:uid="{00000000-0004-0000-0100-00007B000000}"/>
    <hyperlink ref="C1428" r:id="rId125" xr:uid="{00000000-0004-0000-0100-00007C000000}"/>
    <hyperlink ref="C1447" r:id="rId126" xr:uid="{00000000-0004-0000-0100-00007D000000}"/>
    <hyperlink ref="C1448" r:id="rId127" xr:uid="{00000000-0004-0000-0100-00007E000000}"/>
    <hyperlink ref="C1466" r:id="rId128" xr:uid="{00000000-0004-0000-0100-00007F000000}"/>
    <hyperlink ref="C1467" r:id="rId129" xr:uid="{00000000-0004-0000-0100-000080000000}"/>
    <hyperlink ref="C1485" r:id="rId130" xr:uid="{00000000-0004-0000-0100-000081000000}"/>
    <hyperlink ref="C1486" r:id="rId131" xr:uid="{00000000-0004-0000-0100-000082000000}"/>
    <hyperlink ref="C1516" r:id="rId132" xr:uid="{00000000-0004-0000-0100-000083000000}"/>
    <hyperlink ref="C1517" r:id="rId133" xr:uid="{00000000-0004-0000-0100-000084000000}"/>
    <hyperlink ref="C1518" r:id="rId134" xr:uid="{00000000-0004-0000-0100-000085000000}"/>
    <hyperlink ref="C1536" r:id="rId135" xr:uid="{00000000-0004-0000-0100-000086000000}"/>
    <hyperlink ref="C1537" r:id="rId136" xr:uid="{00000000-0004-0000-0100-000087000000}"/>
    <hyperlink ref="C1555" r:id="rId137" xr:uid="{00000000-0004-0000-0100-000088000000}"/>
    <hyperlink ref="C1556" r:id="rId138" xr:uid="{00000000-0004-0000-0100-000089000000}"/>
    <hyperlink ref="C1575" r:id="rId139" xr:uid="{00000000-0004-0000-0100-00008A000000}"/>
    <hyperlink ref="C1594" r:id="rId140" xr:uid="{00000000-0004-0000-0100-00008B000000}"/>
    <hyperlink ref="C1595" r:id="rId141" xr:uid="{00000000-0004-0000-0100-00008C000000}"/>
    <hyperlink ref="C1613" r:id="rId142" xr:uid="{00000000-0004-0000-0100-00008D000000}"/>
    <hyperlink ref="C1614" r:id="rId143" xr:uid="{00000000-0004-0000-0100-00008E000000}"/>
    <hyperlink ref="C1632" r:id="rId144" xr:uid="{00000000-0004-0000-0100-00008F000000}"/>
    <hyperlink ref="C1633" r:id="rId145" xr:uid="{00000000-0004-0000-0100-00009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S164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/>
  <sheetData>
    <row r="1" spans="1:19">
      <c r="A1" s="1" t="s">
        <v>13</v>
      </c>
      <c r="B1" s="1" t="s">
        <v>14</v>
      </c>
      <c r="C1" s="1" t="s">
        <v>15</v>
      </c>
      <c r="D1" s="1" t="s">
        <v>826</v>
      </c>
      <c r="E1" s="1" t="s">
        <v>827</v>
      </c>
      <c r="F1" s="1" t="s">
        <v>828</v>
      </c>
      <c r="G1" s="1" t="s">
        <v>16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s="1">
        <v>2025</v>
      </c>
      <c r="B2" s="1">
        <v>1</v>
      </c>
      <c r="C2" s="1" t="s">
        <v>37</v>
      </c>
      <c r="D2" s="1" t="e">
        <f t="array" aca="1" ref="D2" ca="1">_xludf.XLOOKUP(C2,'country region mapping'!$A$2:$A$250, 'country region mapping'!$E$2:$E$250)</f>
        <v>#NAME?</v>
      </c>
      <c r="E2" s="1" t="e">
        <f t="array" aca="1" ref="E2" ca="1">_xludf.XLOOKUP(C2,'country region mapping'!$A$2:$A$267,'country region mapping'!$F$2:$F$267)</f>
        <v>#NAME?</v>
      </c>
      <c r="F2" s="1" t="e">
        <f t="array" aca="1" ref="F2" ca="1">_xludf.XLOOKUP(C2,'country region mapping'!$A$2:$A$267,'country region mapping'!$G$2:$G$267)</f>
        <v>#NAME?</v>
      </c>
      <c r="G2" s="1">
        <v>7.7640000000000002</v>
      </c>
      <c r="H2" s="1">
        <v>2</v>
      </c>
      <c r="I2" s="1">
        <v>9</v>
      </c>
      <c r="J2" s="1">
        <v>17</v>
      </c>
      <c r="K2" s="1">
        <v>18</v>
      </c>
      <c r="L2" s="1">
        <v>11</v>
      </c>
      <c r="M2" s="1">
        <v>46</v>
      </c>
      <c r="N2" s="1">
        <v>2</v>
      </c>
      <c r="O2" s="1">
        <v>39</v>
      </c>
      <c r="P2" s="1">
        <v>11</v>
      </c>
      <c r="Q2" s="1">
        <v>46</v>
      </c>
      <c r="R2" s="1">
        <v>71</v>
      </c>
      <c r="S2" s="1">
        <v>96</v>
      </c>
    </row>
    <row r="3" spans="1:19">
      <c r="A3" s="1">
        <v>2025</v>
      </c>
      <c r="B3" s="1">
        <v>2</v>
      </c>
      <c r="C3" s="1" t="s">
        <v>34</v>
      </c>
      <c r="D3" s="1" t="e">
        <f t="array" aca="1" ref="D3" ca="1">_xludf.XLOOKUP(C3,'country region mapping'!$A$2:$A$250, 'country region mapping'!$E$2:$E$250)</f>
        <v>#NAME?</v>
      </c>
      <c r="E3" s="1" t="e">
        <f t="array" aca="1" ref="E3" ca="1">_xludf.XLOOKUP(C3,'country region mapping'!$A$2:$A$267,'country region mapping'!$F$2:$F$267)</f>
        <v>#NAME?</v>
      </c>
      <c r="F3" s="1" t="e">
        <f t="array" aca="1" ref="F3" ca="1">_xludf.XLOOKUP(C3,'country region mapping'!$A$2:$A$267,'country region mapping'!$G$2:$G$267)</f>
        <v>#NAME?</v>
      </c>
      <c r="G3" s="1">
        <v>7.54</v>
      </c>
      <c r="H3" s="1">
        <v>4</v>
      </c>
      <c r="I3" s="1">
        <v>1</v>
      </c>
      <c r="J3" s="1">
        <v>9</v>
      </c>
      <c r="K3" s="1">
        <v>4</v>
      </c>
      <c r="L3" s="1">
        <v>5</v>
      </c>
      <c r="M3" s="1">
        <v>8</v>
      </c>
      <c r="N3" s="1">
        <v>28</v>
      </c>
      <c r="O3" s="1">
        <v>7</v>
      </c>
      <c r="P3" s="1">
        <v>8</v>
      </c>
      <c r="Q3" s="1">
        <v>8</v>
      </c>
      <c r="R3" s="1">
        <v>78</v>
      </c>
      <c r="S3" s="1">
        <v>118</v>
      </c>
    </row>
    <row r="4" spans="1:19">
      <c r="A4" s="1">
        <v>2025</v>
      </c>
      <c r="B4" s="1">
        <v>3</v>
      </c>
      <c r="C4" s="1" t="s">
        <v>30</v>
      </c>
      <c r="D4" s="1" t="e">
        <f t="array" aca="1" ref="D4" ca="1">_xludf.XLOOKUP(C4,'country region mapping'!$A$2:$A$250, 'country region mapping'!$E$2:$E$250)</f>
        <v>#NAME?</v>
      </c>
      <c r="E4" s="1" t="e">
        <f t="array" aca="1" ref="E4" ca="1">_xludf.XLOOKUP(C4,'country region mapping'!$A$2:$A$267,'country region mapping'!$F$2:$F$267)</f>
        <v>#NAME?</v>
      </c>
      <c r="F4" s="1" t="e">
        <f t="array" aca="1" ref="F4" ca="1">_xludf.XLOOKUP(C4,'country region mapping'!$A$2:$A$267,'country region mapping'!$G$2:$G$267)</f>
        <v>#NAME?</v>
      </c>
      <c r="G4" s="1">
        <v>7.5389999999999997</v>
      </c>
      <c r="H4" s="1">
        <v>13</v>
      </c>
      <c r="I4" s="1">
        <v>2</v>
      </c>
      <c r="J4" s="1">
        <v>6</v>
      </c>
      <c r="K4" s="1">
        <v>15</v>
      </c>
      <c r="L4" s="1">
        <v>17</v>
      </c>
      <c r="M4" s="1">
        <v>27</v>
      </c>
      <c r="N4" s="1">
        <v>3</v>
      </c>
      <c r="O4" s="1">
        <v>11</v>
      </c>
      <c r="P4" s="1">
        <v>41</v>
      </c>
      <c r="Q4" s="1">
        <v>27</v>
      </c>
      <c r="R4" s="1">
        <v>43</v>
      </c>
      <c r="S4" s="1">
        <v>61</v>
      </c>
    </row>
    <row r="5" spans="1:19">
      <c r="A5" s="1">
        <v>2025</v>
      </c>
      <c r="B5" s="1">
        <v>4</v>
      </c>
      <c r="C5" s="1" t="s">
        <v>52</v>
      </c>
      <c r="D5" s="1" t="e">
        <f t="array" aca="1" ref="D5" ca="1">_xludf.XLOOKUP(C5,'country region mapping'!$A$2:$A$250, 'country region mapping'!$E$2:$E$250)</f>
        <v>#NAME?</v>
      </c>
      <c r="E5" s="1" t="e">
        <f t="array" aca="1" ref="E5" ca="1">_xludf.XLOOKUP(C5,'country region mapping'!$A$2:$A$267,'country region mapping'!$F$2:$F$267)</f>
        <v>#NAME?</v>
      </c>
      <c r="F5" s="1" t="e">
        <f t="array" aca="1" ref="F5" ca="1">_xludf.XLOOKUP(C5,'country region mapping'!$A$2:$A$267,'country region mapping'!$G$2:$G$267)</f>
        <v>#NAME?</v>
      </c>
      <c r="G5" s="1">
        <v>7.4390000000000001</v>
      </c>
      <c r="H5" s="1">
        <v>37</v>
      </c>
      <c r="I5" s="1">
        <v>30</v>
      </c>
      <c r="J5" s="1">
        <v>49</v>
      </c>
      <c r="K5" s="1">
        <v>29</v>
      </c>
      <c r="L5" s="1">
        <v>3</v>
      </c>
      <c r="M5" s="1">
        <v>90</v>
      </c>
      <c r="N5" s="1">
        <v>52</v>
      </c>
      <c r="O5" s="1">
        <v>5</v>
      </c>
      <c r="P5" s="1">
        <v>24</v>
      </c>
      <c r="Q5" s="1">
        <v>90</v>
      </c>
      <c r="R5" s="1">
        <v>75</v>
      </c>
      <c r="S5" s="1">
        <v>16</v>
      </c>
    </row>
    <row r="6" spans="1:19">
      <c r="A6" s="1">
        <v>2025</v>
      </c>
      <c r="B6" s="1">
        <v>5</v>
      </c>
      <c r="C6" s="1" t="s">
        <v>45</v>
      </c>
      <c r="D6" s="1" t="e">
        <f t="array" aca="1" ref="D6" ca="1">_xludf.XLOOKUP(C6,'country region mapping'!$A$2:$A$250, 'country region mapping'!$E$2:$E$250)</f>
        <v>#NAME?</v>
      </c>
      <c r="E6" s="1" t="e">
        <f t="array" aca="1" ref="E6" ca="1">_xludf.XLOOKUP(C6,'country region mapping'!$A$2:$A$267,'country region mapping'!$F$2:$F$267)</f>
        <v>#NAME?</v>
      </c>
      <c r="F6" s="1" t="e">
        <f t="array" aca="1" ref="F6" ca="1">_xludf.XLOOKUP(C6,'country region mapping'!$A$2:$A$267,'country region mapping'!$G$2:$G$267)</f>
        <v>#NAME?</v>
      </c>
      <c r="G6" s="1">
        <v>7.2549999999999999</v>
      </c>
      <c r="H6" s="1">
        <v>7</v>
      </c>
      <c r="I6" s="1">
        <v>11</v>
      </c>
      <c r="J6" s="1">
        <v>10</v>
      </c>
      <c r="K6" s="1">
        <v>7</v>
      </c>
      <c r="L6" s="1">
        <v>20</v>
      </c>
      <c r="M6" s="1">
        <v>17</v>
      </c>
      <c r="N6" s="1">
        <v>4</v>
      </c>
      <c r="O6" s="1">
        <v>53</v>
      </c>
      <c r="P6" s="1">
        <v>36</v>
      </c>
      <c r="Q6" s="1">
        <v>17</v>
      </c>
      <c r="R6" s="1">
        <v>97</v>
      </c>
      <c r="S6" s="1">
        <v>80</v>
      </c>
    </row>
    <row r="7" spans="1:19">
      <c r="A7" s="1">
        <v>2025</v>
      </c>
      <c r="B7" s="1">
        <v>6</v>
      </c>
      <c r="C7" s="1" t="s">
        <v>35</v>
      </c>
      <c r="D7" s="1" t="e">
        <f t="array" aca="1" ref="D7" ca="1">_xludf.XLOOKUP(C7,'country region mapping'!$A$2:$A$250, 'country region mapping'!$E$2:$E$250)</f>
        <v>#NAME?</v>
      </c>
      <c r="E7" s="1" t="e">
        <f t="array" aca="1" ref="E7" ca="1">_xludf.XLOOKUP(C7,'country region mapping'!$A$2:$A$267,'country region mapping'!$F$2:$F$267)</f>
        <v>#NAME?</v>
      </c>
      <c r="F7" s="1" t="e">
        <f t="array" aca="1" ref="F7" ca="1">_xludf.XLOOKUP(C7,'country region mapping'!$A$2:$A$267,'country region mapping'!$G$2:$G$267)</f>
        <v>#NAME?</v>
      </c>
      <c r="G7" s="1">
        <v>7.242</v>
      </c>
      <c r="H7" s="1">
        <v>9</v>
      </c>
      <c r="I7" s="1">
        <v>3</v>
      </c>
      <c r="J7" s="1">
        <v>3</v>
      </c>
      <c r="K7" s="1">
        <v>5</v>
      </c>
      <c r="L7" s="1">
        <v>9</v>
      </c>
      <c r="M7" s="1">
        <v>10</v>
      </c>
      <c r="N7" s="1">
        <v>8</v>
      </c>
      <c r="O7" s="1">
        <v>17</v>
      </c>
      <c r="P7" s="1">
        <v>34</v>
      </c>
      <c r="Q7" s="1">
        <v>10</v>
      </c>
      <c r="R7" s="1">
        <v>24</v>
      </c>
      <c r="S7" s="1">
        <v>83</v>
      </c>
    </row>
    <row r="8" spans="1:19">
      <c r="A8" s="1">
        <v>2025</v>
      </c>
      <c r="B8" s="1">
        <v>7</v>
      </c>
      <c r="C8" s="1" t="s">
        <v>40</v>
      </c>
      <c r="D8" s="1" t="e">
        <f t="array" aca="1" ref="D8" ca="1">_xludf.XLOOKUP(C8,'country region mapping'!$A$2:$A$267,'country region mapping'!$E$2:$E$267)</f>
        <v>#NAME?</v>
      </c>
      <c r="E8" s="1" t="e">
        <f t="array" aca="1" ref="E8" ca="1">_xludf.XLOOKUP(C8,'country region mapping'!$A$2:$A$267,'country region mapping'!$F$2:$F$267)</f>
        <v>#NAME?</v>
      </c>
      <c r="F8" s="1" t="e">
        <f t="array" aca="1" ref="F8" ca="1">_xludf.XLOOKUP(C8,'country region mapping'!$A$2:$A$267,'country region mapping'!$G$2:$G$267)</f>
        <v>#NAME?</v>
      </c>
      <c r="G8" s="1">
        <v>7.2229999999999999</v>
      </c>
      <c r="H8" s="1">
        <v>1</v>
      </c>
      <c r="I8" s="1">
        <v>25</v>
      </c>
      <c r="J8" s="1">
        <v>7</v>
      </c>
      <c r="K8" s="1"/>
      <c r="L8" s="1">
        <v>32</v>
      </c>
      <c r="M8" s="1">
        <v>7</v>
      </c>
      <c r="N8" s="1">
        <v>13</v>
      </c>
      <c r="O8" s="1">
        <v>47</v>
      </c>
      <c r="P8" s="1">
        <v>31</v>
      </c>
      <c r="Q8" s="1">
        <v>7</v>
      </c>
      <c r="R8" s="1">
        <v>22</v>
      </c>
      <c r="S8" s="1">
        <v>104</v>
      </c>
    </row>
    <row r="9" spans="1:19">
      <c r="A9" s="1">
        <v>2025</v>
      </c>
      <c r="B9" s="1">
        <v>8</v>
      </c>
      <c r="C9" s="1" t="s">
        <v>47</v>
      </c>
      <c r="D9" s="1" t="e">
        <f t="array" aca="1" ref="D9" ca="1">_xludf.XLOOKUP(C9,'country region mapping'!$A$2:$A$250, 'country region mapping'!$E$2:$E$250)</f>
        <v>#NAME?</v>
      </c>
      <c r="E9" s="1" t="e">
        <f t="array" aca="1" ref="E9" ca="1">_xludf.XLOOKUP(C9,'country region mapping'!$A$2:$A$267,'country region mapping'!$F$2:$F$267)</f>
        <v>#NAME?</v>
      </c>
      <c r="F9" s="1" t="e">
        <f t="array" aca="1" ref="F9" ca="1">_xludf.XLOOKUP(C9,'country region mapping'!$A$2:$A$267,'country region mapping'!$G$2:$G$267)</f>
        <v>#NAME?</v>
      </c>
      <c r="G9" s="1">
        <v>7.1870000000000003</v>
      </c>
      <c r="H9" s="1">
        <v>5</v>
      </c>
      <c r="I9" s="1">
        <v>18</v>
      </c>
      <c r="J9" s="1">
        <v>26</v>
      </c>
      <c r="K9" s="1">
        <v>9</v>
      </c>
      <c r="L9" s="1">
        <v>95</v>
      </c>
      <c r="M9" s="1">
        <v>44</v>
      </c>
      <c r="N9" s="1">
        <v>34</v>
      </c>
      <c r="O9" s="1">
        <v>108</v>
      </c>
      <c r="P9" s="1">
        <v>40</v>
      </c>
      <c r="Q9" s="1">
        <v>44</v>
      </c>
      <c r="R9" s="1">
        <v>65</v>
      </c>
      <c r="S9" s="1">
        <v>107</v>
      </c>
    </row>
    <row r="10" spans="1:19">
      <c r="A10" s="1">
        <v>2025</v>
      </c>
      <c r="B10" s="1">
        <v>9</v>
      </c>
      <c r="C10" s="1" t="s">
        <v>59</v>
      </c>
      <c r="D10" s="1" t="e">
        <f t="array" aca="1" ref="D10" ca="1">_xludf.XLOOKUP(C10,'country region mapping'!$A$2:$A$250, 'country region mapping'!$E$2:$E$250)</f>
        <v>#NAME?</v>
      </c>
      <c r="E10" s="1" t="e">
        <f t="array" aca="1" ref="E10" ca="1">_xludf.XLOOKUP(C10,'country region mapping'!$A$2:$A$267,'country region mapping'!$F$2:$F$267)</f>
        <v>#NAME?</v>
      </c>
      <c r="F10" s="1" t="e">
        <f t="array" aca="1" ref="F10" ca="1">_xludf.XLOOKUP(C10,'country region mapping'!$A$2:$A$267,'country region mapping'!$G$2:$G$267)</f>
        <v>#NAME?</v>
      </c>
      <c r="G10" s="1">
        <v>7.0629999999999997</v>
      </c>
      <c r="H10" s="1">
        <v>20</v>
      </c>
      <c r="I10" s="1">
        <v>37</v>
      </c>
      <c r="J10" s="1">
        <v>2</v>
      </c>
      <c r="K10" s="1"/>
      <c r="L10" s="1">
        <v>22</v>
      </c>
      <c r="M10" s="1">
        <v>32</v>
      </c>
      <c r="N10" s="1">
        <v>9</v>
      </c>
      <c r="O10" s="1">
        <v>43</v>
      </c>
      <c r="P10" s="1">
        <v>51</v>
      </c>
      <c r="Q10" s="1">
        <v>32</v>
      </c>
      <c r="R10" s="1">
        <v>36</v>
      </c>
      <c r="S10" s="1">
        <v>110</v>
      </c>
    </row>
    <row r="11" spans="1:19">
      <c r="A11" s="1">
        <v>2025</v>
      </c>
      <c r="B11" s="1">
        <v>10</v>
      </c>
      <c r="C11" s="1" t="s">
        <v>32</v>
      </c>
      <c r="D11" s="1" t="e">
        <f t="array" aca="1" ref="D11" ca="1">_xludf.XLOOKUP(C11,'country region mapping'!$A$2:$A$250, 'country region mapping'!$E$2:$E$250)</f>
        <v>#NAME?</v>
      </c>
      <c r="E11" s="1" t="e">
        <f t="array" aca="1" ref="E11" ca="1">_xludf.XLOOKUP(C11,'country region mapping'!$A$2:$A$267,'country region mapping'!$F$2:$F$267)</f>
        <v>#NAME?</v>
      </c>
      <c r="F11" s="1" t="e">
        <f t="array" aca="1" ref="F11" ca="1">_xludf.XLOOKUP(C11,'country region mapping'!$A$2:$A$267,'country region mapping'!$G$2:$G$267)</f>
        <v>#NAME?</v>
      </c>
      <c r="G11" s="1">
        <v>7.0179999999999998</v>
      </c>
      <c r="H11" s="1">
        <v>28</v>
      </c>
      <c r="I11" s="1">
        <v>28</v>
      </c>
      <c r="J11" s="1">
        <v>4</v>
      </c>
      <c r="K11" s="1">
        <v>6</v>
      </c>
      <c r="L11" s="1">
        <v>35</v>
      </c>
      <c r="M11" s="1">
        <v>14</v>
      </c>
      <c r="N11" s="1">
        <v>5</v>
      </c>
      <c r="O11" s="1">
        <v>27</v>
      </c>
      <c r="P11" s="1">
        <v>29</v>
      </c>
      <c r="Q11" s="1">
        <v>14</v>
      </c>
      <c r="R11" s="1">
        <v>34</v>
      </c>
      <c r="S11" s="1">
        <v>116</v>
      </c>
    </row>
    <row r="12" spans="1:19">
      <c r="A12" s="1">
        <v>2025</v>
      </c>
      <c r="B12" s="1">
        <v>11</v>
      </c>
      <c r="C12" s="1" t="s">
        <v>42</v>
      </c>
      <c r="D12" s="1" t="e">
        <f t="array" aca="1" ref="D12" ca="1">_xludf.XLOOKUP(C12,'country region mapping'!$A$2:$A$250, 'country region mapping'!$E$2:$E$250)</f>
        <v>#NAME?</v>
      </c>
      <c r="E12" s="1" t="e">
        <f t="array" aca="1" ref="E12" ca="1">_xludf.XLOOKUP(C12,'country region mapping'!$A$2:$A$267,'country region mapping'!$F$2:$F$267)</f>
        <v>#NAME?</v>
      </c>
      <c r="F12" s="1" t="e">
        <f t="array" aca="1" ref="F12" ca="1">_xludf.XLOOKUP(C12,'country region mapping'!$A$2:$A$267,'country region mapping'!$G$2:$G$267)</f>
        <v>#NAME?</v>
      </c>
      <c r="G12" s="1">
        <v>6.9950000000000001</v>
      </c>
      <c r="H12" s="1">
        <v>15</v>
      </c>
      <c r="I12" s="1">
        <v>10</v>
      </c>
      <c r="J12" s="1">
        <v>25</v>
      </c>
      <c r="K12" s="1">
        <v>17</v>
      </c>
      <c r="L12" s="1">
        <v>18</v>
      </c>
      <c r="M12" s="1">
        <v>13</v>
      </c>
      <c r="N12" s="1">
        <v>6</v>
      </c>
      <c r="O12" s="1">
        <v>14</v>
      </c>
      <c r="P12" s="1">
        <v>37</v>
      </c>
      <c r="Q12" s="1">
        <v>13</v>
      </c>
      <c r="R12" s="1">
        <v>11</v>
      </c>
      <c r="S12" s="1">
        <v>38</v>
      </c>
    </row>
    <row r="13" spans="1:19">
      <c r="A13" s="1">
        <v>2025</v>
      </c>
      <c r="B13" s="1">
        <v>12</v>
      </c>
      <c r="C13" s="1" t="s">
        <v>61</v>
      </c>
      <c r="D13" s="1" t="e">
        <f t="array" aca="1" ref="D13" ca="1">_xludf.XLOOKUP(C13,'country region mapping'!$A$2:$A$250, 'country region mapping'!$E$2:$E$250)</f>
        <v>#NAME?</v>
      </c>
      <c r="E13" s="1" t="e">
        <f t="array" aca="1" ref="E13" ca="1">_xludf.XLOOKUP(C13,'country region mapping'!$A$2:$A$267,'country region mapping'!$F$2:$F$267)</f>
        <v>#NAME?</v>
      </c>
      <c r="F13" s="1" t="e">
        <f t="array" aca="1" ref="F13" ca="1">_xludf.XLOOKUP(C13,'country region mapping'!$A$2:$A$267,'country region mapping'!$G$2:$G$267)</f>
        <v>#NAME?</v>
      </c>
      <c r="G13" s="1">
        <v>6.9720000000000004</v>
      </c>
      <c r="H13" s="1">
        <v>63</v>
      </c>
      <c r="I13" s="1">
        <v>66</v>
      </c>
      <c r="J13" s="1">
        <v>59</v>
      </c>
      <c r="K13" s="1">
        <v>79</v>
      </c>
      <c r="L13" s="1">
        <v>36</v>
      </c>
      <c r="M13" s="1">
        <v>104</v>
      </c>
      <c r="N13" s="1">
        <v>54</v>
      </c>
      <c r="O13" s="1">
        <v>9</v>
      </c>
      <c r="P13" s="1">
        <v>26</v>
      </c>
      <c r="Q13" s="1">
        <v>104</v>
      </c>
      <c r="R13" s="1">
        <v>74</v>
      </c>
      <c r="S13" s="1">
        <v>68</v>
      </c>
    </row>
    <row r="14" spans="1:19">
      <c r="A14" s="1">
        <v>2025</v>
      </c>
      <c r="B14" s="1">
        <v>13</v>
      </c>
      <c r="C14" s="1" t="s">
        <v>57</v>
      </c>
      <c r="D14" s="1" t="e">
        <f t="array" aca="1" ref="D14" ca="1">_xludf.XLOOKUP(C14,'country region mapping'!$A$2:$A$250, 'country region mapping'!$E$2:$E$250)</f>
        <v>#NAME?</v>
      </c>
      <c r="E14" s="1" t="e">
        <f t="array" aca="1" ref="E14" ca="1">_xludf.XLOOKUP(C14,'country region mapping'!$A$2:$A$267,'country region mapping'!$F$2:$F$267)</f>
        <v>#NAME?</v>
      </c>
      <c r="F14" s="1" t="e">
        <f t="array" aca="1" ref="F14" ca="1">_xludf.XLOOKUP(C14,'country region mapping'!$A$2:$A$267,'country region mapping'!$G$2:$G$267)</f>
        <v>#NAME?</v>
      </c>
      <c r="G14" s="1">
        <v>6.9279999999999999</v>
      </c>
      <c r="H14" s="1">
        <v>41</v>
      </c>
      <c r="I14" s="1">
        <v>21</v>
      </c>
      <c r="J14" s="1">
        <v>1</v>
      </c>
      <c r="K14" s="1">
        <v>16</v>
      </c>
      <c r="L14" s="1">
        <v>33</v>
      </c>
      <c r="M14" s="1">
        <v>6</v>
      </c>
      <c r="N14" s="1">
        <v>12</v>
      </c>
      <c r="O14" s="1">
        <v>44</v>
      </c>
      <c r="P14" s="1">
        <v>49</v>
      </c>
      <c r="Q14" s="1">
        <v>6</v>
      </c>
      <c r="R14" s="1">
        <v>16</v>
      </c>
      <c r="S14" s="1">
        <v>41</v>
      </c>
    </row>
    <row r="15" spans="1:19">
      <c r="A15" s="1">
        <v>2025</v>
      </c>
      <c r="B15" s="1">
        <v>14</v>
      </c>
      <c r="C15" s="1" t="s">
        <v>415</v>
      </c>
      <c r="D15" s="1" t="e">
        <f t="array" aca="1" ref="D15" ca="1">_xludf.XLOOKUP(C15,'country region mapping'!$A$2:$A$250, 'country region mapping'!$E$2:$E$250)</f>
        <v>#NAME?</v>
      </c>
      <c r="E15" s="1" t="e">
        <f t="array" aca="1" ref="E15" ca="1">_xludf.XLOOKUP(C15,'country region mapping'!$A$2:$A$267,'country region mapping'!$F$2:$F$267)</f>
        <v>#NAME?</v>
      </c>
      <c r="F15" s="1" t="e">
        <f t="array" aca="1" ref="F15" ca="1">_xludf.XLOOKUP(C15,'country region mapping'!$A$2:$A$267,'country region mapping'!$G$2:$G$267)</f>
        <v>#NAME?</v>
      </c>
      <c r="G15" s="1">
        <v>6.9260000000000002</v>
      </c>
      <c r="H15" s="1">
        <v>10</v>
      </c>
      <c r="I15" s="1">
        <v>23</v>
      </c>
      <c r="J15" s="1">
        <v>12</v>
      </c>
      <c r="K15" s="1">
        <v>20</v>
      </c>
      <c r="L15" s="1">
        <v>66</v>
      </c>
      <c r="M15" s="1">
        <v>35</v>
      </c>
      <c r="N15" s="1">
        <v>20</v>
      </c>
      <c r="O15" s="1">
        <v>46</v>
      </c>
      <c r="P15" s="1">
        <v>68</v>
      </c>
      <c r="Q15" s="1">
        <v>35</v>
      </c>
      <c r="R15" s="1">
        <v>56</v>
      </c>
      <c r="S15" s="1">
        <v>101</v>
      </c>
    </row>
    <row r="16" spans="1:19">
      <c r="A16" s="1">
        <v>2025</v>
      </c>
      <c r="B16" s="1">
        <v>15</v>
      </c>
      <c r="C16" s="1" t="s">
        <v>43</v>
      </c>
      <c r="D16" s="1" t="e">
        <f t="array" aca="1" ref="D16" ca="1">_xludf.XLOOKUP(C16,'country region mapping'!$A$2:$A$250, 'country region mapping'!$E$2:$E$250)</f>
        <v>#NAME?</v>
      </c>
      <c r="E16" s="1" t="e">
        <f t="array" aca="1" ref="E16" ca="1">_xludf.XLOOKUP(C16,'country region mapping'!$A$2:$A$267,'country region mapping'!$F$2:$F$267)</f>
        <v>#NAME?</v>
      </c>
      <c r="F16" s="1" t="e">
        <f t="array" aca="1" ref="F16" ca="1">_xludf.XLOOKUP(C16,'country region mapping'!$A$2:$A$267,'country region mapping'!$G$2:$G$267)</f>
        <v>#NAME?</v>
      </c>
      <c r="G16" s="1">
        <v>6.9160000000000004</v>
      </c>
      <c r="H16" s="1">
        <v>33</v>
      </c>
      <c r="I16" s="1">
        <v>29</v>
      </c>
      <c r="J16" s="1">
        <v>16</v>
      </c>
      <c r="K16" s="1">
        <v>12</v>
      </c>
      <c r="L16" s="1">
        <v>44</v>
      </c>
      <c r="M16" s="1">
        <v>9</v>
      </c>
      <c r="N16" s="1">
        <v>17</v>
      </c>
      <c r="O16" s="1">
        <v>45</v>
      </c>
      <c r="P16" s="1">
        <v>65</v>
      </c>
      <c r="Q16" s="1">
        <v>9</v>
      </c>
      <c r="R16" s="1">
        <v>17</v>
      </c>
      <c r="S16" s="1">
        <v>37</v>
      </c>
    </row>
    <row r="17" spans="1:19">
      <c r="A17" s="1">
        <v>2025</v>
      </c>
      <c r="B17" s="1">
        <v>16</v>
      </c>
      <c r="C17" s="1" t="s">
        <v>135</v>
      </c>
      <c r="D17" s="1" t="e">
        <f t="array" aca="1" ref="D17" ca="1">_xludf.XLOOKUP(C17,'country region mapping'!$A$2:$A$267,'country region mapping'!$E$2:$E$267)</f>
        <v>#NAME?</v>
      </c>
      <c r="E17" s="1" t="e">
        <f t="array" aca="1" ref="E17" ca="1">_xludf.XLOOKUP(C17,'country region mapping'!$A$2:$A$267,'country region mapping'!$F$2:$F$267)</f>
        <v>#NAME?</v>
      </c>
      <c r="F17" s="1" t="e">
        <f t="array" aca="1" ref="F17" ca="1">_xludf.XLOOKUP(C17,'country region mapping'!$A$2:$A$267,'country region mapping'!$G$2:$G$267)</f>
        <v>#NAME?</v>
      </c>
      <c r="G17" s="1">
        <v>6.91</v>
      </c>
      <c r="H17" s="1">
        <v>86</v>
      </c>
      <c r="I17" s="1">
        <v>62</v>
      </c>
      <c r="J17" s="1">
        <v>68</v>
      </c>
      <c r="K17" s="1"/>
      <c r="L17" s="1">
        <v>21</v>
      </c>
      <c r="M17" s="1">
        <v>22</v>
      </c>
      <c r="N17" s="1">
        <v>117</v>
      </c>
      <c r="O17" s="1">
        <v>98</v>
      </c>
      <c r="P17" s="1">
        <v>16</v>
      </c>
      <c r="Q17" s="1">
        <v>22</v>
      </c>
      <c r="R17" s="1">
        <v>135</v>
      </c>
      <c r="S17" s="1">
        <v>74</v>
      </c>
    </row>
    <row r="18" spans="1:19">
      <c r="A18" s="1">
        <v>2025</v>
      </c>
      <c r="B18" s="1">
        <v>17</v>
      </c>
      <c r="C18" s="1" t="s">
        <v>539</v>
      </c>
      <c r="D18" s="1" t="e">
        <f t="array" aca="1" ref="D18" ca="1">_xludf.XLOOKUP(C18,'country region mapping'!$A$2:$A$250, 'country region mapping'!$E$2:$E$250)</f>
        <v>#NAME?</v>
      </c>
      <c r="E18" s="1" t="e">
        <f t="array" aca="1" ref="E18" ca="1">_xludf.XLOOKUP(C18,'country region mapping'!$A$2:$A$267,'country region mapping'!$F$2:$F$267)</f>
        <v>#NAME?</v>
      </c>
      <c r="F18" s="1" t="e">
        <f t="array" aca="1" ref="F18" ca="1">_xludf.XLOOKUP(C18,'country region mapping'!$A$2:$A$267,'country region mapping'!$G$2:$G$267)</f>
        <v>#NAME?</v>
      </c>
      <c r="G18" s="1">
        <v>6.8819999999999997</v>
      </c>
      <c r="H18" s="1">
        <v>34</v>
      </c>
      <c r="I18" s="1">
        <v>38</v>
      </c>
      <c r="J18" s="1">
        <v>13</v>
      </c>
      <c r="K18" s="1">
        <v>24</v>
      </c>
      <c r="L18" s="1">
        <v>68</v>
      </c>
      <c r="M18" s="1">
        <v>24</v>
      </c>
      <c r="N18" s="1">
        <v>10</v>
      </c>
      <c r="O18" s="1">
        <v>68</v>
      </c>
      <c r="P18" s="1">
        <v>53</v>
      </c>
      <c r="Q18" s="1">
        <v>24</v>
      </c>
      <c r="R18" s="1">
        <v>47</v>
      </c>
      <c r="S18" s="1">
        <v>88</v>
      </c>
    </row>
    <row r="19" spans="1:19">
      <c r="A19" s="1">
        <v>2025</v>
      </c>
      <c r="B19" s="1">
        <v>18</v>
      </c>
      <c r="C19" s="1" t="s">
        <v>116</v>
      </c>
      <c r="D19" s="1" t="e">
        <f t="array" aca="1" ref="D19" ca="1">_xludf.XLOOKUP(C19,'country region mapping'!$A$2:$A$250, 'country region mapping'!$E$2:$E$250)</f>
        <v>#NAME?</v>
      </c>
      <c r="E19" s="1" t="e">
        <f t="array" aca="1" ref="E19" ca="1">_xludf.XLOOKUP(C19,'country region mapping'!$A$2:$A$267,'country region mapping'!$F$2:$F$267)</f>
        <v>#NAME?</v>
      </c>
      <c r="F19" s="1" t="e">
        <f t="array" aca="1" ref="F19" ca="1">_xludf.XLOOKUP(C19,'country region mapping'!$A$2:$A$267,'country region mapping'!$G$2:$G$267)</f>
        <v>#NAME?</v>
      </c>
      <c r="G19" s="1">
        <v>6.8680000000000003</v>
      </c>
      <c r="H19" s="1">
        <v>25</v>
      </c>
      <c r="I19" s="1">
        <v>17</v>
      </c>
      <c r="J19" s="1">
        <v>24</v>
      </c>
      <c r="K19" s="1">
        <v>23</v>
      </c>
      <c r="L19" s="1">
        <v>7</v>
      </c>
      <c r="M19" s="1">
        <v>39</v>
      </c>
      <c r="N19" s="1">
        <v>80</v>
      </c>
      <c r="O19" s="1">
        <v>95</v>
      </c>
      <c r="P19" s="1">
        <v>54</v>
      </c>
      <c r="Q19" s="1">
        <v>39</v>
      </c>
      <c r="R19" s="1">
        <v>44</v>
      </c>
      <c r="S19" s="1">
        <v>122</v>
      </c>
    </row>
    <row r="20" spans="1:19">
      <c r="A20" s="1">
        <v>2025</v>
      </c>
      <c r="B20" s="1">
        <v>19</v>
      </c>
      <c r="C20" s="1" t="s">
        <v>49</v>
      </c>
      <c r="D20" s="1" t="e">
        <f t="array" aca="1" ref="D20" ca="1">_xludf.XLOOKUP(C20,'country region mapping'!$A$2:$A$250, 'country region mapping'!$E$2:$E$250)</f>
        <v>#NAME?</v>
      </c>
      <c r="E20" s="1" t="e">
        <f t="array" aca="1" ref="E20" ca="1">_xludf.XLOOKUP(C20,'country region mapping'!$A$2:$A$267,'country region mapping'!$F$2:$F$267)</f>
        <v>#NAME?</v>
      </c>
      <c r="F20" s="1" t="e">
        <f t="array" aca="1" ref="F20" ca="1">_xludf.XLOOKUP(C20,'country region mapping'!$A$2:$A$267,'country region mapping'!$G$2:$G$267)</f>
        <v>#NAME?</v>
      </c>
      <c r="G20" s="1">
        <v>6.8449999999999998</v>
      </c>
      <c r="H20" s="1">
        <v>24</v>
      </c>
      <c r="I20" s="1">
        <v>47</v>
      </c>
      <c r="J20" s="1">
        <v>11</v>
      </c>
      <c r="K20" s="1">
        <v>19</v>
      </c>
      <c r="L20" s="1">
        <v>53</v>
      </c>
      <c r="M20" s="1">
        <v>11</v>
      </c>
      <c r="N20" s="1">
        <v>18</v>
      </c>
      <c r="O20" s="1">
        <v>48</v>
      </c>
      <c r="P20" s="1">
        <v>39</v>
      </c>
      <c r="Q20" s="1">
        <v>11</v>
      </c>
      <c r="R20" s="1">
        <v>33</v>
      </c>
      <c r="S20" s="1">
        <v>76</v>
      </c>
    </row>
    <row r="21" spans="1:19">
      <c r="A21" s="1">
        <v>2025</v>
      </c>
      <c r="B21" s="1">
        <v>21</v>
      </c>
      <c r="C21" s="1" t="s">
        <v>71</v>
      </c>
      <c r="D21" s="1" t="e">
        <f t="array" aca="1" ref="D21" ca="1">_xludf.XLOOKUP(C21,'country region mapping'!$A$2:$A$250, 'country region mapping'!$E$2:$E$250)</f>
        <v>#NAME?</v>
      </c>
      <c r="E21" s="1" t="e">
        <f t="array" aca="1" ref="E21" ca="1">_xludf.XLOOKUP(C21,'country region mapping'!$A$2:$A$267,'country region mapping'!$F$2:$F$267)</f>
        <v>#NAME?</v>
      </c>
      <c r="F21" s="1" t="e">
        <f t="array" aca="1" ref="F21" ca="1">_xludf.XLOOKUP(C21,'country region mapping'!$A$2:$A$267,'country region mapping'!$G$2:$G$267)</f>
        <v>#NAME?</v>
      </c>
      <c r="G21" s="1">
        <v>6.8209999999999997</v>
      </c>
      <c r="H21" s="1">
        <v>66</v>
      </c>
      <c r="I21" s="1">
        <v>104</v>
      </c>
      <c r="J21" s="1">
        <v>8</v>
      </c>
      <c r="K21" s="1">
        <v>30</v>
      </c>
      <c r="L21" s="1">
        <v>4</v>
      </c>
      <c r="M21" s="1">
        <v>19</v>
      </c>
      <c r="O21" s="1">
        <v>69</v>
      </c>
      <c r="P21" s="1">
        <v>56</v>
      </c>
      <c r="Q21" s="1">
        <v>19</v>
      </c>
      <c r="R21" s="1">
        <v>28</v>
      </c>
      <c r="S21" s="1">
        <v>77</v>
      </c>
    </row>
    <row r="22" spans="1:19">
      <c r="A22" s="1">
        <v>2025</v>
      </c>
      <c r="B22" s="1">
        <v>20</v>
      </c>
      <c r="C22" s="1" t="s">
        <v>70</v>
      </c>
      <c r="D22" s="1" t="e">
        <f t="array" aca="1" ref="D22" ca="1">_xludf.XLOOKUP(C22,'country region mapping'!$A$2:$A$250, 'country region mapping'!$E$2:$E$250)</f>
        <v>#NAME?</v>
      </c>
      <c r="E22" s="1" t="e">
        <f t="array" aca="1" ref="E22" ca="1">_xludf.XLOOKUP(C22,'country region mapping'!$A$2:$A$267,'country region mapping'!$F$2:$F$267)</f>
        <v>#NAME?</v>
      </c>
      <c r="F22" s="1" t="e">
        <f t="array" aca="1" ref="F22" ca="1">_xludf.XLOOKUP(C22,'country region mapping'!$A$2:$A$267,'country region mapping'!$G$2:$G$267)</f>
        <v>#NAME?</v>
      </c>
      <c r="G22" s="1">
        <v>6.8209999999999997</v>
      </c>
      <c r="H22" s="1">
        <v>48</v>
      </c>
      <c r="I22" s="1">
        <v>15</v>
      </c>
      <c r="J22" s="1">
        <v>23</v>
      </c>
      <c r="K22" s="1">
        <v>36</v>
      </c>
      <c r="L22" s="1">
        <v>23</v>
      </c>
      <c r="M22" s="1">
        <v>38</v>
      </c>
      <c r="N22" s="1">
        <v>104</v>
      </c>
      <c r="O22" s="1">
        <v>26</v>
      </c>
      <c r="P22" s="1">
        <v>89</v>
      </c>
      <c r="Q22" s="1">
        <v>38</v>
      </c>
      <c r="R22" s="1">
        <v>57</v>
      </c>
      <c r="S22" s="1">
        <v>65</v>
      </c>
    </row>
    <row r="23" spans="1:19">
      <c r="A23" s="1">
        <v>2025</v>
      </c>
      <c r="B23" s="1">
        <v>22</v>
      </c>
      <c r="C23" s="1" t="s">
        <v>79</v>
      </c>
      <c r="D23" s="1" t="e">
        <f t="array" aca="1" ref="D23" ca="1">_xludf.XLOOKUP(C23,'country region mapping'!$A$2:$A$250, 'country region mapping'!$E$2:$E$250)</f>
        <v>#NAME?</v>
      </c>
      <c r="E23" s="1" t="e">
        <f t="array" aca="1" ref="E23" ca="1">_xludf.XLOOKUP(C23,'country region mapping'!$A$2:$A$267,'country region mapping'!$F$2:$F$267)</f>
        <v>#NAME?</v>
      </c>
      <c r="F23" s="1" t="e">
        <f t="array" aca="1" ref="F23" ca="1">_xludf.XLOOKUP(C23,'country region mapping'!$A$2:$A$267,'country region mapping'!$G$2:$G$267)</f>
        <v>#NAME?</v>
      </c>
      <c r="G23" s="1">
        <v>6.8170000000000002</v>
      </c>
      <c r="H23" s="1">
        <v>59</v>
      </c>
      <c r="I23" s="1">
        <v>53</v>
      </c>
      <c r="J23" s="1">
        <v>14</v>
      </c>
      <c r="K23" s="1">
        <v>38</v>
      </c>
      <c r="M23" s="1">
        <v>55</v>
      </c>
      <c r="O23" s="1">
        <v>23</v>
      </c>
      <c r="P23" s="1">
        <v>19</v>
      </c>
      <c r="Q23" s="1">
        <v>55</v>
      </c>
      <c r="R23" s="1">
        <v>99</v>
      </c>
      <c r="S23" s="1">
        <v>66</v>
      </c>
    </row>
    <row r="24" spans="1:19">
      <c r="A24" s="1">
        <v>2025</v>
      </c>
      <c r="B24" s="1">
        <v>23</v>
      </c>
      <c r="C24" s="1" t="s">
        <v>51</v>
      </c>
      <c r="D24" s="1" t="e">
        <f t="array" aca="1" ref="D24" ca="1">_xludf.XLOOKUP(C24,'country region mapping'!$A$2:$A$267,'country region mapping'!$E$2:$E$267)</f>
        <v>#NAME?</v>
      </c>
      <c r="E24" s="1" t="e">
        <f t="array" aca="1" ref="E24" ca="1">_xludf.XLOOKUP(C24,'country region mapping'!$A$2:$A$267,'country region mapping'!$F$2:$F$267)</f>
        <v>#NAME?</v>
      </c>
      <c r="F24" s="1" t="e">
        <f t="array" aca="1" ref="F24" ca="1">_xludf.XLOOKUP(C24,'country region mapping'!$A$2:$A$267,'country region mapping'!$G$2:$G$267)</f>
        <v>#NAME?</v>
      </c>
      <c r="G24" s="1">
        <v>6.8159999999999998</v>
      </c>
      <c r="H24" s="1">
        <v>6</v>
      </c>
      <c r="I24" s="1">
        <v>22</v>
      </c>
      <c r="J24" s="1">
        <v>5</v>
      </c>
      <c r="K24" s="1">
        <v>56</v>
      </c>
      <c r="L24" s="1">
        <v>104</v>
      </c>
      <c r="M24" s="1">
        <v>16</v>
      </c>
      <c r="N24" s="1">
        <v>48</v>
      </c>
      <c r="O24" s="1">
        <v>25</v>
      </c>
      <c r="P24" s="1">
        <v>32</v>
      </c>
      <c r="Q24" s="1">
        <v>16</v>
      </c>
      <c r="R24" s="1">
        <v>12</v>
      </c>
      <c r="S24" s="1">
        <v>25</v>
      </c>
    </row>
    <row r="25" spans="1:19">
      <c r="A25" s="1">
        <v>2025</v>
      </c>
      <c r="B25" s="1">
        <v>24</v>
      </c>
      <c r="C25" s="1" t="s">
        <v>109</v>
      </c>
      <c r="D25" s="1" t="e">
        <f t="array" aca="1" ref="D25" ca="1">_xludf.XLOOKUP(C25,'country region mapping'!$A$2:$A$250, 'country region mapping'!$E$2:$E$250)</f>
        <v>#NAME?</v>
      </c>
      <c r="E25" s="1" t="e">
        <f t="array" aca="1" ref="E25" ca="1">_xludf.XLOOKUP(C25,'country region mapping'!$A$2:$A$267,'country region mapping'!$F$2:$F$267)</f>
        <v>#NAME?</v>
      </c>
      <c r="F25" s="1" t="e">
        <f t="array" aca="1" ref="F25" ca="1">_xludf.XLOOKUP(C25,'country region mapping'!$A$2:$A$267,'country region mapping'!$G$2:$G$267)</f>
        <v>#NAME?</v>
      </c>
      <c r="G25" s="1">
        <v>6.7679999999999998</v>
      </c>
      <c r="H25" s="1">
        <v>3</v>
      </c>
      <c r="I25" s="1">
        <v>42</v>
      </c>
      <c r="J25" s="1">
        <v>29</v>
      </c>
      <c r="K25" s="1">
        <v>40</v>
      </c>
      <c r="L25" s="1">
        <v>49</v>
      </c>
      <c r="M25" s="1">
        <v>119</v>
      </c>
      <c r="N25" s="1">
        <v>30</v>
      </c>
      <c r="O25" s="1">
        <v>107</v>
      </c>
      <c r="P25" s="1">
        <v>4</v>
      </c>
      <c r="Q25" s="1">
        <v>119</v>
      </c>
      <c r="R25" s="1">
        <v>136</v>
      </c>
      <c r="S25" s="1">
        <v>139</v>
      </c>
    </row>
    <row r="26" spans="1:19">
      <c r="A26" s="1">
        <v>2025</v>
      </c>
      <c r="B26" s="1">
        <v>25</v>
      </c>
      <c r="C26" s="1" t="s">
        <v>38</v>
      </c>
      <c r="D26" s="1" t="e">
        <f t="array" aca="1" ref="D26" ca="1">_xludf.XLOOKUP(C26,'country region mapping'!$A$2:$A$250, 'country region mapping'!$E$2:$E$250)</f>
        <v>#NAME?</v>
      </c>
      <c r="E26" s="1" t="e">
        <f t="array" aca="1" ref="E26" ca="1">_xludf.XLOOKUP(C26,'country region mapping'!$A$2:$A$267,'country region mapping'!$F$2:$F$267)</f>
        <v>#NAME?</v>
      </c>
      <c r="F26" s="1" t="e">
        <f t="array" aca="1" ref="F26" ca="1">_xludf.XLOOKUP(C26,'country region mapping'!$A$2:$A$267,'country region mapping'!$G$2:$G$267)</f>
        <v>#NAME?</v>
      </c>
      <c r="G26" s="1">
        <v>6.7409999999999997</v>
      </c>
      <c r="H26" s="1">
        <v>42</v>
      </c>
      <c r="I26" s="1">
        <v>20</v>
      </c>
      <c r="J26" s="1">
        <v>18</v>
      </c>
      <c r="K26" s="1">
        <v>21</v>
      </c>
      <c r="L26" s="1">
        <v>48</v>
      </c>
      <c r="M26" s="1">
        <v>12</v>
      </c>
      <c r="N26" s="1">
        <v>14</v>
      </c>
      <c r="O26" s="1">
        <v>38</v>
      </c>
      <c r="P26" s="1">
        <v>93</v>
      </c>
      <c r="Q26" s="1">
        <v>12</v>
      </c>
      <c r="R26" s="1">
        <v>23</v>
      </c>
      <c r="S26" s="1">
        <v>27</v>
      </c>
    </row>
    <row r="27" spans="1:19">
      <c r="A27" s="1">
        <v>2025</v>
      </c>
      <c r="B27" s="1">
        <v>26</v>
      </c>
      <c r="C27" s="1" t="s">
        <v>81</v>
      </c>
      <c r="D27" s="1" t="e">
        <f t="array" aca="1" ref="D27" ca="1">_xludf.XLOOKUP(C27,'country region mapping'!$A$2:$A$267,'country region mapping'!$E$2:$E$267)</f>
        <v>#NAME?</v>
      </c>
      <c r="E27" s="1" t="e">
        <f t="array" aca="1" ref="E27" ca="1">_xludf.XLOOKUP(C27,'country region mapping'!$A$2:$A$267,'country region mapping'!$F$2:$F$267)</f>
        <v>#NAME?</v>
      </c>
      <c r="F27" s="1" t="e">
        <f t="array" aca="1" ref="F27" ca="1">_xludf.XLOOKUP(C27,'country region mapping'!$A$2:$A$267,'country region mapping'!$G$2:$G$267)</f>
        <v>#NAME?</v>
      </c>
      <c r="G27" s="1">
        <v>6.7140000000000004</v>
      </c>
      <c r="H27" s="1">
        <v>23</v>
      </c>
      <c r="I27" s="1">
        <v>61</v>
      </c>
      <c r="K27" s="1"/>
      <c r="L27" s="1">
        <v>90</v>
      </c>
      <c r="M27" s="1">
        <v>42</v>
      </c>
      <c r="N27" s="1">
        <v>42</v>
      </c>
      <c r="O27" s="1">
        <v>34</v>
      </c>
      <c r="P27" s="1">
        <v>3</v>
      </c>
      <c r="Q27" s="1">
        <v>42</v>
      </c>
      <c r="R27" s="1">
        <v>98</v>
      </c>
      <c r="S27" s="1">
        <v>67</v>
      </c>
    </row>
    <row r="28" spans="1:19">
      <c r="A28" s="1">
        <v>2025</v>
      </c>
      <c r="B28" s="1">
        <v>27</v>
      </c>
      <c r="C28" s="1" t="s">
        <v>103</v>
      </c>
      <c r="D28" s="1" t="e">
        <f t="array" aca="1" ref="D28" ca="1">_xludf.XLOOKUP(C28,'country region mapping'!$A$2:$A$250, 'country region mapping'!$E$2:$E$250)</f>
        <v>#NAME?</v>
      </c>
      <c r="E28" s="1" t="e">
        <f t="array" aca="1" ref="E28" ca="1">_xludf.XLOOKUP(C28,'country region mapping'!$A$2:$A$267,'country region mapping'!$F$2:$F$267)</f>
        <v>#NAME?</v>
      </c>
      <c r="F28" s="1" t="e">
        <f t="array" aca="1" ref="F28" ca="1">_xludf.XLOOKUP(C28,'country region mapping'!$A$2:$A$267,'country region mapping'!$G$2:$G$267)</f>
        <v>#NAME?</v>
      </c>
      <c r="G28" s="1">
        <v>6.7110000000000003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>
      <c r="A29" s="1">
        <v>2025</v>
      </c>
      <c r="B29" s="1">
        <v>28</v>
      </c>
      <c r="C29" s="1" t="s">
        <v>114</v>
      </c>
      <c r="D29" s="1" t="e">
        <f t="array" aca="1" ref="D29" ca="1">_xludf.XLOOKUP(C29,'country region mapping'!$A$2:$A$250, 'country region mapping'!$E$2:$E$250)</f>
        <v>#NAME?</v>
      </c>
      <c r="E29" s="1" t="e">
        <f t="array" aca="1" ref="E29" ca="1">_xludf.XLOOKUP(C29,'country region mapping'!$A$2:$A$267,'country region mapping'!$F$2:$F$267)</f>
        <v>#NAME?</v>
      </c>
      <c r="F29" s="1" t="e">
        <f t="array" aca="1" ref="F29" ca="1">_xludf.XLOOKUP(C29,'country region mapping'!$A$2:$A$267,'country region mapping'!$G$2:$G$267)</f>
        <v>#NAME?</v>
      </c>
      <c r="G29" s="1">
        <v>6.7039999999999997</v>
      </c>
      <c r="H29" s="1">
        <v>47</v>
      </c>
      <c r="I29" s="1">
        <v>33</v>
      </c>
      <c r="J29" s="1">
        <v>27</v>
      </c>
      <c r="K29" s="1">
        <v>52</v>
      </c>
      <c r="L29" s="1">
        <v>59</v>
      </c>
      <c r="M29" s="1">
        <v>66</v>
      </c>
      <c r="N29" s="1">
        <v>59</v>
      </c>
      <c r="O29" s="1">
        <v>87</v>
      </c>
      <c r="P29" s="1">
        <v>35</v>
      </c>
      <c r="Q29" s="1">
        <v>66</v>
      </c>
      <c r="R29" s="1">
        <v>54</v>
      </c>
      <c r="S29" s="1">
        <v>46</v>
      </c>
    </row>
    <row r="30" spans="1:19">
      <c r="A30" s="1">
        <v>2025</v>
      </c>
      <c r="B30" s="1">
        <v>29</v>
      </c>
      <c r="C30" s="1" t="s">
        <v>64</v>
      </c>
      <c r="D30" s="1" t="e">
        <f t="array" aca="1" ref="D30" ca="1">_xludf.XLOOKUP(C30,'country region mapping'!$A$2:$A$267,'country region mapping'!$E$2:$E$267)</f>
        <v>#NAME?</v>
      </c>
      <c r="E30" s="1" t="e">
        <f t="array" aca="1" ref="E30" ca="1">_xludf.XLOOKUP(C30,'country region mapping'!$A$2:$A$267,'country region mapping'!$F$2:$F$267)</f>
        <v>#NAME?</v>
      </c>
      <c r="F30" s="1" t="e">
        <f t="array" aca="1" ref="F30" ca="1">_xludf.XLOOKUP(C30,'country region mapping'!$A$2:$A$267,'country region mapping'!$G$2:$G$267)</f>
        <v>#NAME?</v>
      </c>
      <c r="G30" s="1">
        <v>6.694</v>
      </c>
      <c r="H30" s="1">
        <v>50</v>
      </c>
      <c r="I30" s="1">
        <v>46</v>
      </c>
      <c r="J30" s="1">
        <v>21</v>
      </c>
      <c r="K30" s="1">
        <v>25</v>
      </c>
      <c r="L30" s="1">
        <v>89</v>
      </c>
      <c r="M30" s="1">
        <v>5</v>
      </c>
      <c r="N30" s="1">
        <v>23</v>
      </c>
      <c r="O30" s="1">
        <v>63</v>
      </c>
      <c r="P30" s="1">
        <v>78</v>
      </c>
      <c r="Q30" s="1">
        <v>5</v>
      </c>
      <c r="R30" s="1">
        <v>29</v>
      </c>
      <c r="S30" s="1">
        <v>64</v>
      </c>
    </row>
    <row r="31" spans="1:19">
      <c r="A31" s="1">
        <v>2025</v>
      </c>
      <c r="B31" s="1">
        <v>30</v>
      </c>
      <c r="C31" s="1" t="s">
        <v>145</v>
      </c>
      <c r="D31" s="1" t="e">
        <f t="array" aca="1" ref="D31" ca="1">_xludf.XLOOKUP(C31,'country region mapping'!$A$2:$A$250, 'country region mapping'!$E$2:$E$250)</f>
        <v>#NAME?</v>
      </c>
      <c r="E31" s="1" t="e">
        <f t="array" aca="1" ref="E31" ca="1">_xludf.XLOOKUP(C31,'country region mapping'!$A$2:$A$267,'country region mapping'!$F$2:$F$267)</f>
        <v>#NAME?</v>
      </c>
      <c r="F31" s="1" t="e">
        <f t="array" aca="1" ref="F31" ca="1">_xludf.XLOOKUP(C31,'country region mapping'!$A$2:$A$267,'country region mapping'!$G$2:$G$267)</f>
        <v>#NAME?</v>
      </c>
      <c r="G31" s="1">
        <v>6.6909999999999998</v>
      </c>
      <c r="H31" s="1">
        <v>26</v>
      </c>
      <c r="I31" s="1">
        <v>8</v>
      </c>
      <c r="J31" s="1">
        <v>50</v>
      </c>
      <c r="K31" s="1">
        <v>57</v>
      </c>
      <c r="L31" s="1">
        <v>71</v>
      </c>
      <c r="M31" s="1">
        <v>40</v>
      </c>
      <c r="N31" s="1">
        <v>103</v>
      </c>
      <c r="O31" s="1">
        <v>124</v>
      </c>
      <c r="P31" s="1">
        <v>38</v>
      </c>
      <c r="Q31" s="1">
        <v>40</v>
      </c>
      <c r="R31" s="1">
        <v>126</v>
      </c>
      <c r="S31" s="1">
        <v>115</v>
      </c>
    </row>
    <row r="32" spans="1:19">
      <c r="A32" s="1">
        <v>2025</v>
      </c>
      <c r="B32" s="1">
        <v>31</v>
      </c>
      <c r="C32" s="1" t="s">
        <v>73</v>
      </c>
      <c r="D32" s="1" t="e">
        <f t="array" aca="1" ref="D32" ca="1">_xludf.XLOOKUP(C32,'country region mapping'!$A$2:$A$250, 'country region mapping'!$E$2:$E$250)</f>
        <v>#NAME?</v>
      </c>
      <c r="E32" s="1" t="e">
        <f t="array" aca="1" ref="E32" ca="1">_xludf.XLOOKUP(C32,'country region mapping'!$A$2:$A$267,'country region mapping'!$F$2:$F$267)</f>
        <v>#NAME?</v>
      </c>
      <c r="F32" s="1" t="e">
        <f t="array" aca="1" ref="F32" ca="1">_xludf.XLOOKUP(C32,'country region mapping'!$A$2:$A$267,'country region mapping'!$G$2:$G$267)</f>
        <v>#NAME?</v>
      </c>
      <c r="G32" s="1">
        <v>6.6349999999999998</v>
      </c>
      <c r="H32" s="1">
        <v>56</v>
      </c>
      <c r="I32" s="1">
        <v>35</v>
      </c>
      <c r="J32" s="1">
        <v>45</v>
      </c>
      <c r="K32" s="1">
        <v>45</v>
      </c>
      <c r="L32" s="1">
        <v>28</v>
      </c>
      <c r="M32" s="1">
        <v>86</v>
      </c>
      <c r="N32" s="1">
        <v>33</v>
      </c>
      <c r="O32" s="1">
        <v>36</v>
      </c>
      <c r="P32" s="1">
        <v>69</v>
      </c>
      <c r="Q32" s="1">
        <v>86</v>
      </c>
      <c r="R32" s="1">
        <v>100</v>
      </c>
      <c r="S32" s="1">
        <v>47</v>
      </c>
    </row>
    <row r="33" spans="1:19">
      <c r="A33" s="1">
        <v>2025</v>
      </c>
      <c r="B33" s="1">
        <v>32</v>
      </c>
      <c r="C33" s="1" t="s">
        <v>54</v>
      </c>
      <c r="D33" s="1" t="e">
        <f t="array" aca="1" ref="D33" ca="1">_xludf.XLOOKUP(C33,'country region mapping'!$A$2:$A$250, 'country region mapping'!$E$2:$E$250)</f>
        <v>#NAME?</v>
      </c>
      <c r="E33" s="1" t="e">
        <f t="array" aca="1" ref="E33" ca="1">_xludf.XLOOKUP(C33,'country region mapping'!$A$2:$A$267,'country region mapping'!$F$2:$F$267)</f>
        <v>#NAME?</v>
      </c>
      <c r="F33" s="1" t="e">
        <f t="array" aca="1" ref="F33" ca="1">_xludf.XLOOKUP(C33,'country region mapping'!$A$2:$A$267,'country region mapping'!$G$2:$G$267)</f>
        <v>#NAME?</v>
      </c>
      <c r="G33" s="1">
        <v>6.6340000000000003</v>
      </c>
      <c r="H33" s="1">
        <v>94</v>
      </c>
      <c r="I33" s="1">
        <v>52</v>
      </c>
      <c r="J33" s="1">
        <v>62</v>
      </c>
      <c r="K33" s="1">
        <v>75</v>
      </c>
      <c r="L33" s="1">
        <v>57</v>
      </c>
      <c r="M33" s="1">
        <v>99</v>
      </c>
      <c r="N33" s="1">
        <v>67</v>
      </c>
      <c r="O33" s="1">
        <v>65</v>
      </c>
      <c r="P33" s="1">
        <v>103</v>
      </c>
      <c r="Q33" s="1">
        <v>99</v>
      </c>
      <c r="R33" s="1">
        <v>85</v>
      </c>
      <c r="S33" s="1">
        <v>89</v>
      </c>
    </row>
    <row r="34" spans="1:19">
      <c r="A34" s="1">
        <v>2025</v>
      </c>
      <c r="B34" s="1">
        <v>33</v>
      </c>
      <c r="C34" s="1" t="s">
        <v>106</v>
      </c>
      <c r="D34" s="1" t="e">
        <f t="array" aca="1" ref="D34" ca="1">_xludf.XLOOKUP(C34,'country region mapping'!$A$2:$A$250, 'country region mapping'!$E$2:$E$250)</f>
        <v>#NAME?</v>
      </c>
      <c r="E34" s="1" t="e">
        <f t="array" aca="1" ref="E34" ca="1">_xludf.XLOOKUP(C34,'country region mapping'!$A$2:$A$267,'country region mapping'!$F$2:$F$267)</f>
        <v>#NAME?</v>
      </c>
      <c r="F34" s="1" t="e">
        <f t="array" aca="1" ref="F34" ca="1">_xludf.XLOOKUP(C34,'country region mapping'!$A$2:$A$267,'country region mapping'!$G$2:$G$267)</f>
        <v>#NAME?</v>
      </c>
      <c r="G34" s="1">
        <v>6.633</v>
      </c>
      <c r="H34" s="1">
        <v>21</v>
      </c>
      <c r="I34" s="1">
        <v>4</v>
      </c>
      <c r="J34" s="1">
        <v>42</v>
      </c>
      <c r="K34" s="1">
        <v>77</v>
      </c>
      <c r="L34" s="1">
        <v>62</v>
      </c>
      <c r="M34" s="1">
        <v>29</v>
      </c>
      <c r="N34" s="1">
        <v>74</v>
      </c>
      <c r="O34" s="1">
        <v>62</v>
      </c>
      <c r="P34" s="1">
        <v>2</v>
      </c>
      <c r="Q34" s="1">
        <v>29</v>
      </c>
      <c r="R34" s="1">
        <v>113</v>
      </c>
      <c r="S34" s="1">
        <v>98</v>
      </c>
    </row>
    <row r="35" spans="1:19">
      <c r="A35" s="1">
        <v>2025</v>
      </c>
      <c r="B35" s="1">
        <v>34</v>
      </c>
      <c r="C35" s="1" t="s">
        <v>128</v>
      </c>
      <c r="D35" s="1" t="e">
        <f t="array" aca="1" ref="D35" ca="1">_xludf.XLOOKUP(C35,'country region mapping'!$A$2:$A$250, 'country region mapping'!$E$2:$E$250)</f>
        <v>#NAME?</v>
      </c>
      <c r="E35" s="1" t="e">
        <f t="array" aca="1" ref="E35" ca="1">_xludf.XLOOKUP(C35,'country region mapping'!$A$2:$A$267,'country region mapping'!$F$2:$F$267)</f>
        <v>#NAME?</v>
      </c>
      <c r="F35" s="1" t="e">
        <f t="array" aca="1" ref="F35" ca="1">_xludf.XLOOKUP(C35,'country region mapping'!$A$2:$A$267,'country region mapping'!$G$2:$G$267)</f>
        <v>#NAME?</v>
      </c>
      <c r="G35" s="1">
        <v>6.6289999999999996</v>
      </c>
      <c r="H35" s="1">
        <v>54</v>
      </c>
      <c r="I35" s="1">
        <v>84</v>
      </c>
      <c r="J35" s="1">
        <v>35</v>
      </c>
      <c r="K35" s="1">
        <v>58</v>
      </c>
      <c r="L35" s="1">
        <v>70</v>
      </c>
      <c r="M35" s="1">
        <v>109</v>
      </c>
      <c r="N35" s="1">
        <v>112</v>
      </c>
      <c r="O35" s="1">
        <v>83</v>
      </c>
      <c r="P35" s="1">
        <v>58</v>
      </c>
      <c r="Q35" s="1">
        <v>109</v>
      </c>
      <c r="R35" s="1">
        <v>129</v>
      </c>
      <c r="S35" s="1">
        <v>120</v>
      </c>
    </row>
    <row r="36" spans="1:19">
      <c r="A36" s="1">
        <v>2025</v>
      </c>
      <c r="B36" s="1">
        <v>35</v>
      </c>
      <c r="C36" s="1" t="s">
        <v>76</v>
      </c>
      <c r="D36" s="1" t="e">
        <f t="array" aca="1" ref="D36" ca="1">_xludf.XLOOKUP(C36,'country region mapping'!$A$2:$A$250, 'country region mapping'!$E$2:$E$250)</f>
        <v>#NAME?</v>
      </c>
      <c r="E36" s="1" t="e">
        <f t="array" aca="1" ref="E36" ca="1">_xludf.XLOOKUP(C36,'country region mapping'!$A$2:$A$267,'country region mapping'!$F$2:$F$267)</f>
        <v>#NAME?</v>
      </c>
      <c r="F36" s="1" t="e">
        <f t="array" aca="1" ref="F36" ca="1">_xludf.XLOOKUP(C36,'country region mapping'!$A$2:$A$267,'country region mapping'!$G$2:$G$267)</f>
        <v>#NAME?</v>
      </c>
      <c r="G36" s="1">
        <v>6.5860000000000003</v>
      </c>
      <c r="H36" s="1">
        <v>36</v>
      </c>
      <c r="I36" s="1">
        <v>40</v>
      </c>
      <c r="J36" s="1">
        <v>19</v>
      </c>
      <c r="K36" s="1">
        <v>14</v>
      </c>
      <c r="L36" s="1">
        <v>114</v>
      </c>
      <c r="M36" s="1">
        <v>63</v>
      </c>
      <c r="N36" s="1">
        <v>31</v>
      </c>
      <c r="O36" s="1">
        <v>80</v>
      </c>
      <c r="P36" s="1">
        <v>74</v>
      </c>
      <c r="Q36" s="1">
        <v>63</v>
      </c>
      <c r="R36" s="1">
        <v>30</v>
      </c>
      <c r="S36" s="1">
        <v>127</v>
      </c>
    </row>
    <row r="37" spans="1:19">
      <c r="A37" s="1">
        <v>2025</v>
      </c>
      <c r="B37" s="1">
        <v>36</v>
      </c>
      <c r="C37" s="1" t="s">
        <v>63</v>
      </c>
      <c r="D37" s="1" t="e">
        <f t="array" aca="1" ref="D37" ca="1">_xludf.XLOOKUP(C37,'country region mapping'!$A$2:$A$250, 'country region mapping'!$E$2:$E$250)</f>
        <v>#NAME?</v>
      </c>
      <c r="E37" s="1" t="e">
        <f t="array" aca="1" ref="E37" ca="1">_xludf.XLOOKUP(C37,'country region mapping'!$A$2:$A$267,'country region mapping'!$F$2:$F$267)</f>
        <v>#NAME?</v>
      </c>
      <c r="F37" s="1" t="e">
        <f t="array" aca="1" ref="F37" ca="1">_xludf.XLOOKUP(C37,'country region mapping'!$A$2:$A$267,'country region mapping'!$G$2:$G$267)</f>
        <v>#NAME?</v>
      </c>
      <c r="G37" s="1">
        <v>6.585</v>
      </c>
      <c r="H37" s="1">
        <v>22</v>
      </c>
      <c r="I37" s="1">
        <v>48</v>
      </c>
      <c r="J37" s="1"/>
      <c r="K37" s="1">
        <v>1</v>
      </c>
      <c r="L37" s="1">
        <v>41</v>
      </c>
      <c r="M37" s="1">
        <v>18</v>
      </c>
      <c r="N37" s="1">
        <v>1</v>
      </c>
      <c r="O37" s="1">
        <v>56</v>
      </c>
      <c r="P37" s="1">
        <v>18</v>
      </c>
      <c r="Q37" s="1">
        <v>18</v>
      </c>
      <c r="R37" s="1">
        <v>35</v>
      </c>
      <c r="S37" s="1">
        <v>58</v>
      </c>
    </row>
    <row r="38" spans="1:19">
      <c r="A38" s="1">
        <v>2025</v>
      </c>
      <c r="B38" s="1">
        <v>37</v>
      </c>
      <c r="C38" s="1" t="s">
        <v>96</v>
      </c>
      <c r="D38" s="1" t="e">
        <f t="array" aca="1" ref="D38" ca="1">_xludf.XLOOKUP(C38,'country region mapping'!$A$2:$A$250, 'country region mapping'!$E$2:$E$250)</f>
        <v>#NAME?</v>
      </c>
      <c r="E38" s="1" t="e">
        <f t="array" aca="1" ref="E38" ca="1">_xludf.XLOOKUP(C38,'country region mapping'!$A$2:$A$267,'country region mapping'!$F$2:$F$267)</f>
        <v>#NAME?</v>
      </c>
      <c r="F38" s="1" t="e">
        <f t="array" aca="1" ref="F38" ca="1">_xludf.XLOOKUP(C38,'country region mapping'!$A$2:$A$267,'country region mapping'!$G$2:$G$267)</f>
        <v>#NAME?</v>
      </c>
      <c r="G38" s="1">
        <v>6.5780000000000003</v>
      </c>
      <c r="H38" s="1">
        <v>72</v>
      </c>
      <c r="I38" s="1">
        <v>93</v>
      </c>
      <c r="J38" s="1">
        <v>83</v>
      </c>
      <c r="K38" s="1">
        <v>73</v>
      </c>
      <c r="L38" s="1">
        <v>16</v>
      </c>
      <c r="M38" s="1">
        <v>130</v>
      </c>
      <c r="N38" s="1">
        <v>19</v>
      </c>
      <c r="O38" s="1">
        <v>10</v>
      </c>
      <c r="P38" s="1">
        <v>62</v>
      </c>
      <c r="Q38" s="1">
        <v>130</v>
      </c>
      <c r="R38" s="1">
        <v>89</v>
      </c>
      <c r="S38" s="1">
        <v>93</v>
      </c>
    </row>
    <row r="39" spans="1:19">
      <c r="A39" s="1">
        <v>2025</v>
      </c>
      <c r="B39" s="1">
        <v>38</v>
      </c>
      <c r="C39" s="1" t="s">
        <v>100</v>
      </c>
      <c r="D39" s="1" t="e">
        <f t="array" aca="1" ref="D39" ca="1">_xludf.XLOOKUP(C39,'country region mapping'!$A$2:$A$250, 'country region mapping'!$E$2:$E$250)</f>
        <v>#NAME?</v>
      </c>
      <c r="E39" s="1" t="e">
        <f t="array" aca="1" ref="E39" ca="1">_xludf.XLOOKUP(C39,'country region mapping'!$A$2:$A$267,'country region mapping'!$F$2:$F$267)</f>
        <v>#NAME?</v>
      </c>
      <c r="F39" s="1" t="e">
        <f t="array" aca="1" ref="F39" ca="1">_xludf.XLOOKUP(C39,'country region mapping'!$A$2:$A$267,'country region mapping'!$G$2:$G$267)</f>
        <v>#NAME?</v>
      </c>
      <c r="G39" s="1">
        <v>6.5739999999999998</v>
      </c>
      <c r="H39" s="1">
        <v>19</v>
      </c>
      <c r="I39" s="1">
        <v>50</v>
      </c>
      <c r="J39" s="1">
        <v>20</v>
      </c>
      <c r="K39" s="1">
        <v>13</v>
      </c>
      <c r="L39" s="1">
        <v>122</v>
      </c>
      <c r="M39" s="1">
        <v>49</v>
      </c>
      <c r="N39" s="1">
        <v>99</v>
      </c>
      <c r="O39" s="1">
        <v>70</v>
      </c>
      <c r="P39" s="1">
        <v>100</v>
      </c>
      <c r="Q39" s="1">
        <v>49</v>
      </c>
      <c r="R39" s="1">
        <v>81</v>
      </c>
      <c r="S39" s="1">
        <v>81</v>
      </c>
    </row>
    <row r="40" spans="1:19">
      <c r="A40" s="1">
        <v>2025</v>
      </c>
      <c r="B40" s="1">
        <v>39</v>
      </c>
      <c r="C40" s="1" t="s">
        <v>67</v>
      </c>
      <c r="D40" s="1" t="e">
        <f t="array" aca="1" ref="D40" ca="1">_xludf.XLOOKUP(C40,'country region mapping'!$A$2:$A$250, 'country region mapping'!$E$2:$E$250)</f>
        <v>#NAME?</v>
      </c>
      <c r="E40" s="1" t="e">
        <f t="array" aca="1" ref="E40" ca="1">_xludf.XLOOKUP(C40,'country region mapping'!$A$2:$A$267,'country region mapping'!$F$2:$F$267)</f>
        <v>#NAME?</v>
      </c>
      <c r="F40" s="1" t="e">
        <f t="array" aca="1" ref="F40" ca="1">_xludf.XLOOKUP(C40,'country region mapping'!$A$2:$A$267,'country region mapping'!$G$2:$G$267)</f>
        <v>#NAME?</v>
      </c>
      <c r="G40" s="1">
        <v>6.5469999999999997</v>
      </c>
      <c r="H40" s="1">
        <v>107</v>
      </c>
      <c r="I40" s="1">
        <v>39</v>
      </c>
      <c r="J40" s="1">
        <v>41</v>
      </c>
      <c r="K40" s="1">
        <v>33</v>
      </c>
      <c r="L40" s="1">
        <v>56</v>
      </c>
      <c r="M40" s="1">
        <v>102</v>
      </c>
      <c r="N40" s="1">
        <v>121</v>
      </c>
      <c r="O40" s="1">
        <v>8</v>
      </c>
      <c r="P40" s="1">
        <v>33</v>
      </c>
      <c r="Q40" s="1">
        <v>102</v>
      </c>
      <c r="R40" s="1">
        <v>69</v>
      </c>
      <c r="S40" s="1">
        <v>70</v>
      </c>
    </row>
    <row r="41" spans="1:19">
      <c r="A41" s="1">
        <v>2025</v>
      </c>
      <c r="B41" s="1">
        <v>40</v>
      </c>
      <c r="C41" s="1" t="s">
        <v>88</v>
      </c>
      <c r="D41" s="1" t="e">
        <f t="array" aca="1" ref="D41" ca="1">_xludf.XLOOKUP(C41,'country region mapping'!$A$2:$A$250, 'country region mapping'!$E$2:$E$250)</f>
        <v>#NAME?</v>
      </c>
      <c r="E41" s="1" t="e">
        <f t="array" aca="1" ref="E41" ca="1">_xludf.XLOOKUP(C41,'country region mapping'!$A$2:$A$267,'country region mapping'!$F$2:$F$267)</f>
        <v>#NAME?</v>
      </c>
      <c r="F41" s="1" t="e">
        <f t="array" aca="1" ref="F41" ca="1">_xludf.XLOOKUP(C41,'country region mapping'!$A$2:$A$267,'country region mapping'!$G$2:$G$267)</f>
        <v>#NAME?</v>
      </c>
      <c r="G41" s="1">
        <v>6.5430000000000001</v>
      </c>
      <c r="H41" s="1">
        <v>91</v>
      </c>
      <c r="I41" s="1">
        <v>68</v>
      </c>
      <c r="J41" s="1">
        <v>30</v>
      </c>
      <c r="K41" s="1"/>
      <c r="L41" s="1">
        <v>24</v>
      </c>
      <c r="M41" s="1">
        <v>65</v>
      </c>
      <c r="O41" s="1">
        <v>59</v>
      </c>
      <c r="P41" s="1">
        <v>85</v>
      </c>
      <c r="Q41" s="1">
        <v>65</v>
      </c>
      <c r="R41" s="1">
        <v>121</v>
      </c>
      <c r="S41" s="1">
        <v>6</v>
      </c>
    </row>
    <row r="42" spans="1:19">
      <c r="A42" s="1">
        <v>2025</v>
      </c>
      <c r="B42" s="1">
        <v>41</v>
      </c>
      <c r="C42" s="1" t="s">
        <v>274</v>
      </c>
      <c r="D42" s="1" t="e">
        <f t="array" aca="1" ref="D42" ca="1">_xludf.XLOOKUP(C42,'country region mapping'!$A$2:$A$250, 'country region mapping'!$E$2:$E$250)</f>
        <v>#NAME?</v>
      </c>
      <c r="E42" s="1" t="e">
        <f t="array" aca="1" ref="E42" ca="1">_xludf.XLOOKUP(C42,'country region mapping'!$A$2:$A$267,'country region mapping'!$F$2:$F$267)</f>
        <v>#NAME?</v>
      </c>
      <c r="F42" s="1" t="e">
        <f t="array" aca="1" ref="F42" ca="1">_xludf.XLOOKUP(C42,'country region mapping'!$A$2:$A$267,'country region mapping'!$G$2:$G$267)</f>
        <v>#NAME?</v>
      </c>
      <c r="G42" s="1">
        <v>6.54</v>
      </c>
      <c r="H42" s="1">
        <v>31</v>
      </c>
      <c r="I42" s="1">
        <v>26</v>
      </c>
      <c r="J42" s="1">
        <v>22</v>
      </c>
      <c r="K42" s="1">
        <v>8</v>
      </c>
      <c r="L42" s="1">
        <v>92</v>
      </c>
      <c r="M42" s="1">
        <v>37</v>
      </c>
      <c r="N42" s="1">
        <v>49</v>
      </c>
      <c r="O42" s="1">
        <v>77</v>
      </c>
      <c r="P42" s="1">
        <v>90</v>
      </c>
      <c r="Q42" s="1">
        <v>37</v>
      </c>
      <c r="R42" s="1">
        <v>73</v>
      </c>
      <c r="S42" s="1">
        <v>43</v>
      </c>
    </row>
    <row r="43" spans="1:19">
      <c r="A43" s="1">
        <v>2025</v>
      </c>
      <c r="B43" s="1">
        <v>42</v>
      </c>
      <c r="C43" s="1" t="s">
        <v>86</v>
      </c>
      <c r="D43" s="1" t="e">
        <f t="array" aca="1" ref="D43" ca="1">_xludf.XLOOKUP(C43,'country region mapping'!$A$2:$A$250, 'country region mapping'!$E$2:$E$250)</f>
        <v>#NAME?</v>
      </c>
      <c r="E43" s="1" t="e">
        <f t="array" aca="1" ref="E43" ca="1">_xludf.XLOOKUP(C43,'country region mapping'!$A$2:$A$267,'country region mapping'!$F$2:$F$267)</f>
        <v>#NAME?</v>
      </c>
      <c r="F43" s="1" t="e">
        <f t="array" aca="1" ref="F43" ca="1">_xludf.XLOOKUP(C43,'country region mapping'!$A$2:$A$267,'country region mapping'!$G$2:$G$267)</f>
        <v>#NAME?</v>
      </c>
      <c r="G43" s="1">
        <v>6.5330000000000004</v>
      </c>
      <c r="H43" s="1">
        <v>118</v>
      </c>
      <c r="I43" s="1">
        <v>85</v>
      </c>
      <c r="J43" s="1">
        <v>81</v>
      </c>
      <c r="K43" s="1"/>
      <c r="L43" s="1">
        <v>25</v>
      </c>
      <c r="M43" s="1">
        <v>87</v>
      </c>
      <c r="N43" s="1">
        <v>85</v>
      </c>
      <c r="O43" s="1">
        <v>1</v>
      </c>
      <c r="P43" s="1">
        <v>82</v>
      </c>
      <c r="Q43" s="1">
        <v>87</v>
      </c>
      <c r="R43" s="1">
        <v>21</v>
      </c>
      <c r="S43" s="1">
        <v>48</v>
      </c>
    </row>
    <row r="44" spans="1:19">
      <c r="A44" s="1">
        <v>2025</v>
      </c>
      <c r="B44" s="1">
        <v>43</v>
      </c>
      <c r="C44" s="1" t="s">
        <v>74</v>
      </c>
      <c r="D44" s="1" t="e">
        <f t="array" aca="1" ref="D44" ca="1">_xludf.XLOOKUP(C44,'country region mapping'!$A$2:$A$250, 'country region mapping'!$E$2:$E$250)</f>
        <v>#NAME?</v>
      </c>
      <c r="E44" s="1" t="e">
        <f t="array" aca="1" ref="E44" ca="1">_xludf.XLOOKUP(C44,'country region mapping'!$A$2:$A$267,'country region mapping'!$F$2:$F$267)</f>
        <v>#NAME?</v>
      </c>
      <c r="F44" s="1" t="e">
        <f t="array" aca="1" ref="F44" ca="1">_xludf.XLOOKUP(C44,'country region mapping'!$A$2:$A$267,'country region mapping'!$G$2:$G$267)</f>
        <v>#NAME?</v>
      </c>
      <c r="G44" s="1">
        <v>6.4359999999999999</v>
      </c>
      <c r="H44" s="1">
        <v>38</v>
      </c>
      <c r="I44" s="1">
        <v>34</v>
      </c>
      <c r="K44" s="1">
        <v>11</v>
      </c>
      <c r="L44" s="1">
        <v>43</v>
      </c>
      <c r="M44" s="1">
        <v>3</v>
      </c>
      <c r="N44" s="1">
        <v>53</v>
      </c>
      <c r="O44" s="1">
        <v>76</v>
      </c>
      <c r="P44" s="1">
        <v>102</v>
      </c>
      <c r="Q44" s="1">
        <v>3</v>
      </c>
      <c r="R44" s="1">
        <v>52</v>
      </c>
      <c r="S44" s="1">
        <v>85</v>
      </c>
    </row>
    <row r="45" spans="1:19">
      <c r="A45" s="1">
        <v>2025</v>
      </c>
      <c r="B45" s="1">
        <v>44</v>
      </c>
      <c r="C45" s="1" t="s">
        <v>69</v>
      </c>
      <c r="D45" s="1" t="e">
        <f t="array" aca="1" ref="D45" ca="1">_xludf.XLOOKUP(C45,'country region mapping'!$A$2:$A$250, 'country region mapping'!$E$2:$E$250)</f>
        <v>#NAME?</v>
      </c>
      <c r="E45" s="1" t="e">
        <f t="array" aca="1" ref="E45" ca="1">_xludf.XLOOKUP(C45,'country region mapping'!$A$2:$A$267,'country region mapping'!$F$2:$F$267)</f>
        <v>#NAME?</v>
      </c>
      <c r="F45" s="1" t="e">
        <f t="array" aca="1" ref="F45" ca="1">_xludf.XLOOKUP(C45,'country region mapping'!$A$2:$A$267,'country region mapping'!$G$2:$G$267)</f>
        <v>#NAME?</v>
      </c>
      <c r="G45" s="1">
        <v>6.43</v>
      </c>
      <c r="H45" s="1">
        <v>60</v>
      </c>
      <c r="I45" s="1">
        <v>36</v>
      </c>
      <c r="J45" s="1">
        <v>51</v>
      </c>
      <c r="K45" s="1">
        <v>49</v>
      </c>
      <c r="L45" s="1">
        <v>42</v>
      </c>
      <c r="M45" s="1">
        <v>92</v>
      </c>
      <c r="N45" s="1">
        <v>100</v>
      </c>
      <c r="O45" s="1">
        <v>31</v>
      </c>
      <c r="P45" s="1">
        <v>76</v>
      </c>
      <c r="Q45" s="1">
        <v>92</v>
      </c>
      <c r="R45" s="1">
        <v>79</v>
      </c>
      <c r="S45" s="1">
        <v>28</v>
      </c>
    </row>
    <row r="46" spans="1:19">
      <c r="A46" s="1">
        <v>2025</v>
      </c>
      <c r="B46" s="1">
        <v>45</v>
      </c>
      <c r="C46" s="1" t="s">
        <v>157</v>
      </c>
      <c r="D46" s="1" t="e">
        <f t="array" aca="1" ref="D46" ca="1">_xludf.XLOOKUP(C46,'country region mapping'!$A$2:$A$250, 'country region mapping'!$E$2:$E$250)</f>
        <v>#NAME?</v>
      </c>
      <c r="E46" s="1" t="e">
        <f t="array" aca="1" ref="E46" ca="1">_xludf.XLOOKUP(C46,'country region mapping'!$A$2:$A$267,'country region mapping'!$F$2:$F$267)</f>
        <v>#NAME?</v>
      </c>
      <c r="F46" s="1" t="e">
        <f t="array" aca="1" ref="F46" ca="1">_xludf.XLOOKUP(C46,'country region mapping'!$A$2:$A$267,'country region mapping'!$G$2:$G$267)</f>
        <v>#NAME?</v>
      </c>
      <c r="G46" s="1">
        <v>6.4279999999999999</v>
      </c>
      <c r="H46" s="1">
        <v>16</v>
      </c>
      <c r="I46" s="1">
        <v>67</v>
      </c>
      <c r="J46" s="1">
        <v>74</v>
      </c>
      <c r="K46" s="1">
        <v>41</v>
      </c>
      <c r="L46" s="1">
        <v>1</v>
      </c>
      <c r="M46" s="1">
        <v>131</v>
      </c>
      <c r="N46" s="1">
        <v>25</v>
      </c>
      <c r="O46" s="1">
        <v>41</v>
      </c>
      <c r="P46" s="1">
        <v>1</v>
      </c>
      <c r="Q46" s="1">
        <v>131</v>
      </c>
      <c r="R46" s="1">
        <v>132</v>
      </c>
      <c r="S46" s="1">
        <v>129</v>
      </c>
    </row>
    <row r="47" spans="1:19">
      <c r="A47" s="1">
        <v>2025</v>
      </c>
      <c r="B47" s="1">
        <v>46</v>
      </c>
      <c r="C47" s="1" t="s">
        <v>129</v>
      </c>
      <c r="D47" s="1" t="e">
        <f t="array" aca="1" ref="D47" ca="1">_xludf.XLOOKUP(C47,'country region mapping'!$A$2:$A$250, 'country region mapping'!$E$2:$E$250)</f>
        <v>#NAME?</v>
      </c>
      <c r="E47" s="1" t="e">
        <f t="array" aca="1" ref="E47" ca="1">_xludf.XLOOKUP(C47,'country region mapping'!$A$2:$A$267,'country region mapping'!$F$2:$F$267)</f>
        <v>#NAME?</v>
      </c>
      <c r="F47" s="1" t="e">
        <f t="array" aca="1" ref="F47" ca="1">_xludf.XLOOKUP(C47,'country region mapping'!$A$2:$A$267,'country region mapping'!$G$2:$G$267)</f>
        <v>#NAME?</v>
      </c>
      <c r="G47" s="1">
        <v>6.41</v>
      </c>
      <c r="H47" s="1">
        <v>17</v>
      </c>
      <c r="I47" s="1">
        <v>12</v>
      </c>
      <c r="J47" s="1">
        <v>34</v>
      </c>
      <c r="K47" s="1">
        <v>32</v>
      </c>
      <c r="L47" s="1">
        <v>67</v>
      </c>
      <c r="M47" s="1">
        <v>50</v>
      </c>
      <c r="N47" s="1">
        <v>16</v>
      </c>
      <c r="O47" s="1">
        <v>64</v>
      </c>
      <c r="P47" s="1">
        <v>60</v>
      </c>
      <c r="Q47" s="1">
        <v>50</v>
      </c>
      <c r="R47" s="1">
        <v>83</v>
      </c>
      <c r="S47" s="1">
        <v>87</v>
      </c>
    </row>
    <row r="48" spans="1:19">
      <c r="A48" s="1">
        <v>2025</v>
      </c>
      <c r="B48" s="1">
        <v>47</v>
      </c>
      <c r="C48" s="1" t="s">
        <v>146</v>
      </c>
      <c r="D48" s="1" t="e">
        <f t="array" aca="1" ref="D48" ca="1">_xludf.XLOOKUP(C48,'country region mapping'!$A$2:$A$250, 'country region mapping'!$E$2:$E$250)</f>
        <v>#NAME?</v>
      </c>
      <c r="E48" s="1" t="e">
        <f t="array" aca="1" ref="E48" ca="1">_xludf.XLOOKUP(C48,'country region mapping'!$A$2:$A$267,'country region mapping'!$F$2:$F$267)</f>
        <v>#NAME?</v>
      </c>
      <c r="F48" s="1" t="e">
        <f t="array" aca="1" ref="F48" ca="1">_xludf.XLOOKUP(C48,'country region mapping'!$A$2:$A$267,'country region mapping'!$G$2:$G$267)</f>
        <v>#NAME?</v>
      </c>
      <c r="G48" s="1">
        <v>6.3810000000000002</v>
      </c>
      <c r="H48" s="1">
        <v>49</v>
      </c>
      <c r="I48" s="1">
        <v>58</v>
      </c>
      <c r="J48" s="1">
        <v>60</v>
      </c>
      <c r="K48" s="1">
        <v>46</v>
      </c>
      <c r="L48" s="1">
        <v>107</v>
      </c>
      <c r="M48" s="1">
        <v>45</v>
      </c>
      <c r="N48" s="1">
        <v>116</v>
      </c>
      <c r="O48" s="1">
        <v>113</v>
      </c>
      <c r="P48" s="1">
        <v>22</v>
      </c>
      <c r="Q48" s="1">
        <v>45</v>
      </c>
      <c r="R48" s="1">
        <v>130</v>
      </c>
      <c r="S48" s="1">
        <v>131</v>
      </c>
    </row>
    <row r="49" spans="1:19">
      <c r="A49" s="1">
        <v>2025</v>
      </c>
      <c r="B49" s="1">
        <v>48</v>
      </c>
      <c r="C49" s="1" t="s">
        <v>123</v>
      </c>
      <c r="D49" s="1" t="e">
        <f t="array" aca="1" ref="D49" ca="1">_xludf.XLOOKUP(C49,'country region mapping'!$A$2:$A$250, 'country region mapping'!$E$2:$E$250)</f>
        <v>#NAME?</v>
      </c>
      <c r="E49" s="1" t="e">
        <f t="array" aca="1" ref="E49" ca="1">_xludf.XLOOKUP(C49,'country region mapping'!$A$2:$A$267,'country region mapping'!$F$2:$F$267)</f>
        <v>#NAME?</v>
      </c>
      <c r="F49" s="1" t="e">
        <f t="array" aca="1" ref="F49" ca="1">_xludf.XLOOKUP(C49,'country region mapping'!$A$2:$A$267,'country region mapping'!$G$2:$G$267)</f>
        <v>#NAME?</v>
      </c>
      <c r="G49" s="1">
        <v>6.3650000000000002</v>
      </c>
      <c r="H49" s="1">
        <v>27</v>
      </c>
      <c r="I49" s="1">
        <v>6</v>
      </c>
      <c r="J49" s="1">
        <v>38</v>
      </c>
      <c r="K49" s="1">
        <v>59</v>
      </c>
      <c r="L49" s="1">
        <v>46</v>
      </c>
      <c r="M49" s="1">
        <v>47</v>
      </c>
      <c r="N49" s="1">
        <v>71</v>
      </c>
      <c r="O49" s="1">
        <v>72</v>
      </c>
      <c r="P49" s="1">
        <v>64</v>
      </c>
      <c r="Q49" s="1">
        <v>47</v>
      </c>
      <c r="R49" s="1">
        <v>119</v>
      </c>
      <c r="S49" s="1">
        <v>109</v>
      </c>
    </row>
    <row r="50" spans="1:19">
      <c r="A50" s="1">
        <v>2025</v>
      </c>
      <c r="B50" s="1">
        <v>49</v>
      </c>
      <c r="C50" s="1" t="s">
        <v>130</v>
      </c>
      <c r="D50" s="1" t="e">
        <f t="array" aca="1" ref="D50" ca="1">_xludf.XLOOKUP(C50,'country region mapping'!$A$2:$A$250, 'country region mapping'!$E$2:$E$250)</f>
        <v>#NAME?</v>
      </c>
      <c r="E50" s="1" t="e">
        <f t="array" aca="1" ref="E50" ca="1">_xludf.XLOOKUP(C50,'country region mapping'!$A$2:$A$267,'country region mapping'!$F$2:$F$267)</f>
        <v>#NAME?</v>
      </c>
      <c r="F50" s="1" t="e">
        <f t="array" aca="1" ref="F50" ca="1">_xludf.XLOOKUP(C50,'country region mapping'!$A$2:$A$267,'country region mapping'!$G$2:$G$267)</f>
        <v>#NAME?</v>
      </c>
      <c r="G50" s="1">
        <v>6.3049999999999997</v>
      </c>
      <c r="H50" s="1">
        <v>119</v>
      </c>
      <c r="I50" s="1">
        <v>24</v>
      </c>
      <c r="J50" s="1">
        <v>84</v>
      </c>
      <c r="K50" s="1">
        <v>76</v>
      </c>
      <c r="L50" s="1">
        <v>50</v>
      </c>
      <c r="M50" s="1">
        <v>118</v>
      </c>
      <c r="N50" s="1">
        <v>88</v>
      </c>
      <c r="O50" s="1">
        <v>61</v>
      </c>
      <c r="P50" s="1">
        <v>23</v>
      </c>
      <c r="Q50" s="1">
        <v>118</v>
      </c>
      <c r="R50" s="1">
        <v>55</v>
      </c>
      <c r="S50" s="1">
        <v>3</v>
      </c>
    </row>
    <row r="51" spans="1:19">
      <c r="A51" s="1">
        <v>2025</v>
      </c>
      <c r="B51" s="1">
        <v>50</v>
      </c>
      <c r="C51" s="1" t="s">
        <v>66</v>
      </c>
      <c r="D51" s="1" t="e">
        <f t="array" aca="1" ref="D51" ca="1">_xludf.XLOOKUP(C51,'country region mapping'!$A$2:$A$250, 'country region mapping'!$E$2:$E$250)</f>
        <v>#NAME?</v>
      </c>
      <c r="E51" s="1" t="e">
        <f t="array" aca="1" ref="E51" ca="1">_xludf.XLOOKUP(C51,'country region mapping'!$A$2:$A$267,'country region mapping'!$F$2:$F$267)</f>
        <v>#NAME?</v>
      </c>
      <c r="F51" s="1" t="e">
        <f t="array" aca="1" ref="F51" ca="1">_xludf.XLOOKUP(C51,'country region mapping'!$A$2:$A$267,'country region mapping'!$G$2:$G$267)</f>
        <v>#NAME?</v>
      </c>
      <c r="G51" s="1">
        <v>6.3019999999999996</v>
      </c>
      <c r="H51" s="1">
        <v>62</v>
      </c>
      <c r="I51" s="1">
        <v>59</v>
      </c>
      <c r="J51" s="1">
        <v>46</v>
      </c>
      <c r="K51" s="1">
        <v>28</v>
      </c>
      <c r="L51" s="1">
        <v>64</v>
      </c>
      <c r="M51" s="1">
        <v>67</v>
      </c>
      <c r="N51" s="1">
        <v>82</v>
      </c>
      <c r="O51" s="1">
        <v>19</v>
      </c>
      <c r="P51" s="1">
        <v>70</v>
      </c>
      <c r="Q51" s="1">
        <v>67</v>
      </c>
      <c r="R51" s="1">
        <v>77</v>
      </c>
      <c r="S51" s="1">
        <v>53</v>
      </c>
    </row>
    <row r="52" spans="1:19">
      <c r="A52" s="1">
        <v>2025</v>
      </c>
      <c r="B52" s="1">
        <v>51</v>
      </c>
      <c r="C52" s="1" t="s">
        <v>98</v>
      </c>
      <c r="D52" s="1" t="e">
        <f t="array" aca="1" ref="D52" ca="1">_xludf.XLOOKUP(C52,'country region mapping'!$A$2:$A$250, 'country region mapping'!$E$2:$E$250)</f>
        <v>#NAME?</v>
      </c>
      <c r="E52" s="1" t="e">
        <f t="array" aca="1" ref="E52" ca="1">_xludf.XLOOKUP(C52,'country region mapping'!$A$2:$A$267,'country region mapping'!$F$2:$F$267)</f>
        <v>#NAME?</v>
      </c>
      <c r="F52" s="1" t="e">
        <f t="array" aca="1" ref="F52" ca="1">_xludf.XLOOKUP(C52,'country region mapping'!$A$2:$A$267,'country region mapping'!$G$2:$G$267)</f>
        <v>#NAME?</v>
      </c>
      <c r="G52" s="1">
        <v>6.3010000000000002</v>
      </c>
      <c r="H52" s="1"/>
      <c r="I52" s="1"/>
      <c r="J52" s="1"/>
      <c r="K52" s="1">
        <v>50</v>
      </c>
      <c r="L52" s="1"/>
      <c r="M52" s="1"/>
      <c r="N52" s="1"/>
      <c r="O52" s="1"/>
      <c r="P52" s="1"/>
      <c r="Q52" s="1"/>
      <c r="R52" s="1"/>
      <c r="S52" s="1"/>
    </row>
    <row r="53" spans="1:19">
      <c r="A53" s="1">
        <v>2025</v>
      </c>
      <c r="B53" s="1">
        <v>52</v>
      </c>
      <c r="C53" s="1" t="s">
        <v>78</v>
      </c>
      <c r="D53" s="1" t="e">
        <f t="array" aca="1" ref="D53" ca="1">_xludf.XLOOKUP(C53,'country region mapping'!$A$2:$A$250, 'country region mapping'!$E$2:$E$250)</f>
        <v>#NAME?</v>
      </c>
      <c r="E53" s="1" t="e">
        <f t="array" aca="1" ref="E53" ca="1">_xludf.XLOOKUP(C53,'country region mapping'!$A$2:$A$267,'country region mapping'!$F$2:$F$267)</f>
        <v>#NAME?</v>
      </c>
      <c r="F53" s="1" t="e">
        <f t="array" aca="1" ref="F53" ca="1">_xludf.XLOOKUP(C53,'country region mapping'!$A$2:$A$267,'country region mapping'!$G$2:$G$267)</f>
        <v>#NAME?</v>
      </c>
      <c r="G53" s="1">
        <v>6.2960000000000003</v>
      </c>
      <c r="H53" s="1">
        <v>73</v>
      </c>
      <c r="I53" s="1">
        <v>56</v>
      </c>
      <c r="J53" s="1">
        <v>58</v>
      </c>
      <c r="K53" s="1">
        <v>37</v>
      </c>
      <c r="L53" s="1">
        <v>8</v>
      </c>
      <c r="M53" s="1">
        <v>23</v>
      </c>
      <c r="N53" s="1">
        <v>127</v>
      </c>
      <c r="O53" s="1">
        <v>13</v>
      </c>
      <c r="P53" s="1">
        <v>50</v>
      </c>
      <c r="Q53" s="1">
        <v>23</v>
      </c>
      <c r="R53" s="1">
        <v>103</v>
      </c>
      <c r="S53" s="1">
        <v>97</v>
      </c>
    </row>
    <row r="54" spans="1:19">
      <c r="A54" s="1">
        <v>2025</v>
      </c>
      <c r="B54" s="1">
        <v>53</v>
      </c>
      <c r="C54" s="1" t="s">
        <v>99</v>
      </c>
      <c r="D54" s="1" t="e">
        <f t="array" aca="1" ref="D54" ca="1">_xludf.XLOOKUP(C54,'country region mapping'!$A$2:$A$250, 'country region mapping'!$E$2:$E$250)</f>
        <v>#NAME?</v>
      </c>
      <c r="E54" s="1" t="e">
        <f t="array" aca="1" ref="E54" ca="1">_xludf.XLOOKUP(C54,'country region mapping'!$A$2:$A$267,'country region mapping'!$F$2:$F$267)</f>
        <v>#NAME?</v>
      </c>
      <c r="F54" s="1" t="e">
        <f t="array" aca="1" ref="F54" ca="1">_xludf.XLOOKUP(C54,'country region mapping'!$A$2:$A$267,'country region mapping'!$G$2:$G$267)</f>
        <v>#NAME?</v>
      </c>
      <c r="G54" s="1">
        <v>6.2830000000000004</v>
      </c>
      <c r="H54" s="1">
        <v>77</v>
      </c>
      <c r="I54" s="1">
        <v>32</v>
      </c>
      <c r="J54" s="1">
        <v>87</v>
      </c>
      <c r="K54" s="1">
        <v>65</v>
      </c>
      <c r="L54" s="1">
        <v>19</v>
      </c>
      <c r="M54" s="1">
        <v>25</v>
      </c>
      <c r="N54" s="1">
        <v>37</v>
      </c>
      <c r="O54" s="1">
        <v>24</v>
      </c>
      <c r="P54" s="1">
        <v>46</v>
      </c>
      <c r="Q54" s="1">
        <v>25</v>
      </c>
      <c r="R54" s="1">
        <v>92</v>
      </c>
      <c r="S54" s="1">
        <v>94</v>
      </c>
    </row>
    <row r="55" spans="1:19">
      <c r="A55" s="1">
        <v>2025</v>
      </c>
      <c r="B55" s="1">
        <v>54</v>
      </c>
      <c r="C55" s="1" t="s">
        <v>95</v>
      </c>
      <c r="D55" s="1" t="e">
        <f t="array" aca="1" ref="D55" ca="1">_xludf.XLOOKUP(C55,'country region mapping'!$A$2:$A$250, 'country region mapping'!$E$2:$E$250)</f>
        <v>#NAME?</v>
      </c>
      <c r="E55" s="1" t="e">
        <f t="array" aca="1" ref="E55" ca="1">_xludf.XLOOKUP(C55,'country region mapping'!$A$2:$A$267,'country region mapping'!$F$2:$F$267)</f>
        <v>#NAME?</v>
      </c>
      <c r="F55" s="1" t="e">
        <f t="array" aca="1" ref="F55" ca="1">_xludf.XLOOKUP(C55,'country region mapping'!$A$2:$A$267,'country region mapping'!$G$2:$G$267)</f>
        <v>#NAME?</v>
      </c>
      <c r="G55" s="1">
        <v>6.2549999999999999</v>
      </c>
      <c r="H55" s="1">
        <v>8</v>
      </c>
      <c r="I55" s="1">
        <v>7</v>
      </c>
      <c r="J55" s="1">
        <v>37</v>
      </c>
      <c r="K55" s="1">
        <v>47</v>
      </c>
      <c r="L55" s="1">
        <v>98</v>
      </c>
      <c r="M55" s="1">
        <v>98</v>
      </c>
      <c r="N55" s="1">
        <v>113</v>
      </c>
      <c r="O55" s="1">
        <v>84</v>
      </c>
      <c r="P55" s="1">
        <v>21</v>
      </c>
      <c r="Q55" s="1">
        <v>98</v>
      </c>
      <c r="R55" s="1">
        <v>102</v>
      </c>
      <c r="S55" s="1">
        <v>133</v>
      </c>
    </row>
    <row r="56" spans="1:19">
      <c r="A56" s="1">
        <v>2025</v>
      </c>
      <c r="B56" s="1">
        <v>55</v>
      </c>
      <c r="C56" s="1" t="s">
        <v>90</v>
      </c>
      <c r="D56" s="1" t="e">
        <f t="array" aca="1" ref="D56" ca="1">_xludf.XLOOKUP(C56,'country region mapping'!$A$2:$A$250, 'country region mapping'!$E$2:$E$250)</f>
        <v>#NAME?</v>
      </c>
      <c r="E56" s="1" t="e">
        <f t="array" aca="1" ref="E56" ca="1">_xludf.XLOOKUP(C56,'country region mapping'!$A$2:$A$267,'country region mapping'!$F$2:$F$267)</f>
        <v>#NAME?</v>
      </c>
      <c r="F56" s="1" t="e">
        <f t="array" aca="1" ref="F56" ca="1">_xludf.XLOOKUP(C56,'country region mapping'!$A$2:$A$267,'country region mapping'!$G$2:$G$267)</f>
        <v>#NAME?</v>
      </c>
      <c r="G56" s="1">
        <v>6.2539999999999996</v>
      </c>
      <c r="H56" s="1">
        <v>88</v>
      </c>
      <c r="I56" s="1">
        <v>64</v>
      </c>
      <c r="J56" s="1">
        <v>15</v>
      </c>
      <c r="K56" s="1"/>
      <c r="L56" s="1">
        <v>10</v>
      </c>
      <c r="M56" s="1">
        <v>20</v>
      </c>
      <c r="N56" s="1"/>
      <c r="O56" s="1">
        <v>54</v>
      </c>
      <c r="P56" s="1">
        <v>44</v>
      </c>
      <c r="Q56" s="1">
        <v>20</v>
      </c>
      <c r="R56" s="1">
        <v>70</v>
      </c>
      <c r="S56" s="1">
        <v>34</v>
      </c>
    </row>
    <row r="57" spans="1:19">
      <c r="A57" s="1">
        <v>2025</v>
      </c>
      <c r="B57" s="1">
        <v>56</v>
      </c>
      <c r="C57" s="1" t="s">
        <v>141</v>
      </c>
      <c r="D57" s="1" t="e">
        <f t="array" aca="1" ref="D57" ca="1">_xludf.XLOOKUP(C57,'country region mapping'!$A$2:$A$250, 'country region mapping'!$E$2:$E$250)</f>
        <v>#NAME?</v>
      </c>
      <c r="E57" s="1" t="e">
        <f t="array" aca="1" ref="E57" ca="1">_xludf.XLOOKUP(C57,'country region mapping'!$A$2:$A$267,'country region mapping'!$F$2:$F$267)</f>
        <v>#NAME?</v>
      </c>
      <c r="F57" s="1" t="e">
        <f t="array" aca="1" ref="F57" ca="1">_xludf.XLOOKUP(C57,'country region mapping'!$A$2:$A$267,'country region mapping'!$G$2:$G$267)</f>
        <v>#NAME?</v>
      </c>
      <c r="G57" s="1">
        <v>6.2060000000000004</v>
      </c>
      <c r="H57" s="1">
        <v>101</v>
      </c>
      <c r="I57" s="1">
        <v>63</v>
      </c>
      <c r="J57" s="1">
        <v>88</v>
      </c>
      <c r="K57" s="1">
        <v>93</v>
      </c>
      <c r="L57" s="1">
        <v>13</v>
      </c>
      <c r="M57" s="1">
        <v>81</v>
      </c>
      <c r="N57" s="1">
        <v>96</v>
      </c>
      <c r="O57" s="1">
        <v>18</v>
      </c>
      <c r="P57" s="1">
        <v>111</v>
      </c>
      <c r="Q57" s="1">
        <v>81</v>
      </c>
      <c r="R57" s="1">
        <v>5</v>
      </c>
      <c r="S57" s="1">
        <v>29</v>
      </c>
    </row>
    <row r="58" spans="1:19">
      <c r="A58" s="1">
        <v>2025</v>
      </c>
      <c r="B58" s="1">
        <v>57</v>
      </c>
      <c r="C58" s="1" t="s">
        <v>126</v>
      </c>
      <c r="D58" s="1" t="e">
        <f t="array" aca="1" ref="D58" ca="1">_xludf.XLOOKUP(C58,'country region mapping'!$A$2:$A$250, 'country region mapping'!$E$2:$E$250)</f>
        <v>#NAME?</v>
      </c>
      <c r="E58" s="1" t="e">
        <f t="array" aca="1" ref="E58" ca="1">_xludf.XLOOKUP(C58,'country region mapping'!$A$2:$A$267,'country region mapping'!$F$2:$F$267)</f>
        <v>#NAME?</v>
      </c>
      <c r="F58" s="1" t="e">
        <f t="array" aca="1" ref="F58" ca="1">_xludf.XLOOKUP(C58,'country region mapping'!$A$2:$A$267,'country region mapping'!$G$2:$G$267)</f>
        <v>#NAME?</v>
      </c>
      <c r="G58" s="1">
        <v>6.1980000000000004</v>
      </c>
      <c r="H58" s="1">
        <v>100</v>
      </c>
      <c r="I58" s="1">
        <v>14</v>
      </c>
      <c r="J58" s="1">
        <v>70</v>
      </c>
      <c r="K58" s="1">
        <v>84</v>
      </c>
      <c r="L58" s="1">
        <v>26</v>
      </c>
      <c r="M58" s="1">
        <v>60</v>
      </c>
      <c r="N58" s="1">
        <v>114</v>
      </c>
      <c r="O58" s="1">
        <v>2</v>
      </c>
      <c r="P58" s="1">
        <v>47</v>
      </c>
      <c r="Q58" s="1">
        <v>60</v>
      </c>
      <c r="R58" s="1">
        <v>25</v>
      </c>
      <c r="S58" s="1">
        <v>32</v>
      </c>
    </row>
    <row r="59" spans="1:19">
      <c r="A59" s="1">
        <v>2025</v>
      </c>
      <c r="B59" s="1">
        <v>58</v>
      </c>
      <c r="C59" s="1" t="s">
        <v>749</v>
      </c>
      <c r="D59" s="1" t="e">
        <f t="array" aca="1" ref="D59" ca="1">_xludf.XLOOKUP(C59,'country region mapping'!$A$2:$A$250, 'country region mapping'!$E$2:$E$250)</f>
        <v>#NAME?</v>
      </c>
      <c r="E59" s="1" t="e">
        <f t="array" aca="1" ref="E59" ca="1">_xludf.XLOOKUP(C59,'country region mapping'!$A$2:$A$267,'country region mapping'!$F$2:$F$267)</f>
        <v>#NAME?</v>
      </c>
      <c r="F59" s="1" t="e">
        <f t="array" aca="1" ref="F59" ca="1">_xludf.XLOOKUP(C59,'country region mapping'!$A$2:$A$267,'country region mapping'!$G$2:$G$267)</f>
        <v>#NAME?</v>
      </c>
      <c r="G59" s="1">
        <v>6.1970000000000001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>
      <c r="A60" s="1">
        <v>2025</v>
      </c>
      <c r="B60" s="1">
        <v>59</v>
      </c>
      <c r="C60" s="1" t="s">
        <v>102</v>
      </c>
      <c r="D60" s="1" t="e">
        <f t="array" aca="1" ref="D60" ca="1">_xludf.XLOOKUP(C60,'country region mapping'!$A$2:$A$250, 'country region mapping'!$E$2:$E$250)</f>
        <v>#NAME?</v>
      </c>
      <c r="E60" s="1" t="e">
        <f t="array" aca="1" ref="E60" ca="1">_xludf.XLOOKUP(C60,'country region mapping'!$A$2:$A$267,'country region mapping'!$F$2:$F$267)</f>
        <v>#NAME?</v>
      </c>
      <c r="F60" s="1" t="e">
        <f t="array" aca="1" ref="F60" ca="1">_xludf.XLOOKUP(C60,'country region mapping'!$A$2:$A$267,'country region mapping'!$G$2:$G$267)</f>
        <v>#NAME?</v>
      </c>
      <c r="G60" s="1">
        <v>6.1440000000000001</v>
      </c>
      <c r="H60" s="1">
        <v>98</v>
      </c>
      <c r="I60" s="1">
        <v>81</v>
      </c>
      <c r="J60" s="1">
        <v>77</v>
      </c>
      <c r="K60" s="1">
        <v>51</v>
      </c>
      <c r="L60" s="1">
        <v>81</v>
      </c>
      <c r="M60" s="1">
        <v>103</v>
      </c>
      <c r="N60" s="1">
        <v>77</v>
      </c>
      <c r="O60" s="1">
        <v>6</v>
      </c>
      <c r="P60" s="1">
        <v>95</v>
      </c>
      <c r="Q60" s="1">
        <v>103</v>
      </c>
      <c r="R60" s="1">
        <v>94</v>
      </c>
      <c r="S60" s="1">
        <v>55</v>
      </c>
    </row>
    <row r="61" spans="1:19">
      <c r="A61" s="1">
        <v>2025</v>
      </c>
      <c r="B61" s="1">
        <v>60</v>
      </c>
      <c r="C61" s="1" t="s">
        <v>147</v>
      </c>
      <c r="D61" s="1" t="e">
        <f t="array" aca="1" ref="D61" ca="1">_xludf.XLOOKUP(C61,'country region mapping'!$A$2:$A$250, 'country region mapping'!$E$2:$E$250)</f>
        <v>#NAME?</v>
      </c>
      <c r="E61" s="1" t="e">
        <f t="array" aca="1" ref="E61" ca="1">_xludf.XLOOKUP(C61,'country region mapping'!$A$2:$A$267,'country region mapping'!$F$2:$F$267)</f>
        <v>#NAME?</v>
      </c>
      <c r="F61" s="1" t="e">
        <f t="array" aca="1" ref="F61" ca="1">_xludf.XLOOKUP(C61,'country region mapping'!$A$2:$A$267,'country region mapping'!$G$2:$G$267)</f>
        <v>#NAME?</v>
      </c>
      <c r="G61" s="1">
        <v>6.1390000000000002</v>
      </c>
      <c r="H61" s="1">
        <v>30</v>
      </c>
      <c r="I61" s="1">
        <v>13</v>
      </c>
      <c r="J61" s="1">
        <v>48</v>
      </c>
      <c r="K61" s="1"/>
      <c r="L61" s="1">
        <v>45</v>
      </c>
      <c r="M61" s="1">
        <v>64</v>
      </c>
      <c r="N61" s="1">
        <v>79</v>
      </c>
      <c r="O61" s="1">
        <v>117</v>
      </c>
      <c r="P61" s="1">
        <v>92</v>
      </c>
      <c r="Q61" s="1">
        <v>64</v>
      </c>
      <c r="R61" s="1">
        <v>115</v>
      </c>
      <c r="S61" s="1">
        <v>128</v>
      </c>
    </row>
    <row r="62" spans="1:19">
      <c r="A62" s="1">
        <v>2025</v>
      </c>
      <c r="B62" s="1">
        <v>61</v>
      </c>
      <c r="C62" s="1" t="s">
        <v>104</v>
      </c>
      <c r="D62" s="1" t="e">
        <f t="array" aca="1" ref="D62" ca="1">_xludf.XLOOKUP(C62,'country region mapping'!$A$2:$A$250, 'country region mapping'!$E$2:$E$250)</f>
        <v>#NAME?</v>
      </c>
      <c r="E62" s="1" t="e">
        <f t="array" aca="1" ref="E62" ca="1">_xludf.XLOOKUP(C62,'country region mapping'!$A$2:$A$267,'country region mapping'!$F$2:$F$267)</f>
        <v>#NAME?</v>
      </c>
      <c r="F62" s="1" t="e">
        <f t="array" aca="1" ref="F62" ca="1">_xludf.XLOOKUP(C62,'country region mapping'!$A$2:$A$267,'country region mapping'!$G$2:$G$267)</f>
        <v>#NAME?</v>
      </c>
      <c r="G62" s="1">
        <v>6.13</v>
      </c>
      <c r="H62" s="1">
        <v>40</v>
      </c>
      <c r="I62" s="1">
        <v>44</v>
      </c>
      <c r="J62" s="1">
        <v>28</v>
      </c>
      <c r="K62" s="1">
        <v>2</v>
      </c>
      <c r="L62" s="1">
        <v>85</v>
      </c>
      <c r="M62" s="1">
        <v>122</v>
      </c>
      <c r="N62" s="1">
        <v>29</v>
      </c>
      <c r="O62" s="1">
        <v>79</v>
      </c>
      <c r="P62" s="1">
        <v>5</v>
      </c>
      <c r="Q62" s="1">
        <v>122</v>
      </c>
      <c r="R62" s="1">
        <v>95</v>
      </c>
      <c r="S62" s="1">
        <v>138</v>
      </c>
    </row>
    <row r="63" spans="1:19">
      <c r="A63" s="1">
        <v>2025</v>
      </c>
      <c r="B63" s="1">
        <v>62</v>
      </c>
      <c r="C63" s="1" t="s">
        <v>124</v>
      </c>
      <c r="D63" s="1" t="e">
        <f t="array" aca="1" ref="D63" ca="1">_xludf.XLOOKUP(C63,'country region mapping'!$A$2:$A$250, 'country region mapping'!$E$2:$E$250)</f>
        <v>#NAME?</v>
      </c>
      <c r="E63" s="1" t="e">
        <f t="array" aca="1" ref="E63" ca="1">_xludf.XLOOKUP(C63,'country region mapping'!$A$2:$A$267,'country region mapping'!$F$2:$F$267)</f>
        <v>#NAME?</v>
      </c>
      <c r="F63" s="1" t="e">
        <f t="array" aca="1" ref="F63" ca="1">_xludf.XLOOKUP(C63,'country region mapping'!$A$2:$A$267,'country region mapping'!$G$2:$G$267)</f>
        <v>#NAME?</v>
      </c>
      <c r="G63" s="1">
        <v>6.1260000000000003</v>
      </c>
      <c r="H63" s="1">
        <v>39</v>
      </c>
      <c r="I63" s="1">
        <v>78</v>
      </c>
      <c r="J63" s="1"/>
      <c r="K63" s="1">
        <v>10</v>
      </c>
      <c r="L63" s="1">
        <v>77</v>
      </c>
      <c r="M63" s="1">
        <v>28</v>
      </c>
      <c r="N63" s="1">
        <v>65</v>
      </c>
      <c r="O63" s="1">
        <v>67</v>
      </c>
      <c r="P63" s="1">
        <v>80</v>
      </c>
      <c r="Q63" s="1">
        <v>28</v>
      </c>
      <c r="R63" s="1">
        <v>41</v>
      </c>
      <c r="S63" s="1">
        <v>57</v>
      </c>
    </row>
    <row r="64" spans="1:19">
      <c r="A64" s="1">
        <v>2025</v>
      </c>
      <c r="B64" s="1">
        <v>63</v>
      </c>
      <c r="C64" s="1" t="s">
        <v>167</v>
      </c>
      <c r="D64" s="1" t="e">
        <f t="array" aca="1" ref="D64" ca="1">_xludf.XLOOKUP(C64,'country region mapping'!$A$2:$A$250, 'country region mapping'!$E$2:$E$250)</f>
        <v>#NAME?</v>
      </c>
      <c r="E64" s="1" t="e">
        <f t="array" aca="1" ref="E64" ca="1">_xludf.XLOOKUP(C64,'country region mapping'!$A$2:$A$267,'country region mapping'!$F$2:$F$267)</f>
        <v>#NAME?</v>
      </c>
      <c r="F64" s="1" t="e">
        <f t="array" aca="1" ref="F64" ca="1">_xludf.XLOOKUP(C64,'country region mapping'!$A$2:$A$267,'country region mapping'!$G$2:$G$267)</f>
        <v>#NAME?</v>
      </c>
      <c r="G64" s="1">
        <v>6.0960000000000001</v>
      </c>
      <c r="H64" s="1">
        <v>117</v>
      </c>
      <c r="I64" s="1">
        <v>97</v>
      </c>
      <c r="J64" s="1">
        <v>100</v>
      </c>
      <c r="K64" s="1">
        <v>90</v>
      </c>
      <c r="L64" s="1">
        <v>40</v>
      </c>
      <c r="M64" s="1">
        <v>73</v>
      </c>
      <c r="N64" s="1">
        <v>95</v>
      </c>
      <c r="O64" s="1">
        <v>15</v>
      </c>
      <c r="P64" s="1">
        <v>77</v>
      </c>
      <c r="Q64" s="1">
        <v>73</v>
      </c>
      <c r="R64" s="1">
        <v>15</v>
      </c>
      <c r="S64" s="1">
        <v>26</v>
      </c>
    </row>
    <row r="65" spans="1:19">
      <c r="A65" s="1">
        <v>2025</v>
      </c>
      <c r="B65" s="1">
        <v>64</v>
      </c>
      <c r="C65" s="1" t="s">
        <v>149</v>
      </c>
      <c r="D65" s="1" t="e">
        <f t="array" aca="1" ref="D65" ca="1">_xludf.XLOOKUP(C65,'country region mapping'!$A$2:$A$250, 'country region mapping'!$E$2:$E$250)</f>
        <v>#NAME?</v>
      </c>
      <c r="E65" s="1" t="e">
        <f t="array" aca="1" ref="E65" ca="1">_xludf.XLOOKUP(C65,'country region mapping'!$A$2:$A$267,'country region mapping'!$F$2:$F$267)</f>
        <v>#NAME?</v>
      </c>
      <c r="F65" s="1" t="e">
        <f t="array" aca="1" ref="F65" ca="1">_xludf.XLOOKUP(C65,'country region mapping'!$A$2:$A$267,'country region mapping'!$G$2:$G$267)</f>
        <v>#NAME?</v>
      </c>
      <c r="G65" s="1">
        <v>6.093</v>
      </c>
      <c r="H65" s="1">
        <v>132</v>
      </c>
      <c r="I65" s="1">
        <v>65</v>
      </c>
      <c r="J65" s="1">
        <v>54</v>
      </c>
      <c r="K65" s="1">
        <v>63</v>
      </c>
      <c r="L65" s="1">
        <v>31</v>
      </c>
      <c r="M65" s="1">
        <v>88</v>
      </c>
      <c r="N65" s="1">
        <v>32</v>
      </c>
      <c r="O65" s="1">
        <v>33</v>
      </c>
      <c r="P65" s="1">
        <v>63</v>
      </c>
      <c r="Q65" s="1">
        <v>88</v>
      </c>
      <c r="R65" s="1">
        <v>20</v>
      </c>
      <c r="S65" s="1">
        <v>20</v>
      </c>
    </row>
    <row r="66" spans="1:19">
      <c r="A66" s="1">
        <v>2025</v>
      </c>
      <c r="B66" s="1">
        <v>65</v>
      </c>
      <c r="C66" s="1" t="s">
        <v>142</v>
      </c>
      <c r="D66" s="1" t="e">
        <f t="array" aca="1" ref="D66" ca="1">_xludf.XLOOKUP(C66,'country region mapping'!$A$2:$A$250, 'country region mapping'!$E$2:$E$250)</f>
        <v>#NAME?</v>
      </c>
      <c r="E66" s="1" t="e">
        <f t="array" aca="1" ref="E66" ca="1">_xludf.XLOOKUP(C66,'country region mapping'!$A$2:$A$267,'country region mapping'!$F$2:$F$267)</f>
        <v>#NAME?</v>
      </c>
      <c r="F66" s="1" t="e">
        <f t="array" aca="1" ref="F66" ca="1">_xludf.XLOOKUP(C66,'country region mapping'!$A$2:$A$267,'country region mapping'!$G$2:$G$267)</f>
        <v>#NAME?</v>
      </c>
      <c r="G66" s="1">
        <v>6.0739999999999998</v>
      </c>
      <c r="H66" s="1">
        <v>76</v>
      </c>
      <c r="I66" s="1">
        <v>126</v>
      </c>
      <c r="J66" s="1">
        <v>53</v>
      </c>
      <c r="K66" s="1">
        <v>26</v>
      </c>
      <c r="L66" s="1">
        <v>121</v>
      </c>
      <c r="M66" s="1">
        <v>61</v>
      </c>
      <c r="O66" s="1">
        <v>93</v>
      </c>
      <c r="P66" s="1">
        <v>105</v>
      </c>
      <c r="Q66" s="1">
        <v>61</v>
      </c>
      <c r="R66" s="1">
        <v>14</v>
      </c>
      <c r="S66" s="1">
        <v>124</v>
      </c>
    </row>
    <row r="67" spans="1:19">
      <c r="A67" s="1">
        <v>2025</v>
      </c>
      <c r="B67" s="1">
        <v>66</v>
      </c>
      <c r="C67" s="1" t="s">
        <v>144</v>
      </c>
      <c r="D67" s="1" t="e">
        <f t="array" aca="1" ref="D67" ca="1">_xludf.XLOOKUP(C67,'country region mapping'!$A$2:$A$250, 'country region mapping'!$E$2:$E$250)</f>
        <v>#NAME?</v>
      </c>
      <c r="E67" s="1" t="e">
        <f t="array" aca="1" ref="E67" ca="1">_xludf.XLOOKUP(C67,'country region mapping'!$A$2:$A$267,'country region mapping'!$F$2:$F$267)</f>
        <v>#NAME?</v>
      </c>
      <c r="F67" s="1" t="e">
        <f t="array" aca="1" ref="F67" ca="1">_xludf.XLOOKUP(C67,'country region mapping'!$A$2:$A$267,'country region mapping'!$G$2:$G$267)</f>
        <v>#NAME?</v>
      </c>
      <c r="G67" s="1">
        <v>6.0490000000000004</v>
      </c>
      <c r="H67" s="1">
        <v>14</v>
      </c>
      <c r="I67" s="1">
        <v>41</v>
      </c>
      <c r="J67" s="1">
        <v>96</v>
      </c>
      <c r="K67" s="1">
        <v>64</v>
      </c>
      <c r="L67" s="1">
        <v>6</v>
      </c>
      <c r="M67" s="1">
        <v>51</v>
      </c>
      <c r="N67" s="1">
        <v>36</v>
      </c>
      <c r="O67" s="1">
        <v>71</v>
      </c>
      <c r="P67" s="1">
        <v>9</v>
      </c>
      <c r="Q67" s="1">
        <v>51</v>
      </c>
      <c r="R67" s="1">
        <v>63</v>
      </c>
      <c r="S67" s="1">
        <v>90</v>
      </c>
    </row>
    <row r="68" spans="1:19">
      <c r="A68" s="1">
        <v>2025</v>
      </c>
      <c r="B68" s="1">
        <v>68</v>
      </c>
      <c r="C68" s="1" t="s">
        <v>75</v>
      </c>
      <c r="D68" s="1" t="e">
        <f t="array" aca="1" ref="D68" ca="1">_xludf.XLOOKUP(C68,'country region mapping'!$A$2:$A$250, 'country region mapping'!$E$2:$E$250)</f>
        <v>#NAME?</v>
      </c>
      <c r="E68" s="1" t="e">
        <f t="array" aca="1" ref="E68" ca="1">_xludf.XLOOKUP(C68,'country region mapping'!$A$2:$A$267,'country region mapping'!$F$2:$F$267)</f>
        <v>#NAME?</v>
      </c>
      <c r="F68" s="1" t="e">
        <f t="array" aca="1" ref="F68" ca="1">_xludf.XLOOKUP(C68,'country region mapping'!$A$2:$A$267,'country region mapping'!$G$2:$G$267)</f>
        <v>#NAME?</v>
      </c>
      <c r="G68" s="1">
        <v>6.04</v>
      </c>
      <c r="H68" s="1">
        <v>106</v>
      </c>
      <c r="I68" s="1">
        <v>57</v>
      </c>
      <c r="J68" s="1">
        <v>64</v>
      </c>
      <c r="K68" s="1">
        <v>44</v>
      </c>
      <c r="L68" s="1">
        <v>69</v>
      </c>
      <c r="M68" s="1">
        <v>115</v>
      </c>
      <c r="N68" s="1">
        <v>109</v>
      </c>
      <c r="O68" s="1">
        <v>12</v>
      </c>
      <c r="P68" s="1">
        <v>83</v>
      </c>
      <c r="Q68" s="1">
        <v>115</v>
      </c>
      <c r="R68" s="1">
        <v>91</v>
      </c>
      <c r="S68" s="1">
        <v>52</v>
      </c>
    </row>
    <row r="69" spans="1:19">
      <c r="A69" s="1">
        <v>2025</v>
      </c>
      <c r="B69" s="1">
        <v>67</v>
      </c>
      <c r="C69" s="1" t="s">
        <v>110</v>
      </c>
      <c r="D69" s="1" t="e">
        <f t="array" aca="1" ref="D69" ca="1">_xludf.XLOOKUP(C69,'country region mapping'!$A$2:$A$267,'country region mapping'!$E$2:$E$267)</f>
        <v>#NAME?</v>
      </c>
      <c r="E69" s="1" t="e">
        <f t="array" aca="1" ref="E69" ca="1">_xludf.XLOOKUP(C69,'country region mapping'!$A$2:$A$267,'country region mapping'!$F$2:$F$267)</f>
        <v>#NAME?</v>
      </c>
      <c r="F69" s="1" t="e">
        <f t="array" aca="1" ref="F69" ca="1">_xludf.XLOOKUP(C69,'country region mapping'!$A$2:$A$267,'country region mapping'!$G$2:$G$267)</f>
        <v>#NAME?</v>
      </c>
      <c r="G69" s="1">
        <v>6.04</v>
      </c>
      <c r="H69" s="1">
        <v>58</v>
      </c>
      <c r="I69" s="1">
        <v>76</v>
      </c>
      <c r="K69" s="1">
        <v>3</v>
      </c>
      <c r="L69" s="1">
        <v>99</v>
      </c>
      <c r="M69" s="1">
        <v>58</v>
      </c>
      <c r="N69" s="1">
        <v>43</v>
      </c>
      <c r="O69" s="1">
        <v>99</v>
      </c>
      <c r="P69" s="1">
        <v>45</v>
      </c>
      <c r="Q69" s="1">
        <v>58</v>
      </c>
      <c r="R69" s="1">
        <v>101</v>
      </c>
      <c r="S69" s="1">
        <v>125</v>
      </c>
    </row>
    <row r="70" spans="1:19">
      <c r="A70" s="1">
        <v>2025</v>
      </c>
      <c r="B70" s="1">
        <v>69</v>
      </c>
      <c r="C70" s="1" t="s">
        <v>155</v>
      </c>
      <c r="D70" s="1" t="e">
        <f t="array" aca="1" ref="D70" ca="1">_xludf.XLOOKUP(C70,'country region mapping'!$A$2:$A$250, 'country region mapping'!$E$2:$E$250)</f>
        <v>#NAME?</v>
      </c>
      <c r="E70" s="1" t="e">
        <f t="array" aca="1" ref="E70" ca="1">_xludf.XLOOKUP(C70,'country region mapping'!$A$2:$A$267,'country region mapping'!$F$2:$F$267)</f>
        <v>#NAME?</v>
      </c>
      <c r="F70" s="1" t="e">
        <f t="array" aca="1" ref="F70" ca="1">_xludf.XLOOKUP(C70,'country region mapping'!$A$2:$A$267,'country region mapping'!$G$2:$G$267)</f>
        <v>#NAME?</v>
      </c>
      <c r="G70" s="1">
        <v>6.0289999999999999</v>
      </c>
      <c r="H70" s="1">
        <v>57</v>
      </c>
      <c r="I70" s="1">
        <v>45</v>
      </c>
      <c r="J70" s="1">
        <v>32</v>
      </c>
      <c r="K70" s="1">
        <v>22</v>
      </c>
      <c r="L70" s="1">
        <v>27</v>
      </c>
      <c r="M70" s="1">
        <v>108</v>
      </c>
      <c r="N70" s="1">
        <v>124</v>
      </c>
      <c r="O70" s="1">
        <v>96</v>
      </c>
      <c r="P70" s="1">
        <v>86</v>
      </c>
      <c r="Q70" s="1">
        <v>108</v>
      </c>
      <c r="R70" s="1">
        <v>117</v>
      </c>
      <c r="S70" s="1">
        <v>105</v>
      </c>
    </row>
    <row r="71" spans="1:19">
      <c r="A71" s="1">
        <v>2025</v>
      </c>
      <c r="B71" s="1">
        <v>70</v>
      </c>
      <c r="C71" s="1" t="s">
        <v>131</v>
      </c>
      <c r="D71" s="1" t="e">
        <f t="array" aca="1" ref="D71" ca="1">_xludf.XLOOKUP(C71,'country region mapping'!$A$2:$A$250, 'country region mapping'!$E$2:$E$250)</f>
        <v>#NAME?</v>
      </c>
      <c r="E71" s="1" t="e">
        <f t="array" aca="1" ref="E71" ca="1">_xludf.XLOOKUP(C71,'country region mapping'!$A$2:$A$267,'country region mapping'!$F$2:$F$267)</f>
        <v>#NAME?</v>
      </c>
      <c r="F71" s="1" t="e">
        <f t="array" aca="1" ref="F71" ca="1">_xludf.XLOOKUP(C71,'country region mapping'!$A$2:$A$267,'country region mapping'!$G$2:$G$267)</f>
        <v>#NAME?</v>
      </c>
      <c r="G71" s="1">
        <v>6.0090000000000003</v>
      </c>
      <c r="H71" s="1">
        <v>18</v>
      </c>
      <c r="I71" s="1">
        <v>27</v>
      </c>
      <c r="J71" s="1">
        <v>31</v>
      </c>
      <c r="K71" s="1">
        <v>31</v>
      </c>
      <c r="L71" s="1">
        <v>110</v>
      </c>
      <c r="M71" s="1">
        <v>125</v>
      </c>
      <c r="N71" s="1">
        <v>57</v>
      </c>
      <c r="O71" s="1">
        <v>101</v>
      </c>
      <c r="P71" s="1">
        <v>13</v>
      </c>
      <c r="Q71" s="1">
        <v>125</v>
      </c>
      <c r="R71" s="1">
        <v>122</v>
      </c>
      <c r="S71" s="1">
        <v>137</v>
      </c>
    </row>
    <row r="72" spans="1:19">
      <c r="A72" s="1">
        <v>2025</v>
      </c>
      <c r="B72" s="1">
        <v>71</v>
      </c>
      <c r="C72" s="1" t="s">
        <v>97</v>
      </c>
      <c r="D72" s="1" t="e">
        <f t="array" aca="1" ref="D72" ca="1">_xludf.XLOOKUP(C72,'country region mapping'!$A$2:$A$250, 'country region mapping'!$E$2:$E$250)</f>
        <v>#NAME?</v>
      </c>
      <c r="E72" s="1" t="e">
        <f t="array" aca="1" ref="E72" ca="1">_xludf.XLOOKUP(C72,'country region mapping'!$A$2:$A$267,'country region mapping'!$F$2:$F$267)</f>
        <v>#NAME?</v>
      </c>
      <c r="F72" s="1" t="e">
        <f t="array" aca="1" ref="F72" ca="1">_xludf.XLOOKUP(C72,'country region mapping'!$A$2:$A$267,'country region mapping'!$G$2:$G$267)</f>
        <v>#NAME?</v>
      </c>
      <c r="G72" s="1">
        <v>6.0049999999999999</v>
      </c>
      <c r="H72" s="1">
        <v>71</v>
      </c>
      <c r="I72" s="1">
        <v>82</v>
      </c>
      <c r="J72" s="1">
        <v>44</v>
      </c>
      <c r="K72" s="1">
        <v>55</v>
      </c>
      <c r="L72" s="1">
        <v>14</v>
      </c>
      <c r="M72" s="1">
        <v>26</v>
      </c>
      <c r="N72" s="1">
        <v>78</v>
      </c>
      <c r="O72" s="1">
        <v>22</v>
      </c>
      <c r="P72" s="1">
        <v>30</v>
      </c>
      <c r="Q72" s="1">
        <v>26</v>
      </c>
      <c r="R72" s="1">
        <v>26</v>
      </c>
      <c r="S72" s="1">
        <v>59</v>
      </c>
    </row>
    <row r="73" spans="1:19">
      <c r="A73" s="1">
        <v>2025</v>
      </c>
      <c r="B73" s="1">
        <v>72</v>
      </c>
      <c r="C73" s="1" t="s">
        <v>118</v>
      </c>
      <c r="D73" s="1" t="e">
        <f t="array" aca="1" ref="D73" ca="1">_xludf.XLOOKUP(C73,'country region mapping'!$A$2:$A$250, 'country region mapping'!$E$2:$E$250)</f>
        <v>#NAME?</v>
      </c>
      <c r="E73" s="1" t="e">
        <f t="array" aca="1" ref="E73" ca="1">_xludf.XLOOKUP(C73,'country region mapping'!$A$2:$A$267,'country region mapping'!$F$2:$F$267)</f>
        <v>#NAME?</v>
      </c>
      <c r="F73" s="1" t="e">
        <f t="array" aca="1" ref="F73" ca="1">_xludf.XLOOKUP(C73,'country region mapping'!$A$2:$A$267,'country region mapping'!$G$2:$G$267)</f>
        <v>#NAME?</v>
      </c>
      <c r="G73" s="1">
        <v>5.9740000000000002</v>
      </c>
      <c r="H73" s="1">
        <v>89</v>
      </c>
      <c r="I73" s="1">
        <v>70</v>
      </c>
      <c r="J73" s="1">
        <v>72</v>
      </c>
      <c r="K73" s="1">
        <v>69</v>
      </c>
      <c r="L73" s="1">
        <v>86</v>
      </c>
      <c r="M73" s="1">
        <v>114</v>
      </c>
      <c r="N73" s="1">
        <v>131</v>
      </c>
      <c r="O73" s="1">
        <v>16</v>
      </c>
      <c r="P73" s="1">
        <v>104</v>
      </c>
      <c r="Q73" s="1">
        <v>114</v>
      </c>
      <c r="R73" s="1">
        <v>84</v>
      </c>
      <c r="S73" s="1">
        <v>63</v>
      </c>
    </row>
    <row r="74" spans="1:19">
      <c r="A74" s="1">
        <v>2025</v>
      </c>
      <c r="B74" s="1">
        <v>73</v>
      </c>
      <c r="C74" s="1" t="s">
        <v>121</v>
      </c>
      <c r="D74" s="1" t="e">
        <f t="array" aca="1" ref="D74" ca="1">_xludf.XLOOKUP(C74,'country region mapping'!$A$2:$A$250, 'country region mapping'!$E$2:$E$250)</f>
        <v>#NAME?</v>
      </c>
      <c r="E74" s="1" t="e">
        <f t="array" aca="1" ref="E74" ca="1">_xludf.XLOOKUP(C74,'country region mapping'!$A$2:$A$267,'country region mapping'!$F$2:$F$267)</f>
        <v>#NAME?</v>
      </c>
      <c r="F74" s="1" t="e">
        <f t="array" aca="1" ref="F74" ca="1">_xludf.XLOOKUP(C74,'country region mapping'!$A$2:$A$267,'country region mapping'!$G$2:$G$267)</f>
        <v>#NAME?</v>
      </c>
      <c r="G74" s="1">
        <v>5.9390000000000001</v>
      </c>
      <c r="H74" s="1">
        <v>87</v>
      </c>
      <c r="I74" s="1">
        <v>49</v>
      </c>
      <c r="J74" s="1">
        <v>47</v>
      </c>
      <c r="K74" s="1">
        <v>61</v>
      </c>
      <c r="L74" s="1">
        <v>39</v>
      </c>
      <c r="M74" s="1">
        <v>69</v>
      </c>
      <c r="N74" s="1">
        <v>73</v>
      </c>
      <c r="O74" s="1">
        <v>74</v>
      </c>
      <c r="P74" s="1">
        <v>6</v>
      </c>
      <c r="Q74" s="1">
        <v>69</v>
      </c>
      <c r="R74" s="1">
        <v>37</v>
      </c>
      <c r="S74" s="1">
        <v>108</v>
      </c>
    </row>
    <row r="75" spans="1:19">
      <c r="A75" s="1">
        <v>2025</v>
      </c>
      <c r="B75" s="1">
        <v>74</v>
      </c>
      <c r="C75" s="1" t="s">
        <v>151</v>
      </c>
      <c r="D75" s="1" t="e">
        <f t="array" aca="1" ref="D75" ca="1">_xludf.XLOOKUP(C75,'country region mapping'!$A$2:$A$250, 'country region mapping'!$E$2:$E$250)</f>
        <v>#NAME?</v>
      </c>
      <c r="E75" s="1" t="e">
        <f t="array" aca="1" ref="E75" ca="1">_xludf.XLOOKUP(C75,'country region mapping'!$A$2:$A$267,'country region mapping'!$F$2:$F$267)</f>
        <v>#NAME?</v>
      </c>
      <c r="F75" s="1" t="e">
        <f t="array" aca="1" ref="F75" ca="1">_xludf.XLOOKUP(C75,'country region mapping'!$A$2:$A$267,'country region mapping'!$G$2:$G$267)</f>
        <v>#NAME?</v>
      </c>
      <c r="G75" s="1">
        <v>5.9370000000000003</v>
      </c>
      <c r="H75" s="1">
        <v>68</v>
      </c>
      <c r="I75" s="1">
        <v>16</v>
      </c>
      <c r="J75" s="1">
        <v>36</v>
      </c>
      <c r="K75" s="1">
        <v>48</v>
      </c>
      <c r="L75" s="1">
        <v>111</v>
      </c>
      <c r="M75" s="1">
        <v>36</v>
      </c>
      <c r="N75" s="1">
        <v>106</v>
      </c>
      <c r="O75" s="1">
        <v>82</v>
      </c>
      <c r="P75" s="1">
        <v>25</v>
      </c>
      <c r="Q75" s="1">
        <v>36</v>
      </c>
      <c r="R75" s="1">
        <v>109</v>
      </c>
      <c r="S75" s="1">
        <v>18</v>
      </c>
    </row>
    <row r="76" spans="1:19">
      <c r="A76" s="1">
        <v>2025</v>
      </c>
      <c r="B76" s="1">
        <v>75</v>
      </c>
      <c r="C76" s="1" t="s">
        <v>163</v>
      </c>
      <c r="D76" s="1" t="e">
        <f t="array" aca="1" ref="D76" ca="1">_xludf.XLOOKUP(C76,'country region mapping'!$A$2:$A$250, 'country region mapping'!$E$2:$E$250)</f>
        <v>#NAME?</v>
      </c>
      <c r="E76" s="1" t="e">
        <f t="array" aca="1" ref="E76" ca="1">_xludf.XLOOKUP(C76,'country region mapping'!$A$2:$A$267,'country region mapping'!$F$2:$F$267)</f>
        <v>#NAME?</v>
      </c>
      <c r="F76" s="1" t="e">
        <f t="array" aca="1" ref="F76" ca="1">_xludf.XLOOKUP(C76,'country region mapping'!$A$2:$A$267,'country region mapping'!$G$2:$G$267)</f>
        <v>#NAME?</v>
      </c>
      <c r="G76" s="1">
        <v>5.9359999999999999</v>
      </c>
      <c r="H76" s="1">
        <v>55</v>
      </c>
      <c r="I76" s="1">
        <v>5</v>
      </c>
      <c r="J76" s="1">
        <v>66</v>
      </c>
      <c r="K76" s="1">
        <v>80</v>
      </c>
      <c r="L76" s="1">
        <v>116</v>
      </c>
      <c r="M76" s="1">
        <v>30</v>
      </c>
      <c r="N76" s="1">
        <v>107</v>
      </c>
      <c r="O76" s="1">
        <v>119</v>
      </c>
      <c r="P76" s="1">
        <v>20</v>
      </c>
      <c r="Q76" s="1">
        <v>30</v>
      </c>
      <c r="R76" s="1">
        <v>10</v>
      </c>
      <c r="S76" s="1">
        <v>119</v>
      </c>
    </row>
    <row r="77" spans="1:19">
      <c r="A77" s="1">
        <v>2025</v>
      </c>
      <c r="B77" s="1">
        <v>76</v>
      </c>
      <c r="C77" s="1" t="s">
        <v>91</v>
      </c>
      <c r="D77" s="1" t="e">
        <f t="array" aca="1" ref="D77" ca="1">_xludf.XLOOKUP(C77,'country region mapping'!$A$2:$A$250, 'country region mapping'!$E$2:$E$250)</f>
        <v>#NAME?</v>
      </c>
      <c r="E77" s="1" t="e">
        <f t="array" aca="1" ref="E77" ca="1">_xludf.XLOOKUP(C77,'country region mapping'!$A$2:$A$267,'country region mapping'!$F$2:$F$267)</f>
        <v>#NAME?</v>
      </c>
      <c r="F77" s="1" t="e">
        <f t="array" aca="1" ref="F77" ca="1">_xludf.XLOOKUP(C77,'country region mapping'!$A$2:$A$267,'country region mapping'!$G$2:$G$267)</f>
        <v>#NAME?</v>
      </c>
      <c r="G77" s="1">
        <v>5.9050000000000002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>
      <c r="A78" s="1">
        <v>2025</v>
      </c>
      <c r="B78" s="1">
        <v>77</v>
      </c>
      <c r="C78" s="1" t="s">
        <v>285</v>
      </c>
      <c r="D78" s="1" t="e">
        <f t="array" aca="1" ref="D78" ca="1">_xludf.XLOOKUP(C78,'country region mapping'!$A$2:$A$267,'country region mapping'!$E$2:$E$267)</f>
        <v>#NAME?</v>
      </c>
      <c r="E78" s="1" t="e">
        <f t="array" aca="1" ref="E78" ca="1">_xludf.XLOOKUP(C78,'country region mapping'!$A$2:$A$267,'country region mapping'!$F$2:$F$267)</f>
        <v>#NAME?</v>
      </c>
      <c r="F78" s="1" t="e">
        <f t="array" aca="1" ref="F78" ca="1">_xludf.XLOOKUP(C78,'country region mapping'!$A$2:$A$267,'country region mapping'!$G$2:$G$267)</f>
        <v>#NAME?</v>
      </c>
      <c r="G78" s="1">
        <v>5.851</v>
      </c>
      <c r="H78" s="1">
        <v>70</v>
      </c>
      <c r="I78" s="1">
        <v>87</v>
      </c>
      <c r="J78" s="1">
        <v>69</v>
      </c>
      <c r="K78" s="1">
        <v>81</v>
      </c>
      <c r="L78" s="1">
        <v>37</v>
      </c>
      <c r="M78" s="1">
        <v>100</v>
      </c>
      <c r="N78" s="1">
        <v>120</v>
      </c>
      <c r="O78" s="1">
        <v>49</v>
      </c>
      <c r="P78" s="1">
        <v>75</v>
      </c>
      <c r="Q78" s="1">
        <v>100</v>
      </c>
      <c r="R78" s="1">
        <v>118</v>
      </c>
      <c r="S78" s="1">
        <v>40</v>
      </c>
    </row>
    <row r="79" spans="1:19">
      <c r="A79" s="1">
        <v>2025</v>
      </c>
      <c r="B79" s="1">
        <v>78</v>
      </c>
      <c r="C79" s="1" t="s">
        <v>112</v>
      </c>
      <c r="D79" s="1" t="e">
        <f t="array" aca="1" ref="D79" ca="1">_xludf.XLOOKUP(C79,'country region mapping'!$A$2:$A$267,'country region mapping'!$E$2:$E$267)</f>
        <v>#NAME?</v>
      </c>
      <c r="E79" s="1" t="e">
        <f t="array" aca="1" ref="E79" ca="1">_xludf.XLOOKUP(C79,'country region mapping'!$A$2:$A$267,'country region mapping'!$F$2:$F$267)</f>
        <v>#NAME?</v>
      </c>
      <c r="F79" s="1" t="e">
        <f t="array" aca="1" ref="F79" ca="1">_xludf.XLOOKUP(C79,'country region mapping'!$A$2:$A$267,'country region mapping'!$G$2:$G$267)</f>
        <v>#NAME?</v>
      </c>
      <c r="G79" s="1">
        <v>5.835</v>
      </c>
      <c r="H79" s="1">
        <v>82</v>
      </c>
      <c r="I79" s="1">
        <v>83</v>
      </c>
      <c r="J79" s="1">
        <v>85</v>
      </c>
      <c r="K79" s="1">
        <v>98</v>
      </c>
      <c r="L79" s="1">
        <v>80</v>
      </c>
      <c r="M79" s="1">
        <v>116</v>
      </c>
      <c r="N79" s="1">
        <v>125</v>
      </c>
      <c r="O79" s="1">
        <v>28</v>
      </c>
      <c r="P79" s="1">
        <v>125</v>
      </c>
      <c r="Q79" s="1">
        <v>116</v>
      </c>
      <c r="R79" s="1">
        <v>68</v>
      </c>
      <c r="S79" s="1">
        <v>69</v>
      </c>
    </row>
    <row r="80" spans="1:19">
      <c r="A80" s="1">
        <v>2025</v>
      </c>
      <c r="B80" s="1">
        <v>79</v>
      </c>
      <c r="C80" s="1" t="s">
        <v>108</v>
      </c>
      <c r="D80" s="1" t="e">
        <f t="array" aca="1" ref="D80" ca="1">_xludf.XLOOKUP(C80,'country region mapping'!$A$2:$A$250, 'country region mapping'!$E$2:$E$250)</f>
        <v>#NAME?</v>
      </c>
      <c r="E80" s="1" t="e">
        <f t="array" aca="1" ref="E80" ca="1">_xludf.XLOOKUP(C80,'country region mapping'!$A$2:$A$267,'country region mapping'!$F$2:$F$267)</f>
        <v>#NAME?</v>
      </c>
      <c r="F80" s="1" t="e">
        <f t="array" aca="1" ref="F80" ca="1">_xludf.XLOOKUP(C80,'country region mapping'!$A$2:$A$267,'country region mapping'!$G$2:$G$267)</f>
        <v>#NAME?</v>
      </c>
      <c r="G80" s="1">
        <v>5.8339999999999996</v>
      </c>
      <c r="H80" s="1">
        <v>95</v>
      </c>
      <c r="I80" s="1">
        <v>73</v>
      </c>
      <c r="J80" s="1">
        <v>33</v>
      </c>
      <c r="K80" s="1">
        <v>83</v>
      </c>
      <c r="L80" s="1">
        <v>112</v>
      </c>
      <c r="M80" s="1">
        <v>31</v>
      </c>
      <c r="N80" s="1">
        <v>47</v>
      </c>
      <c r="O80" s="1">
        <v>104</v>
      </c>
      <c r="P80" s="1">
        <v>28</v>
      </c>
      <c r="Q80" s="1">
        <v>31</v>
      </c>
      <c r="R80" s="1">
        <v>53</v>
      </c>
      <c r="S80" s="1">
        <v>30</v>
      </c>
    </row>
    <row r="81" spans="1:19">
      <c r="A81" s="1">
        <v>2025</v>
      </c>
      <c r="B81" s="1">
        <v>80</v>
      </c>
      <c r="C81" s="1" t="s">
        <v>93</v>
      </c>
      <c r="D81" s="1" t="e">
        <f t="array" aca="1" ref="D81" ca="1">_xludf.XLOOKUP(C81,'country region mapping'!$A$2:$A$267,'country region mapping'!$E$2:$E$267)</f>
        <v>#NAME?</v>
      </c>
      <c r="E81" s="1" t="e">
        <f t="array" aca="1" ref="E81" ca="1">_xludf.XLOOKUP(C81,'country region mapping'!$A$2:$A$267,'country region mapping'!$F$2:$F$267)</f>
        <v>#NAME?</v>
      </c>
      <c r="F81" s="1" t="e">
        <f t="array" aca="1" ref="F81" ca="1">_xludf.XLOOKUP(C81,'country region mapping'!$A$2:$A$267,'country region mapping'!$G$2:$G$267)</f>
        <v>#NAME?</v>
      </c>
      <c r="G81" s="1">
        <v>5.7560000000000002</v>
      </c>
      <c r="H81" s="1">
        <v>102</v>
      </c>
      <c r="I81" s="1">
        <v>55</v>
      </c>
      <c r="K81" s="1">
        <v>74</v>
      </c>
      <c r="L81" s="1">
        <v>79</v>
      </c>
      <c r="M81" s="1">
        <v>117</v>
      </c>
      <c r="N81" s="1">
        <v>51</v>
      </c>
      <c r="O81" s="1">
        <v>21</v>
      </c>
      <c r="P81" s="1">
        <v>96</v>
      </c>
      <c r="Q81" s="1">
        <v>117</v>
      </c>
      <c r="R81" s="1">
        <v>48</v>
      </c>
      <c r="S81" s="1">
        <v>21</v>
      </c>
    </row>
    <row r="82" spans="1:19">
      <c r="A82" s="1">
        <v>2025</v>
      </c>
      <c r="B82" s="1">
        <v>81</v>
      </c>
      <c r="C82" s="1" t="s">
        <v>122</v>
      </c>
      <c r="D82" s="1" t="e">
        <f t="array" aca="1" ref="D82" ca="1">_xludf.XLOOKUP(C82,'country region mapping'!$A$2:$A$250, 'country region mapping'!$E$2:$E$250)</f>
        <v>#NAME?</v>
      </c>
      <c r="E82" s="1" t="e">
        <f t="array" aca="1" ref="E82" ca="1">_xludf.XLOOKUP(C82,'country region mapping'!$A$2:$A$267,'country region mapping'!$F$2:$F$267)</f>
        <v>#NAME?</v>
      </c>
      <c r="F82" s="1" t="e">
        <f t="array" aca="1" ref="F82" ca="1">_xludf.XLOOKUP(C82,'country region mapping'!$A$2:$A$267,'country region mapping'!$G$2:$G$267)</f>
        <v>#NAME?</v>
      </c>
      <c r="G82" s="1">
        <v>5.7309999999999999</v>
      </c>
      <c r="H82" s="1">
        <v>32</v>
      </c>
      <c r="I82" s="1">
        <v>94</v>
      </c>
      <c r="J82" s="1">
        <v>78</v>
      </c>
      <c r="K82" s="1"/>
      <c r="L82" s="1">
        <v>87</v>
      </c>
      <c r="M82" s="1">
        <v>85</v>
      </c>
      <c r="N82" s="1">
        <v>21</v>
      </c>
      <c r="O82" s="1">
        <v>123</v>
      </c>
      <c r="P82" s="1">
        <v>71</v>
      </c>
      <c r="Q82" s="1">
        <v>85</v>
      </c>
      <c r="R82" s="1">
        <v>106</v>
      </c>
      <c r="S82" s="1">
        <v>114</v>
      </c>
    </row>
    <row r="83" spans="1:19">
      <c r="A83" s="1">
        <v>2025</v>
      </c>
      <c r="B83" s="1">
        <v>82</v>
      </c>
      <c r="C83" s="1" t="s">
        <v>156</v>
      </c>
      <c r="D83" s="1" t="e">
        <f t="array" aca="1" ref="D83" ca="1">_xludf.XLOOKUP(C83,'country region mapping'!$A$2:$A$250, 'country region mapping'!$E$2:$E$250)</f>
        <v>#NAME?</v>
      </c>
      <c r="E83" s="1" t="e">
        <f t="array" aca="1" ref="E83" ca="1">_xludf.XLOOKUP(C83,'country region mapping'!$A$2:$A$267,'country region mapping'!$F$2:$F$267)</f>
        <v>#NAME?</v>
      </c>
      <c r="F83" s="1" t="e">
        <f t="array" aca="1" ref="F83" ca="1">_xludf.XLOOKUP(C83,'country region mapping'!$A$2:$A$267,'country region mapping'!$G$2:$G$267)</f>
        <v>#NAME?</v>
      </c>
      <c r="G83" s="1">
        <v>5.7190000000000003</v>
      </c>
      <c r="H83" s="1">
        <v>53</v>
      </c>
      <c r="I83" s="1">
        <v>43</v>
      </c>
      <c r="J83" s="1">
        <v>55</v>
      </c>
      <c r="K83" s="1">
        <v>60</v>
      </c>
      <c r="L83" s="1">
        <v>120</v>
      </c>
      <c r="M83" s="1">
        <v>43</v>
      </c>
      <c r="N83" s="1">
        <v>128</v>
      </c>
      <c r="O83" s="1">
        <v>132</v>
      </c>
      <c r="P83" s="1">
        <v>81</v>
      </c>
      <c r="Q83" s="1">
        <v>43</v>
      </c>
      <c r="R83" s="1">
        <v>128</v>
      </c>
      <c r="S83" s="1">
        <v>134</v>
      </c>
    </row>
    <row r="84" spans="1:19">
      <c r="A84" s="1">
        <v>2025</v>
      </c>
      <c r="B84" s="1">
        <v>83</v>
      </c>
      <c r="C84" s="1" t="s">
        <v>85</v>
      </c>
      <c r="D84" s="1" t="e">
        <f t="array" aca="1" ref="D84" ca="1">_xludf.XLOOKUP(C84,'country region mapping'!$A$2:$A$250, 'country region mapping'!$E$2:$E$250)</f>
        <v>#NAME?</v>
      </c>
      <c r="E84" s="1" t="e">
        <f t="array" aca="1" ref="E84" ca="1">_xludf.XLOOKUP(C84,'country region mapping'!$A$2:$A$267,'country region mapping'!$F$2:$F$267)</f>
        <v>#NAME?</v>
      </c>
      <c r="F84" s="1" t="e">
        <f t="array" aca="1" ref="F84" ca="1">_xludf.XLOOKUP(C84,'country region mapping'!$A$2:$A$267,'country region mapping'!$G$2:$G$267)</f>
        <v>#NAME?</v>
      </c>
      <c r="G84" s="1">
        <v>5.7140000000000004</v>
      </c>
      <c r="H84" s="1">
        <v>104</v>
      </c>
      <c r="I84" s="1">
        <v>77</v>
      </c>
      <c r="J84" s="1">
        <v>73</v>
      </c>
      <c r="K84" s="1">
        <v>39</v>
      </c>
      <c r="L84" s="1">
        <v>52</v>
      </c>
      <c r="M84" s="1">
        <v>91</v>
      </c>
      <c r="O84" s="1">
        <v>86</v>
      </c>
      <c r="P84" s="1">
        <v>120</v>
      </c>
      <c r="Q84" s="1">
        <v>91</v>
      </c>
      <c r="R84" s="1">
        <v>88</v>
      </c>
      <c r="S84" s="1">
        <v>13</v>
      </c>
    </row>
    <row r="85" spans="1:19">
      <c r="A85" s="1">
        <v>2025</v>
      </c>
      <c r="B85" s="1">
        <v>84</v>
      </c>
      <c r="C85" s="1" t="s">
        <v>205</v>
      </c>
      <c r="D85" s="1" t="e">
        <f t="array" aca="1" ref="D85" ca="1">_xludf.XLOOKUP(C85,'country region mapping'!$A$2:$A$250, 'country region mapping'!$E$2:$E$250)</f>
        <v>#NAME?</v>
      </c>
      <c r="E85" s="1" t="e">
        <f t="array" aca="1" ref="E85" ca="1">_xludf.XLOOKUP(C85,'country region mapping'!$A$2:$A$267,'country region mapping'!$F$2:$F$267)</f>
        <v>#NAME?</v>
      </c>
      <c r="F85" s="1" t="e">
        <f t="array" aca="1" ref="F85" ca="1">_xludf.XLOOKUP(C85,'country region mapping'!$A$2:$A$267,'country region mapping'!$G$2:$G$267)</f>
        <v>#NAME?</v>
      </c>
      <c r="G85" s="1">
        <v>5.7030000000000003</v>
      </c>
      <c r="H85" s="1">
        <v>51</v>
      </c>
      <c r="I85" s="1">
        <v>19</v>
      </c>
      <c r="J85" s="1">
        <v>43</v>
      </c>
      <c r="K85" s="1">
        <v>71</v>
      </c>
      <c r="L85" s="1">
        <v>65</v>
      </c>
      <c r="M85" s="1">
        <v>89</v>
      </c>
      <c r="N85" s="1">
        <v>130</v>
      </c>
      <c r="O85" s="1">
        <v>111</v>
      </c>
      <c r="P85" s="1">
        <v>17</v>
      </c>
      <c r="Q85" s="1">
        <v>89</v>
      </c>
      <c r="R85" s="1">
        <v>124</v>
      </c>
      <c r="S85" s="1">
        <v>126</v>
      </c>
    </row>
    <row r="86" spans="1:19">
      <c r="A86" s="1">
        <v>2025</v>
      </c>
      <c r="B86" s="1">
        <v>85</v>
      </c>
      <c r="C86" s="1" t="s">
        <v>160</v>
      </c>
      <c r="D86" s="1" t="e">
        <f t="array" aca="1" ref="D86" ca="1">_xludf.XLOOKUP(C86,'country region mapping'!$A$2:$A$250, 'country region mapping'!$E$2:$E$250)</f>
        <v>#NAME?</v>
      </c>
      <c r="E86" s="1" t="e">
        <f t="array" aca="1" ref="E86" ca="1">_xludf.XLOOKUP(C86,'country region mapping'!$A$2:$A$267,'country region mapping'!$F$2:$F$267)</f>
        <v>#NAME?</v>
      </c>
      <c r="F86" s="1" t="e">
        <f t="array" aca="1" ref="F86" ca="1">_xludf.XLOOKUP(C86,'country region mapping'!$A$2:$A$267,'country region mapping'!$G$2:$G$267)</f>
        <v>#NAME?</v>
      </c>
      <c r="G86" s="1">
        <v>5.6970000000000001</v>
      </c>
      <c r="H86" s="1">
        <v>64</v>
      </c>
      <c r="I86" s="1">
        <v>79</v>
      </c>
      <c r="J86" s="1">
        <v>39</v>
      </c>
      <c r="K86" s="1">
        <v>27</v>
      </c>
      <c r="L86" s="1">
        <v>134</v>
      </c>
      <c r="M86" s="1">
        <v>111</v>
      </c>
      <c r="N86" s="1">
        <v>111</v>
      </c>
      <c r="O86" s="1">
        <v>112</v>
      </c>
      <c r="P86" s="1">
        <v>106</v>
      </c>
      <c r="Q86" s="1">
        <v>111</v>
      </c>
      <c r="R86" s="1">
        <v>90</v>
      </c>
      <c r="S86" s="1">
        <v>62</v>
      </c>
    </row>
    <row r="87" spans="1:19">
      <c r="A87" s="1">
        <v>2025</v>
      </c>
      <c r="B87" s="1">
        <v>86</v>
      </c>
      <c r="C87" s="1" t="s">
        <v>174</v>
      </c>
      <c r="D87" s="1" t="e">
        <f t="array" aca="1" ref="D87" ca="1">_xludf.XLOOKUP(C87,'country region mapping'!$A$2:$A$250, 'country region mapping'!$E$2:$E$250)</f>
        <v>#NAME?</v>
      </c>
      <c r="E87" s="1" t="e">
        <f t="array" aca="1" ref="E87" ca="1">_xludf.XLOOKUP(C87,'country region mapping'!$A$2:$A$267,'country region mapping'!$F$2:$F$267)</f>
        <v>#NAME?</v>
      </c>
      <c r="F87" s="1" t="e">
        <f t="array" aca="1" ref="F87" ca="1">_xludf.XLOOKUP(C87,'country region mapping'!$A$2:$A$267,'country region mapping'!$G$2:$G$267)</f>
        <v>#NAME?</v>
      </c>
      <c r="G87" s="1">
        <v>5.6619999999999999</v>
      </c>
      <c r="H87" s="1">
        <v>97</v>
      </c>
      <c r="I87" s="1">
        <v>89</v>
      </c>
      <c r="J87" s="1">
        <v>56</v>
      </c>
      <c r="K87" s="1">
        <v>35</v>
      </c>
      <c r="L87" s="1">
        <v>34</v>
      </c>
      <c r="M87" s="1">
        <v>53</v>
      </c>
      <c r="N87" s="1">
        <v>98</v>
      </c>
      <c r="O87" s="1">
        <v>100</v>
      </c>
      <c r="P87" s="1">
        <v>67</v>
      </c>
      <c r="Q87" s="1">
        <v>53</v>
      </c>
      <c r="R87" s="1">
        <v>133</v>
      </c>
      <c r="S87" s="1">
        <v>111</v>
      </c>
    </row>
    <row r="88" spans="1:19">
      <c r="A88" s="1">
        <v>2025</v>
      </c>
      <c r="B88" s="1">
        <v>87</v>
      </c>
      <c r="C88" s="1" t="s">
        <v>137</v>
      </c>
      <c r="D88" s="1" t="e">
        <f t="array" aca="1" ref="D88" ca="1">_xludf.XLOOKUP(C88,'country region mapping'!$A$2:$A$250, 'country region mapping'!$E$2:$E$250)</f>
        <v>#NAME?</v>
      </c>
      <c r="E88" s="1" t="e">
        <f t="array" aca="1" ref="E88" ca="1">_xludf.XLOOKUP(C88,'country region mapping'!$A$2:$A$267,'country region mapping'!$F$2:$F$267)</f>
        <v>#NAME?</v>
      </c>
      <c r="F88" s="1" t="e">
        <f t="array" aca="1" ref="F88" ca="1">_xludf.XLOOKUP(C88,'country region mapping'!$A$2:$A$267,'country region mapping'!$G$2:$G$267)</f>
        <v>#NAME?</v>
      </c>
      <c r="G88" s="1">
        <v>5.617</v>
      </c>
      <c r="H88" s="1">
        <v>83</v>
      </c>
      <c r="I88" s="1">
        <v>80</v>
      </c>
      <c r="J88" s="1">
        <v>75</v>
      </c>
      <c r="K88" s="1">
        <v>85</v>
      </c>
      <c r="L88" s="1">
        <v>29</v>
      </c>
      <c r="M88" s="1">
        <v>1</v>
      </c>
      <c r="N88" s="1">
        <v>126</v>
      </c>
      <c r="O88" s="1">
        <v>4</v>
      </c>
      <c r="P88" s="1">
        <v>88</v>
      </c>
      <c r="Q88" s="1">
        <v>1</v>
      </c>
      <c r="R88" s="1">
        <v>1</v>
      </c>
      <c r="S88" s="1">
        <v>71</v>
      </c>
    </row>
    <row r="89" spans="1:19">
      <c r="A89" s="1">
        <v>2025</v>
      </c>
      <c r="B89" s="1">
        <v>88</v>
      </c>
      <c r="C89" s="1" t="s">
        <v>162</v>
      </c>
      <c r="D89" s="1" t="e">
        <f t="array" aca="1" ref="D89" ca="1">_xludf.XLOOKUP(C89,'country region mapping'!$A$2:$A$250, 'country region mapping'!$E$2:$E$250)</f>
        <v>#NAME?</v>
      </c>
      <c r="E89" s="1" t="e">
        <f t="array" aca="1" ref="E89" ca="1">_xludf.XLOOKUP(C89,'country region mapping'!$A$2:$A$267,'country region mapping'!$F$2:$F$267)</f>
        <v>#NAME?</v>
      </c>
      <c r="F89" s="1" t="e">
        <f t="array" aca="1" ref="F89" ca="1">_xludf.XLOOKUP(C89,'country region mapping'!$A$2:$A$267,'country region mapping'!$G$2:$G$267)</f>
        <v>#NAME?</v>
      </c>
      <c r="G89" s="1">
        <v>5.5910000000000002</v>
      </c>
      <c r="H89" s="1">
        <v>35</v>
      </c>
      <c r="I89" s="1">
        <v>31</v>
      </c>
      <c r="J89" s="1">
        <v>108</v>
      </c>
      <c r="K89" s="1">
        <v>67</v>
      </c>
      <c r="M89" s="1">
        <v>79</v>
      </c>
      <c r="N89" s="1">
        <v>11</v>
      </c>
      <c r="O89" s="1">
        <v>73</v>
      </c>
      <c r="P89" s="1">
        <v>10</v>
      </c>
      <c r="Q89" s="1">
        <v>79</v>
      </c>
      <c r="R89" s="1">
        <v>4</v>
      </c>
      <c r="S89" s="1">
        <v>39</v>
      </c>
    </row>
    <row r="90" spans="1:19">
      <c r="A90" s="1">
        <v>2025</v>
      </c>
      <c r="B90" s="1">
        <v>89</v>
      </c>
      <c r="C90" s="1" t="s">
        <v>192</v>
      </c>
      <c r="D90" s="1" t="e">
        <f t="array" aca="1" ref="D90" ca="1">_xludf.XLOOKUP(C90,'country region mapping'!$A$2:$A$250, 'country region mapping'!$E$2:$E$250)</f>
        <v>#NAME?</v>
      </c>
      <c r="E90" s="1" t="e">
        <f t="array" aca="1" ref="E90" ca="1">_xludf.XLOOKUP(C90,'country region mapping'!$A$2:$A$267,'country region mapping'!$F$2:$F$267)</f>
        <v>#NAME?</v>
      </c>
      <c r="F90" s="1" t="e">
        <f t="array" aca="1" ref="F90" ca="1">_xludf.XLOOKUP(C90,'country region mapping'!$A$2:$A$267,'country region mapping'!$G$2:$G$267)</f>
        <v>#NAME?</v>
      </c>
      <c r="G90" s="1">
        <v>5.5839999999999996</v>
      </c>
      <c r="H90" s="1">
        <v>81</v>
      </c>
      <c r="I90" s="1">
        <v>72</v>
      </c>
      <c r="J90" s="1">
        <v>61</v>
      </c>
      <c r="K90" s="1">
        <v>53</v>
      </c>
      <c r="L90" s="1">
        <v>83</v>
      </c>
      <c r="M90" s="1">
        <v>133</v>
      </c>
      <c r="N90" s="1">
        <v>50</v>
      </c>
      <c r="O90" s="1">
        <v>120</v>
      </c>
      <c r="P90" s="1">
        <v>135</v>
      </c>
      <c r="Q90" s="1">
        <v>133</v>
      </c>
      <c r="R90" s="1">
        <v>138</v>
      </c>
      <c r="S90" s="1">
        <v>95</v>
      </c>
    </row>
    <row r="91" spans="1:19">
      <c r="A91" s="1">
        <v>2025</v>
      </c>
      <c r="B91" s="1">
        <v>90</v>
      </c>
      <c r="C91" s="1" t="s">
        <v>132</v>
      </c>
      <c r="D91" s="1" t="e">
        <f t="array" aca="1" ref="D91" ca="1">_xludf.XLOOKUP(C91,'country region mapping'!$A$2:$A$267,'country region mapping'!$E$2:$E$267)</f>
        <v>#NAME?</v>
      </c>
      <c r="E91" s="1" t="e">
        <f t="array" aca="1" ref="E91" ca="1">_xludf.XLOOKUP(C91,'country region mapping'!$A$2:$A$267,'country region mapping'!$F$2:$F$267)</f>
        <v>#NAME?</v>
      </c>
      <c r="F91" s="1" t="e">
        <f t="array" aca="1" ref="F91" ca="1">_xludf.XLOOKUP(C91,'country region mapping'!$A$2:$A$267,'country region mapping'!$G$2:$G$267)</f>
        <v>#NAME?</v>
      </c>
      <c r="G91" s="1">
        <v>5.569</v>
      </c>
      <c r="H91" s="1">
        <v>11</v>
      </c>
      <c r="I91" s="1">
        <v>60</v>
      </c>
      <c r="K91" s="1"/>
      <c r="L91" s="1">
        <v>82</v>
      </c>
      <c r="M91" s="1">
        <v>34</v>
      </c>
      <c r="N91" s="1">
        <v>7</v>
      </c>
      <c r="O91" s="1">
        <v>116</v>
      </c>
      <c r="P91" s="1">
        <v>12</v>
      </c>
      <c r="Q91" s="1">
        <v>34</v>
      </c>
      <c r="R91" s="1">
        <v>80</v>
      </c>
      <c r="S91" s="1">
        <v>91</v>
      </c>
    </row>
    <row r="92" spans="1:19">
      <c r="A92" s="1">
        <v>2025</v>
      </c>
      <c r="B92" s="1">
        <v>91</v>
      </c>
      <c r="C92" s="1" t="s">
        <v>201</v>
      </c>
      <c r="D92" s="1" t="e">
        <f t="array" aca="1" ref="D92" ca="1">_xludf.XLOOKUP(C92,'country region mapping'!$A$2:$A$250, 'country region mapping'!$E$2:$E$250)</f>
        <v>#NAME?</v>
      </c>
      <c r="E92" s="1" t="e">
        <f t="array" aca="1" ref="E92" ca="1">_xludf.XLOOKUP(C92,'country region mapping'!$A$2:$A$267,'country region mapping'!$F$2:$F$267)</f>
        <v>#NAME?</v>
      </c>
      <c r="F92" s="1" t="e">
        <f t="array" aca="1" ref="F92" ca="1">_xludf.XLOOKUP(C92,'country region mapping'!$A$2:$A$267,'country region mapping'!$G$2:$G$267)</f>
        <v>#NAME?</v>
      </c>
      <c r="G92" s="1">
        <v>5.5170000000000003</v>
      </c>
      <c r="H92" s="1">
        <v>67</v>
      </c>
      <c r="I92" s="1">
        <v>75</v>
      </c>
      <c r="J92" s="1">
        <v>52</v>
      </c>
      <c r="K92" s="1">
        <v>51</v>
      </c>
      <c r="L92" s="1">
        <v>70</v>
      </c>
      <c r="M92" s="1">
        <v>138</v>
      </c>
      <c r="N92" s="1">
        <v>44</v>
      </c>
      <c r="O92" s="1">
        <v>126</v>
      </c>
      <c r="P92" s="1">
        <v>14</v>
      </c>
      <c r="Q92" s="1">
        <v>138</v>
      </c>
      <c r="R92" s="1">
        <v>93</v>
      </c>
      <c r="S92" s="1">
        <v>51</v>
      </c>
    </row>
    <row r="93" spans="1:19">
      <c r="A93" s="1">
        <v>2025</v>
      </c>
      <c r="B93" s="1">
        <v>92</v>
      </c>
      <c r="C93" s="1" t="s">
        <v>164</v>
      </c>
      <c r="D93" s="1" t="e">
        <f t="array" aca="1" ref="D93" ca="1">_xludf.XLOOKUP(C93,'country region mapping'!$A$2:$A$267,'country region mapping'!$E$2:$E$267)</f>
        <v>#NAME?</v>
      </c>
      <c r="E93" s="1" t="e">
        <f t="array" aca="1" ref="E93" ca="1">_xludf.XLOOKUP(C93,'country region mapping'!$A$2:$A$267,'country region mapping'!$F$2:$F$267)</f>
        <v>#NAME?</v>
      </c>
      <c r="F93" s="1" t="e">
        <f t="array" aca="1" ref="F93" ca="1">_xludf.XLOOKUP(C93,'country region mapping'!$A$2:$A$267,'country region mapping'!$G$2:$G$267)</f>
        <v>#NAME?</v>
      </c>
      <c r="G93" s="1">
        <v>5.5149999999999997</v>
      </c>
      <c r="H93" s="1">
        <v>113</v>
      </c>
      <c r="I93" s="1">
        <v>114</v>
      </c>
      <c r="J93" s="1">
        <v>93</v>
      </c>
      <c r="K93" s="1">
        <v>87</v>
      </c>
      <c r="L93" s="1">
        <v>12</v>
      </c>
      <c r="M93" s="1">
        <v>52</v>
      </c>
      <c r="N93" s="1">
        <v>35</v>
      </c>
      <c r="O93" s="1">
        <v>32</v>
      </c>
      <c r="P93" s="1">
        <v>99</v>
      </c>
      <c r="Q93" s="1">
        <v>52</v>
      </c>
      <c r="R93" s="1">
        <v>105</v>
      </c>
      <c r="S93" s="1">
        <v>135</v>
      </c>
    </row>
    <row r="94" spans="1:19">
      <c r="A94" s="1">
        <v>2025</v>
      </c>
      <c r="B94" s="1">
        <v>93</v>
      </c>
      <c r="C94" s="1" t="s">
        <v>252</v>
      </c>
      <c r="D94" s="1" t="e">
        <f t="array" aca="1" ref="D94" ca="1">_xludf.XLOOKUP(C94,'country region mapping'!$A$2:$A$250, 'country region mapping'!$E$2:$E$250)</f>
        <v>#NAME?</v>
      </c>
      <c r="E94" s="1" t="e">
        <f t="array" aca="1" ref="E94" ca="1">_xludf.XLOOKUP(C94,'country region mapping'!$A$2:$A$267,'country region mapping'!$F$2:$F$267)</f>
        <v>#NAME?</v>
      </c>
      <c r="F94" s="1" t="e">
        <f t="array" aca="1" ref="F94" ca="1">_xludf.XLOOKUP(C94,'country region mapping'!$A$2:$A$267,'country region mapping'!$G$2:$G$267)</f>
        <v>#NAME?</v>
      </c>
      <c r="G94" s="1">
        <v>5.3360000000000003</v>
      </c>
      <c r="H94" s="1">
        <v>138</v>
      </c>
      <c r="I94" s="1">
        <v>103</v>
      </c>
      <c r="J94" s="1">
        <v>130</v>
      </c>
      <c r="K94" s="1">
        <v>117</v>
      </c>
      <c r="L94" s="1">
        <v>94</v>
      </c>
      <c r="M94" s="1">
        <v>121</v>
      </c>
      <c r="N94" s="1">
        <v>46</v>
      </c>
      <c r="O94" s="1">
        <v>97</v>
      </c>
      <c r="P94" s="1">
        <v>118</v>
      </c>
      <c r="Q94" s="1">
        <v>121</v>
      </c>
      <c r="R94" s="1">
        <v>50</v>
      </c>
      <c r="S94" s="1">
        <v>106</v>
      </c>
    </row>
    <row r="95" spans="1:19">
      <c r="A95" s="1">
        <v>2025</v>
      </c>
      <c r="B95" s="1">
        <v>94</v>
      </c>
      <c r="C95" s="1" t="s">
        <v>136</v>
      </c>
      <c r="D95" s="1" t="e">
        <f t="array" aca="1" ref="D95" ca="1">_xludf.XLOOKUP(C95,'country region mapping'!$A$2:$A$250, 'country region mapping'!$E$2:$E$250)</f>
        <v>#NAME?</v>
      </c>
      <c r="E95" s="1" t="e">
        <f t="array" aca="1" ref="E95" ca="1">_xludf.XLOOKUP(C95,'country region mapping'!$A$2:$A$267,'country region mapping'!$F$2:$F$267)</f>
        <v>#NAME?</v>
      </c>
      <c r="F95" s="1" t="e">
        <f t="array" aca="1" ref="F95" ca="1">_xludf.XLOOKUP(C95,'country region mapping'!$A$2:$A$267,'country region mapping'!$G$2:$G$267)</f>
        <v>#NAME?</v>
      </c>
      <c r="G95" s="1">
        <v>5.3</v>
      </c>
      <c r="H95" s="1">
        <v>43</v>
      </c>
      <c r="I95" s="1">
        <v>71</v>
      </c>
      <c r="J95" s="1">
        <v>40</v>
      </c>
      <c r="K95" s="1">
        <v>42</v>
      </c>
      <c r="L95" s="1">
        <v>135</v>
      </c>
      <c r="M95" s="1">
        <v>97</v>
      </c>
      <c r="N95" s="1">
        <v>84</v>
      </c>
      <c r="O95" s="1">
        <v>139</v>
      </c>
      <c r="P95" s="1">
        <v>113</v>
      </c>
      <c r="Q95" s="1">
        <v>97</v>
      </c>
      <c r="R95" s="1">
        <v>125</v>
      </c>
      <c r="S95" s="1">
        <v>100</v>
      </c>
    </row>
    <row r="96" spans="1:19">
      <c r="A96" s="1">
        <v>2025</v>
      </c>
      <c r="B96" s="1">
        <v>95</v>
      </c>
      <c r="C96" s="1" t="s">
        <v>179</v>
      </c>
      <c r="D96" s="1" t="e">
        <f t="array" aca="1" ref="D96" ca="1">_xludf.XLOOKUP(C96,'country region mapping'!$A$2:$A$250, 'country region mapping'!$E$2:$E$250)</f>
        <v>#NAME?</v>
      </c>
      <c r="E96" s="1" t="e">
        <f t="array" aca="1" ref="E96" ca="1">_xludf.XLOOKUP(C96,'country region mapping'!$A$2:$A$267,'country region mapping'!$F$2:$F$267)</f>
        <v>#NAME?</v>
      </c>
      <c r="F96" s="1" t="e">
        <f t="array" aca="1" ref="F96" ca="1">_xludf.XLOOKUP(C96,'country region mapping'!$A$2:$A$267,'country region mapping'!$G$2:$G$267)</f>
        <v>#NAME?</v>
      </c>
      <c r="G96" s="1">
        <v>5.2119999999999997</v>
      </c>
      <c r="H96" s="1">
        <v>115</v>
      </c>
      <c r="I96" s="1">
        <v>100</v>
      </c>
      <c r="J96" s="1">
        <v>82</v>
      </c>
      <c r="K96" s="1">
        <v>82</v>
      </c>
      <c r="L96" s="1">
        <v>130</v>
      </c>
      <c r="M96" s="1">
        <v>77</v>
      </c>
      <c r="N96" s="1">
        <v>86</v>
      </c>
      <c r="O96" s="1">
        <v>114</v>
      </c>
      <c r="P96" s="1">
        <v>137</v>
      </c>
      <c r="Q96" s="1">
        <v>77</v>
      </c>
      <c r="R96" s="1">
        <v>116</v>
      </c>
      <c r="S96" s="1">
        <v>44</v>
      </c>
    </row>
    <row r="97" spans="1:19">
      <c r="A97" s="1">
        <v>2025</v>
      </c>
      <c r="B97" s="1">
        <v>96</v>
      </c>
      <c r="C97" s="1" t="s">
        <v>306</v>
      </c>
      <c r="D97" s="1" t="e">
        <f t="array" aca="1" ref="D97" ca="1">_xludf.XLOOKUP(C97,'country region mapping'!$A$2:$A$250, 'country region mapping'!$E$2:$E$250)</f>
        <v>#NAME?</v>
      </c>
      <c r="E97" s="1" t="e">
        <f t="array" aca="1" ref="E97" ca="1">_xludf.XLOOKUP(C97,'country region mapping'!$A$2:$A$267,'country region mapping'!$F$2:$F$267)</f>
        <v>#NAME?</v>
      </c>
      <c r="F97" s="1" t="e">
        <f t="array" aca="1" ref="F97" ca="1">_xludf.XLOOKUP(C97,'country region mapping'!$A$2:$A$267,'country region mapping'!$G$2:$G$267)</f>
        <v>#NAME?</v>
      </c>
      <c r="G97" s="1">
        <v>5.1669999999999998</v>
      </c>
      <c r="H97" s="1">
        <v>105</v>
      </c>
      <c r="I97" s="1">
        <v>111</v>
      </c>
      <c r="J97" s="1">
        <v>63</v>
      </c>
      <c r="K97" s="1">
        <v>101</v>
      </c>
      <c r="L97" s="1">
        <v>84</v>
      </c>
      <c r="M97" s="1">
        <v>126</v>
      </c>
      <c r="N97" s="1">
        <v>72</v>
      </c>
      <c r="O97" s="1">
        <v>91</v>
      </c>
      <c r="P97" s="1">
        <v>119</v>
      </c>
      <c r="Q97" s="1">
        <v>126</v>
      </c>
      <c r="R97" s="1">
        <v>108</v>
      </c>
      <c r="S97" s="1">
        <v>42</v>
      </c>
    </row>
    <row r="98" spans="1:19">
      <c r="A98" s="1">
        <v>2025</v>
      </c>
      <c r="B98" s="1">
        <v>97</v>
      </c>
      <c r="C98" s="1" t="s">
        <v>169</v>
      </c>
      <c r="D98" s="1" t="e">
        <f t="array" aca="1" ref="D98" ca="1">_xludf.XLOOKUP(C98,'country region mapping'!$A$2:$A$267,'country region mapping'!$E$2:$E$267)</f>
        <v>#NAME?</v>
      </c>
      <c r="E98" s="1" t="e">
        <f t="array" aca="1" ref="E98" ca="1">_xludf.XLOOKUP(C98,'country region mapping'!$A$2:$A$267,'country region mapping'!$F$2:$F$267)</f>
        <v>#NAME?</v>
      </c>
      <c r="F98" s="1" t="e">
        <f t="array" aca="1" ref="F98" ca="1">_xludf.XLOOKUP(C98,'country region mapping'!$A$2:$A$267,'country region mapping'!$G$2:$G$267)</f>
        <v>#NAME?</v>
      </c>
      <c r="G98" s="1">
        <v>5.1509999999999998</v>
      </c>
      <c r="H98" s="1"/>
      <c r="I98" s="1"/>
      <c r="J98" s="1"/>
      <c r="K98" s="1">
        <v>54</v>
      </c>
      <c r="L98" s="1"/>
      <c r="M98" s="1"/>
      <c r="N98" s="1"/>
      <c r="O98" s="1"/>
      <c r="P98" s="1"/>
      <c r="Q98" s="1"/>
      <c r="R98" s="1"/>
      <c r="S98" s="1"/>
    </row>
    <row r="99" spans="1:19">
      <c r="A99" s="1">
        <v>2025</v>
      </c>
      <c r="B99" s="1">
        <v>98</v>
      </c>
      <c r="C99" s="1" t="s">
        <v>220</v>
      </c>
      <c r="D99" s="1" t="e">
        <f t="array" aca="1" ref="D99" ca="1">_xludf.XLOOKUP(C99,'country region mapping'!$A$2:$A$267,'country region mapping'!$E$2:$E$267)</f>
        <v>#NAME?</v>
      </c>
      <c r="E99" s="1" t="e">
        <f t="array" aca="1" ref="E99" ca="1">_xludf.XLOOKUP(C99,'country region mapping'!$A$2:$A$267,'country region mapping'!$F$2:$F$267)</f>
        <v>#NAME?</v>
      </c>
      <c r="F99" s="1" t="e">
        <f t="array" aca="1" ref="F99" ca="1">_xludf.XLOOKUP(C99,'country region mapping'!$A$2:$A$267,'country region mapping'!$G$2:$G$267)</f>
        <v>#NAME?</v>
      </c>
      <c r="G99" s="1">
        <v>5.1479999999999997</v>
      </c>
      <c r="H99" s="1">
        <v>109</v>
      </c>
      <c r="I99" s="1">
        <v>122</v>
      </c>
      <c r="J99" s="1">
        <v>99</v>
      </c>
      <c r="K99" s="1">
        <v>72</v>
      </c>
      <c r="L99" s="1"/>
      <c r="M99" s="1">
        <v>75</v>
      </c>
      <c r="N99" s="1">
        <v>39</v>
      </c>
      <c r="O99" s="1">
        <v>78</v>
      </c>
      <c r="P99" s="1">
        <v>108</v>
      </c>
      <c r="Q99" s="1">
        <v>75</v>
      </c>
      <c r="R99" s="1">
        <v>66</v>
      </c>
      <c r="S99" s="1">
        <v>35</v>
      </c>
    </row>
    <row r="100" spans="1:19">
      <c r="A100" s="1">
        <v>2025</v>
      </c>
      <c r="B100" s="1">
        <v>99</v>
      </c>
      <c r="C100" s="1" t="s">
        <v>172</v>
      </c>
      <c r="D100" s="1" t="e">
        <f t="array" aca="1" ref="D100" ca="1">_xludf.XLOOKUP(C100,'country region mapping'!$A$2:$A$250, 'country region mapping'!$E$2:$E$250)</f>
        <v>#NAME?</v>
      </c>
      <c r="E100" s="1" t="e">
        <f t="array" aca="1" ref="E100" ca="1">_xludf.XLOOKUP(C100,'country region mapping'!$A$2:$A$267,'country region mapping'!$F$2:$F$267)</f>
        <v>#NAME?</v>
      </c>
      <c r="F100" s="1" t="e">
        <f t="array" aca="1" ref="F100" ca="1">_xludf.XLOOKUP(C100,'country region mapping'!$A$2:$A$267,'country region mapping'!$G$2:$G$267)</f>
        <v>#NAME?</v>
      </c>
      <c r="G100" s="1">
        <v>5.1470000000000002</v>
      </c>
      <c r="H100" s="1">
        <v>103</v>
      </c>
      <c r="I100" s="1">
        <v>88</v>
      </c>
      <c r="J100" s="1">
        <v>106</v>
      </c>
      <c r="K100" s="1">
        <v>89</v>
      </c>
      <c r="L100" s="1">
        <v>63</v>
      </c>
      <c r="M100" s="1">
        <v>124</v>
      </c>
      <c r="N100" s="1">
        <v>118</v>
      </c>
      <c r="O100" s="1">
        <v>136</v>
      </c>
      <c r="P100" s="1">
        <v>66</v>
      </c>
      <c r="Q100" s="1">
        <v>124</v>
      </c>
      <c r="R100" s="1">
        <v>86</v>
      </c>
      <c r="S100" s="1">
        <v>130</v>
      </c>
    </row>
    <row r="101" spans="1:19">
      <c r="A101" s="1">
        <v>2025</v>
      </c>
      <c r="B101" s="1">
        <v>100</v>
      </c>
      <c r="C101" s="1" t="s">
        <v>182</v>
      </c>
      <c r="D101" s="1" t="e">
        <f t="array" aca="1" ref="D101" ca="1">_xludf.XLOOKUP(C101,'country region mapping'!$A$2:$A$250, 'country region mapping'!$E$2:$E$250)</f>
        <v>#NAME?</v>
      </c>
      <c r="E101" s="1" t="e">
        <f t="array" aca="1" ref="E101" ca="1">_xludf.XLOOKUP(C101,'country region mapping'!$A$2:$A$267,'country region mapping'!$F$2:$F$267)</f>
        <v>#NAME?</v>
      </c>
      <c r="F101" s="1" t="e">
        <f t="array" aca="1" ref="F101" ca="1">_xludf.XLOOKUP(C101,'country region mapping'!$A$2:$A$267,'country region mapping'!$G$2:$G$267)</f>
        <v>#NAME?</v>
      </c>
      <c r="G101" s="1">
        <v>5.0830000000000002</v>
      </c>
      <c r="H101" s="1">
        <v>121</v>
      </c>
      <c r="I101" s="1">
        <v>108</v>
      </c>
      <c r="J101" s="1">
        <v>109</v>
      </c>
      <c r="K101" s="1">
        <v>108</v>
      </c>
      <c r="L101" s="1">
        <v>106</v>
      </c>
      <c r="M101" s="1">
        <v>95</v>
      </c>
      <c r="N101" s="1">
        <v>119</v>
      </c>
      <c r="O101" s="1">
        <v>94</v>
      </c>
      <c r="P101" s="1">
        <v>116</v>
      </c>
      <c r="Q101" s="1">
        <v>95</v>
      </c>
      <c r="R101" s="1">
        <v>72</v>
      </c>
      <c r="S101" s="1">
        <v>17</v>
      </c>
    </row>
    <row r="102" spans="1:19">
      <c r="A102" s="1">
        <v>2025</v>
      </c>
      <c r="B102" s="1">
        <v>101</v>
      </c>
      <c r="C102" s="1" t="s">
        <v>185</v>
      </c>
      <c r="D102" s="1" t="e">
        <f t="array" aca="1" ref="D102" ca="1">_xludf.XLOOKUP(C102,'country region mapping'!$A$2:$A$250, 'country region mapping'!$E$2:$E$250)</f>
        <v>#NAME?</v>
      </c>
      <c r="E102" s="1" t="e">
        <f t="array" aca="1" ref="E102" ca="1">_xludf.XLOOKUP(C102,'country region mapping'!$A$2:$A$267,'country region mapping'!$F$2:$F$267)</f>
        <v>#NAME?</v>
      </c>
      <c r="F102" s="1" t="e">
        <f t="array" aca="1" ref="F102" ca="1">_xludf.XLOOKUP(C102,'country region mapping'!$A$2:$A$267,'country region mapping'!$G$2:$G$267)</f>
        <v>#NAME?</v>
      </c>
      <c r="G102" s="1">
        <v>5.0090000000000003</v>
      </c>
      <c r="H102" s="1">
        <v>123</v>
      </c>
      <c r="I102" s="1">
        <v>69</v>
      </c>
      <c r="J102" s="1">
        <v>79</v>
      </c>
      <c r="K102" s="1">
        <v>114</v>
      </c>
      <c r="L102" s="1">
        <v>100</v>
      </c>
      <c r="M102" s="1">
        <v>94</v>
      </c>
      <c r="N102" s="1">
        <v>93</v>
      </c>
      <c r="O102" s="1">
        <v>51</v>
      </c>
      <c r="P102" s="1">
        <v>59</v>
      </c>
      <c r="Q102" s="1">
        <v>94</v>
      </c>
      <c r="R102" s="1">
        <v>64</v>
      </c>
      <c r="S102" s="1">
        <v>45</v>
      </c>
    </row>
    <row r="103" spans="1:19">
      <c r="A103" s="1">
        <v>2025</v>
      </c>
      <c r="B103" s="1">
        <v>102</v>
      </c>
      <c r="C103" s="1" t="s">
        <v>140</v>
      </c>
      <c r="D103" s="1" t="e">
        <f t="array" aca="1" ref="D103" ca="1">_xludf.XLOOKUP(C103,'country region mapping'!$A$2:$A$250, 'country region mapping'!$E$2:$E$250)</f>
        <v>#NAME?</v>
      </c>
      <c r="E103" s="1" t="e">
        <f t="array" aca="1" ref="E103" ca="1">_xludf.XLOOKUP(C103,'country region mapping'!$A$2:$A$267,'country region mapping'!$F$2:$F$267)</f>
        <v>#NAME?</v>
      </c>
      <c r="F103" s="1" t="e">
        <f t="array" aca="1" ref="F103" ca="1">_xludf.XLOOKUP(C103,'country region mapping'!$A$2:$A$267,'country region mapping'!$G$2:$G$267)</f>
        <v>#NAME?</v>
      </c>
      <c r="G103" s="1">
        <v>4.9930000000000003</v>
      </c>
      <c r="H103" s="1">
        <v>12</v>
      </c>
      <c r="I103" s="1">
        <v>92</v>
      </c>
      <c r="J103" s="1">
        <v>57</v>
      </c>
      <c r="K103" s="1"/>
      <c r="L103" s="1">
        <v>54</v>
      </c>
      <c r="M103" s="1">
        <v>84</v>
      </c>
      <c r="N103" s="1">
        <v>27</v>
      </c>
      <c r="O103" s="1">
        <v>127</v>
      </c>
      <c r="P103" s="1">
        <v>7</v>
      </c>
      <c r="Q103" s="1">
        <v>84</v>
      </c>
      <c r="R103" s="1">
        <v>123</v>
      </c>
      <c r="S103" s="1">
        <v>75</v>
      </c>
    </row>
    <row r="104" spans="1:19">
      <c r="A104" s="1">
        <v>2025</v>
      </c>
      <c r="B104" s="1">
        <v>103</v>
      </c>
      <c r="C104" s="1" t="s">
        <v>224</v>
      </c>
      <c r="D104" s="1" t="e">
        <f t="array" aca="1" ref="D104" ca="1">_xludf.XLOOKUP(C104,'country region mapping'!$A$2:$A$250, 'country region mapping'!$E$2:$E$250)</f>
        <v>#NAME?</v>
      </c>
      <c r="E104" s="1" t="e">
        <f t="array" aca="1" ref="E104" ca="1">_xludf.XLOOKUP(C104,'country region mapping'!$A$2:$A$267,'country region mapping'!$F$2:$F$267)</f>
        <v>#NAME?</v>
      </c>
      <c r="F104" s="1" t="e">
        <f t="array" aca="1" ref="F104" ca="1">_xludf.XLOOKUP(C104,'country region mapping'!$A$2:$A$267,'country region mapping'!$G$2:$G$267)</f>
        <v>#NAME?</v>
      </c>
      <c r="G104" s="1">
        <v>4.9400000000000004</v>
      </c>
      <c r="H104" s="1">
        <v>128</v>
      </c>
      <c r="I104" s="1">
        <v>128</v>
      </c>
      <c r="J104" s="1">
        <v>125</v>
      </c>
      <c r="K104" s="1"/>
      <c r="L104" s="1">
        <v>73</v>
      </c>
      <c r="M104" s="1">
        <v>96</v>
      </c>
      <c r="O104" s="1">
        <v>20</v>
      </c>
      <c r="P104" s="1">
        <v>114</v>
      </c>
      <c r="Q104" s="1">
        <v>96</v>
      </c>
      <c r="R104" s="1">
        <v>58</v>
      </c>
      <c r="S104" s="1">
        <v>4</v>
      </c>
    </row>
    <row r="105" spans="1:19">
      <c r="A105" s="1">
        <v>2025</v>
      </c>
      <c r="B105" s="1">
        <v>104</v>
      </c>
      <c r="C105" s="1" t="s">
        <v>152</v>
      </c>
      <c r="D105" s="1" t="e">
        <f t="array" aca="1" ref="D105" ca="1">_xludf.XLOOKUP(C105,'country region mapping'!$A$2:$A$250, 'country region mapping'!$E$2:$E$250)</f>
        <v>#NAME?</v>
      </c>
      <c r="E105" s="1" t="e">
        <f t="array" aca="1" ref="E105" ca="1">_xludf.XLOOKUP(C105,'country region mapping'!$A$2:$A$267,'country region mapping'!$F$2:$F$267)</f>
        <v>#NAME?</v>
      </c>
      <c r="F105" s="1" t="e">
        <f t="array" aca="1" ref="F105" ca="1">_xludf.XLOOKUP(C105,'country region mapping'!$A$2:$A$267,'country region mapping'!$G$2:$G$267)</f>
        <v>#NAME?</v>
      </c>
      <c r="G105" s="1">
        <v>4.8680000000000003</v>
      </c>
      <c r="H105" s="1">
        <v>124</v>
      </c>
      <c r="I105" s="1">
        <v>135</v>
      </c>
      <c r="J105" s="1">
        <v>104</v>
      </c>
      <c r="K105" s="1">
        <v>100</v>
      </c>
      <c r="L105" s="1">
        <v>132</v>
      </c>
      <c r="M105" s="1">
        <v>48</v>
      </c>
      <c r="N105" s="1">
        <v>62</v>
      </c>
      <c r="O105" s="1">
        <v>137</v>
      </c>
      <c r="P105" s="1">
        <v>109</v>
      </c>
      <c r="Q105" s="1">
        <v>48</v>
      </c>
      <c r="R105" s="1">
        <v>87</v>
      </c>
      <c r="S105" s="1">
        <v>99</v>
      </c>
    </row>
    <row r="106" spans="1:19">
      <c r="A106" s="1">
        <v>2025</v>
      </c>
      <c r="B106" s="1">
        <v>105</v>
      </c>
      <c r="C106" s="1" t="s">
        <v>159</v>
      </c>
      <c r="D106" s="1" t="e">
        <f t="array" aca="1" ref="D106" ca="1">_xludf.XLOOKUP(C106,'country region mapping'!$A$2:$A$250, 'country region mapping'!$E$2:$E$250)</f>
        <v>#NAME?</v>
      </c>
      <c r="E106" s="1" t="e">
        <f t="array" aca="1" ref="E106" ca="1">_xludf.XLOOKUP(C106,'country region mapping'!$A$2:$A$267,'country region mapping'!$F$2:$F$267)</f>
        <v>#NAME?</v>
      </c>
      <c r="F106" s="1" t="e">
        <f t="array" aca="1" ref="F106" ca="1">_xludf.XLOOKUP(C106,'country region mapping'!$A$2:$A$267,'country region mapping'!$G$2:$G$267)</f>
        <v>#NAME?</v>
      </c>
      <c r="G106" s="1">
        <v>4.798</v>
      </c>
      <c r="H106" s="1">
        <v>65</v>
      </c>
      <c r="I106" s="1">
        <v>107</v>
      </c>
      <c r="J106" s="1">
        <v>80</v>
      </c>
      <c r="K106" s="1">
        <v>62</v>
      </c>
      <c r="L106" s="1">
        <v>96</v>
      </c>
      <c r="M106" s="1">
        <v>136</v>
      </c>
      <c r="N106" s="1">
        <v>94</v>
      </c>
      <c r="O106" s="1">
        <v>129</v>
      </c>
      <c r="P106" s="1">
        <v>115</v>
      </c>
      <c r="Q106" s="1">
        <v>136</v>
      </c>
      <c r="R106" s="1">
        <v>107</v>
      </c>
      <c r="S106" s="1">
        <v>33</v>
      </c>
    </row>
    <row r="107" spans="1:19">
      <c r="A107" s="1">
        <v>2025</v>
      </c>
      <c r="B107" s="1">
        <v>106</v>
      </c>
      <c r="C107" s="1" t="s">
        <v>165</v>
      </c>
      <c r="D107" s="1" t="e">
        <f t="array" aca="1" ref="D107" ca="1">_xludf.XLOOKUP(C107,'country region mapping'!$A$2:$A$250, 'country region mapping'!$E$2:$E$250)</f>
        <v>#NAME?</v>
      </c>
      <c r="E107" s="1" t="e">
        <f t="array" aca="1" ref="E107" ca="1">_xludf.XLOOKUP(C107,'country region mapping'!$A$2:$A$267,'country region mapping'!$F$2:$F$267)</f>
        <v>#NAME?</v>
      </c>
      <c r="F107" s="1" t="e">
        <f t="array" aca="1" ref="F107" ca="1">_xludf.XLOOKUP(C107,'country region mapping'!$A$2:$A$267,'country region mapping'!$G$2:$G$267)</f>
        <v>#NAME?</v>
      </c>
      <c r="G107" s="1">
        <v>4.7880000000000003</v>
      </c>
      <c r="H107" s="1">
        <v>44</v>
      </c>
      <c r="I107" s="1">
        <v>98</v>
      </c>
      <c r="J107" s="1">
        <v>95</v>
      </c>
      <c r="K107" s="1">
        <v>104</v>
      </c>
      <c r="L107" s="1">
        <v>115</v>
      </c>
      <c r="M107" s="1">
        <v>41</v>
      </c>
      <c r="N107" s="1">
        <v>122</v>
      </c>
      <c r="O107" s="1">
        <v>42</v>
      </c>
      <c r="P107" s="1">
        <v>57</v>
      </c>
      <c r="Q107" s="1">
        <v>41</v>
      </c>
      <c r="R107" s="1">
        <v>9</v>
      </c>
      <c r="S107" s="1">
        <v>24</v>
      </c>
    </row>
    <row r="108" spans="1:19">
      <c r="A108" s="1">
        <v>2025</v>
      </c>
      <c r="B108" s="1">
        <v>107</v>
      </c>
      <c r="C108" s="1" t="s">
        <v>204</v>
      </c>
      <c r="D108" s="1" t="e">
        <f t="array" aca="1" ref="D108" ca="1">_xludf.XLOOKUP(C108,'country region mapping'!$A$2:$A$250, 'country region mapping'!$E$2:$E$250)</f>
        <v>#NAME?</v>
      </c>
      <c r="E108" s="1" t="e">
        <f t="array" aca="1" ref="E108" ca="1">_xludf.XLOOKUP(C108,'country region mapping'!$A$2:$A$267,'country region mapping'!$F$2:$F$267)</f>
        <v>#NAME?</v>
      </c>
      <c r="F108" s="1" t="e">
        <f t="array" aca="1" ref="F108" ca="1">_xludf.XLOOKUP(C108,'country region mapping'!$A$2:$A$267,'country region mapping'!$G$2:$G$267)</f>
        <v>#NAME?</v>
      </c>
      <c r="G108" s="1">
        <v>4.7869999999999999</v>
      </c>
      <c r="H108" s="1">
        <v>74</v>
      </c>
      <c r="I108" s="1">
        <v>118</v>
      </c>
      <c r="J108" s="1">
        <v>110</v>
      </c>
      <c r="K108" s="1">
        <v>92</v>
      </c>
      <c r="L108" s="1">
        <v>76</v>
      </c>
      <c r="M108" s="1">
        <v>101</v>
      </c>
      <c r="N108" s="1">
        <v>58</v>
      </c>
      <c r="O108" s="1">
        <v>3</v>
      </c>
      <c r="P108" s="1">
        <v>42</v>
      </c>
      <c r="Q108" s="1">
        <v>101</v>
      </c>
      <c r="R108" s="1">
        <v>67</v>
      </c>
      <c r="S108" s="1">
        <v>9</v>
      </c>
    </row>
    <row r="109" spans="1:19">
      <c r="A109" s="1">
        <v>2025</v>
      </c>
      <c r="B109" s="1">
        <v>108</v>
      </c>
      <c r="C109" s="1" t="s">
        <v>181</v>
      </c>
      <c r="D109" s="1" t="e">
        <f t="array" aca="1" ref="D109" ca="1">_xludf.XLOOKUP(C109,'country region mapping'!$A$2:$A$250, 'country region mapping'!$E$2:$E$250)</f>
        <v>#NAME?</v>
      </c>
      <c r="E109" s="1" t="e">
        <f t="array" aca="1" ref="E109" ca="1">_xludf.XLOOKUP(C109,'country region mapping'!$A$2:$A$267,'country region mapping'!$F$2:$F$267)</f>
        <v>#NAME?</v>
      </c>
      <c r="F109" s="1" t="e">
        <f t="array" aca="1" ref="F109" ca="1">_xludf.XLOOKUP(C109,'country region mapping'!$A$2:$A$267,'country region mapping'!$G$2:$G$267)</f>
        <v>#NAME?</v>
      </c>
      <c r="G109" s="1">
        <v>4.7809999999999997</v>
      </c>
      <c r="H109" s="1">
        <v>61</v>
      </c>
      <c r="I109" s="1">
        <v>51</v>
      </c>
      <c r="J109" s="1">
        <v>90</v>
      </c>
      <c r="K109" s="1">
        <v>129</v>
      </c>
      <c r="L109" s="1">
        <v>113</v>
      </c>
      <c r="M109" s="1">
        <v>129</v>
      </c>
      <c r="N109" s="1">
        <v>102</v>
      </c>
      <c r="O109" s="1">
        <v>105</v>
      </c>
      <c r="P109" s="1">
        <v>27</v>
      </c>
      <c r="Q109" s="1">
        <v>129</v>
      </c>
      <c r="R109" s="1">
        <v>51</v>
      </c>
      <c r="S109" s="1">
        <v>102</v>
      </c>
    </row>
    <row r="110" spans="1:19">
      <c r="A110" s="1">
        <v>2025</v>
      </c>
      <c r="B110" s="1">
        <v>109</v>
      </c>
      <c r="C110" s="1" t="s">
        <v>173</v>
      </c>
      <c r="D110" s="1" t="e">
        <f t="array" aca="1" ref="D110" ca="1">_xludf.XLOOKUP(C110,'country region mapping'!$A$2:$A$267,'country region mapping'!$E$2:$E$267)</f>
        <v>#NAME?</v>
      </c>
      <c r="E110" s="1" t="e">
        <f t="array" aca="1" ref="E110" ca="1">_xludf.XLOOKUP(C110,'country region mapping'!$A$2:$A$267,'country region mapping'!$F$2:$F$267)</f>
        <v>#NAME?</v>
      </c>
      <c r="F110" s="1" t="e">
        <f t="array" aca="1" ref="F110" ca="1">_xludf.XLOOKUP(C110,'country region mapping'!$A$2:$A$267,'country region mapping'!$G$2:$G$267)</f>
        <v>#NAME?</v>
      </c>
      <c r="G110" s="1">
        <v>4.694</v>
      </c>
      <c r="H110" s="1">
        <v>110</v>
      </c>
      <c r="I110" s="1">
        <v>54</v>
      </c>
      <c r="K110" s="1"/>
      <c r="L110" s="1">
        <v>119</v>
      </c>
      <c r="M110" s="1">
        <v>120</v>
      </c>
      <c r="N110" s="1">
        <v>68</v>
      </c>
      <c r="O110" s="1">
        <v>122</v>
      </c>
      <c r="P110" s="1">
        <v>132</v>
      </c>
      <c r="Q110" s="1">
        <v>120</v>
      </c>
      <c r="R110" s="1">
        <v>120</v>
      </c>
      <c r="S110" s="1">
        <v>72</v>
      </c>
    </row>
    <row r="111" spans="1:19">
      <c r="A111" s="1">
        <v>2025</v>
      </c>
      <c r="B111" s="1">
        <v>110</v>
      </c>
      <c r="C111" s="1" t="s">
        <v>193</v>
      </c>
      <c r="D111" s="1" t="e">
        <f t="array" aca="1" ref="D111" ca="1">_xludf.XLOOKUP(C111,'country region mapping'!$A$2:$A$250, 'country region mapping'!$E$2:$E$250)</f>
        <v>#NAME?</v>
      </c>
      <c r="E111" s="1" t="e">
        <f t="array" aca="1" ref="E111" ca="1">_xludf.XLOOKUP(C111,'country region mapping'!$A$2:$A$267,'country region mapping'!$F$2:$F$267)</f>
        <v>#NAME?</v>
      </c>
      <c r="F111" s="1" t="e">
        <f t="array" aca="1" ref="F111" ca="1">_xludf.XLOOKUP(C111,'country region mapping'!$A$2:$A$267,'country region mapping'!$G$2:$G$267)</f>
        <v>#NAME?</v>
      </c>
      <c r="G111" s="1">
        <v>4.6740000000000004</v>
      </c>
      <c r="H111" s="1">
        <v>133</v>
      </c>
      <c r="I111" s="1">
        <v>117</v>
      </c>
      <c r="J111" s="1">
        <v>103</v>
      </c>
      <c r="K111" s="1">
        <v>94</v>
      </c>
      <c r="L111" s="1">
        <v>102</v>
      </c>
      <c r="M111" s="1">
        <v>15</v>
      </c>
      <c r="N111" s="1">
        <v>83</v>
      </c>
      <c r="O111" s="1">
        <v>37</v>
      </c>
      <c r="P111" s="1">
        <v>61</v>
      </c>
      <c r="Q111" s="1">
        <v>15</v>
      </c>
      <c r="R111" s="1">
        <v>3</v>
      </c>
      <c r="S111" s="1">
        <v>1</v>
      </c>
    </row>
    <row r="112" spans="1:19">
      <c r="A112" s="1">
        <v>2025</v>
      </c>
      <c r="B112" s="1">
        <v>111</v>
      </c>
      <c r="C112" s="1" t="s">
        <v>195</v>
      </c>
      <c r="D112" s="1" t="e">
        <f t="array" aca="1" ref="D112" ca="1">_xludf.XLOOKUP(C112,'country region mapping'!$A$2:$A$250, 'country region mapping'!$E$2:$E$250)</f>
        <v>#NAME?</v>
      </c>
      <c r="E112" s="1" t="e">
        <f t="array" aca="1" ref="E112" ca="1">_xludf.XLOOKUP(C112,'country region mapping'!$A$2:$A$267,'country region mapping'!$F$2:$F$267)</f>
        <v>#NAME?</v>
      </c>
      <c r="F112" s="1" t="e">
        <f t="array" aca="1" ref="F112" ca="1">_xludf.XLOOKUP(C112,'country region mapping'!$A$2:$A$267,'country region mapping'!$G$2:$G$267)</f>
        <v>#NAME?</v>
      </c>
      <c r="G112" s="1">
        <v>4.6580000000000004</v>
      </c>
      <c r="H112" s="1">
        <v>90</v>
      </c>
      <c r="I112" s="1">
        <v>74</v>
      </c>
      <c r="J112" s="1">
        <v>71</v>
      </c>
      <c r="K112" s="1">
        <v>78</v>
      </c>
      <c r="L112" s="1">
        <v>128</v>
      </c>
      <c r="M112" s="1">
        <v>4</v>
      </c>
      <c r="N112" s="1">
        <v>129</v>
      </c>
      <c r="O112" s="1">
        <v>128</v>
      </c>
      <c r="P112" s="1">
        <v>127</v>
      </c>
      <c r="Q112" s="1">
        <v>4</v>
      </c>
      <c r="R112" s="1">
        <v>49</v>
      </c>
      <c r="S112" s="1">
        <v>10</v>
      </c>
    </row>
    <row r="113" spans="1:19">
      <c r="A113" s="1">
        <v>2025</v>
      </c>
      <c r="B113" s="1">
        <v>112</v>
      </c>
      <c r="C113" s="1" t="s">
        <v>150</v>
      </c>
      <c r="D113" s="1" t="e">
        <f t="array" aca="1" ref="D113" ca="1">_xludf.XLOOKUP(C113,'country region mapping'!$A$2:$A$250, 'country region mapping'!$E$2:$E$250)</f>
        <v>#NAME?</v>
      </c>
      <c r="E113" s="1" t="e">
        <f t="array" aca="1" ref="E113" ca="1">_xludf.XLOOKUP(C113,'country region mapping'!$A$2:$A$267,'country region mapping'!$F$2:$F$267)</f>
        <v>#NAME?</v>
      </c>
      <c r="F113" s="1" t="e">
        <f t="array" aca="1" ref="F113" ca="1">_xludf.XLOOKUP(C113,'country region mapping'!$A$2:$A$267,'country region mapping'!$G$2:$G$267)</f>
        <v>#NAME?</v>
      </c>
      <c r="G113" s="1">
        <v>4.6459999999999999</v>
      </c>
      <c r="H113" s="1">
        <v>99</v>
      </c>
      <c r="I113" s="1">
        <v>138</v>
      </c>
      <c r="J113" s="1">
        <v>92</v>
      </c>
      <c r="K113" s="1">
        <v>72</v>
      </c>
      <c r="L113" s="1">
        <v>105</v>
      </c>
      <c r="M113" s="1">
        <v>139</v>
      </c>
      <c r="N113" s="1">
        <v>105</v>
      </c>
      <c r="O113" s="1">
        <v>134</v>
      </c>
      <c r="P113" s="1">
        <v>123</v>
      </c>
      <c r="Q113" s="1">
        <v>139</v>
      </c>
      <c r="R113" s="1">
        <v>134</v>
      </c>
      <c r="S113" s="1">
        <v>86</v>
      </c>
    </row>
    <row r="114" spans="1:19">
      <c r="A114" s="1">
        <v>2025</v>
      </c>
      <c r="B114" s="1">
        <v>113</v>
      </c>
      <c r="C114" s="1" t="s">
        <v>240</v>
      </c>
      <c r="D114" s="1" t="e">
        <f t="array" aca="1" ref="D114" ca="1">_xludf.XLOOKUP(C114,'country region mapping'!$A$2:$A$250, 'country region mapping'!$E$2:$E$250)</f>
        <v>#NAME?</v>
      </c>
      <c r="E114" s="1" t="e">
        <f t="array" aca="1" ref="E114" ca="1">_xludf.XLOOKUP(C114,'country region mapping'!$A$2:$A$267,'country region mapping'!$F$2:$F$267)</f>
        <v>#NAME?</v>
      </c>
      <c r="F114" s="1" t="e">
        <f t="array" aca="1" ref="F114" ca="1">_xludf.XLOOKUP(C114,'country region mapping'!$A$2:$A$267,'country region mapping'!$G$2:$G$267)</f>
        <v>#NAME?</v>
      </c>
      <c r="G114" s="1">
        <v>4.609</v>
      </c>
      <c r="H114" s="1">
        <v>125</v>
      </c>
      <c r="I114" s="1">
        <v>131</v>
      </c>
      <c r="J114" s="1">
        <v>111</v>
      </c>
      <c r="K114" s="1">
        <v>110</v>
      </c>
      <c r="L114" s="1">
        <v>55</v>
      </c>
      <c r="M114" s="1">
        <v>72</v>
      </c>
      <c r="N114" s="1">
        <v>66</v>
      </c>
      <c r="O114" s="1">
        <v>55</v>
      </c>
      <c r="P114" s="1">
        <v>134</v>
      </c>
      <c r="Q114" s="1">
        <v>72</v>
      </c>
      <c r="R114" s="1">
        <v>38</v>
      </c>
      <c r="S114" s="1">
        <v>23</v>
      </c>
    </row>
    <row r="115" spans="1:19">
      <c r="A115" s="1">
        <v>2025</v>
      </c>
      <c r="B115" s="1">
        <v>114</v>
      </c>
      <c r="C115" s="1" t="s">
        <v>311</v>
      </c>
      <c r="D115" s="1" t="e">
        <f t="array" aca="1" ref="D115" ca="1">_xludf.XLOOKUP(C115,'country region mapping'!$A$2:$A$250, 'country region mapping'!$E$2:$E$250)</f>
        <v>#NAME?</v>
      </c>
      <c r="E115" s="1" t="e">
        <f t="array" aca="1" ref="E115" ca="1">_xludf.XLOOKUP(C115,'country region mapping'!$A$2:$A$267,'country region mapping'!$F$2:$F$267)</f>
        <v>#NAME?</v>
      </c>
      <c r="F115" s="1" t="e">
        <f t="array" aca="1" ref="F115" ca="1">_xludf.XLOOKUP(C115,'country region mapping'!$A$2:$A$267,'country region mapping'!$G$2:$G$267)</f>
        <v>#NAME?</v>
      </c>
      <c r="G115" s="1">
        <v>4.5880000000000001</v>
      </c>
      <c r="H115" s="1">
        <v>122</v>
      </c>
      <c r="I115" s="1">
        <v>116</v>
      </c>
      <c r="J115" s="1">
        <v>121</v>
      </c>
      <c r="K115" s="1">
        <v>109</v>
      </c>
      <c r="L115" s="1">
        <v>58</v>
      </c>
      <c r="M115" s="1">
        <v>132</v>
      </c>
      <c r="N115" s="1">
        <v>76</v>
      </c>
      <c r="O115" s="1">
        <v>58</v>
      </c>
      <c r="P115" s="1">
        <v>124</v>
      </c>
      <c r="Q115" s="1">
        <v>132</v>
      </c>
      <c r="R115" s="1">
        <v>61</v>
      </c>
      <c r="S115" s="1">
        <v>117</v>
      </c>
    </row>
    <row r="116" spans="1:19">
      <c r="A116" s="1">
        <v>2025</v>
      </c>
      <c r="B116" s="1">
        <v>115</v>
      </c>
      <c r="C116" s="1" t="s">
        <v>197</v>
      </c>
      <c r="D116" s="1" t="e">
        <f t="array" aca="1" ref="D116" ca="1">_xludf.XLOOKUP(C116,'country region mapping'!$A$2:$A$250, 'country region mapping'!$E$2:$E$250)</f>
        <v>#NAME?</v>
      </c>
      <c r="E116" s="1" t="e">
        <f t="array" aca="1" ref="E116" ca="1">_xludf.XLOOKUP(C116,'country region mapping'!$A$2:$A$267,'country region mapping'!$F$2:$F$267)</f>
        <v>#NAME?</v>
      </c>
      <c r="F116" s="1" t="e">
        <f t="array" aca="1" ref="F116" ca="1">_xludf.XLOOKUP(C116,'country region mapping'!$A$2:$A$267,'country region mapping'!$G$2:$G$267)</f>
        <v>#NAME?</v>
      </c>
      <c r="G116" s="1">
        <v>4.5540000000000003</v>
      </c>
      <c r="H116" s="1">
        <v>45</v>
      </c>
      <c r="I116" s="1">
        <v>102</v>
      </c>
      <c r="J116" s="1">
        <v>98</v>
      </c>
      <c r="K116" s="1">
        <v>97</v>
      </c>
      <c r="L116" s="1">
        <v>47</v>
      </c>
      <c r="M116" s="1">
        <v>70</v>
      </c>
      <c r="N116" s="1">
        <v>110</v>
      </c>
      <c r="O116" s="1">
        <v>57</v>
      </c>
      <c r="P116" s="1">
        <v>79</v>
      </c>
      <c r="Q116" s="1">
        <v>70</v>
      </c>
      <c r="R116" s="1">
        <v>7</v>
      </c>
      <c r="S116" s="1">
        <v>56</v>
      </c>
    </row>
    <row r="117" spans="1:19">
      <c r="A117" s="1">
        <v>2025</v>
      </c>
      <c r="B117" s="1">
        <v>116</v>
      </c>
      <c r="C117" s="1" t="s">
        <v>188</v>
      </c>
      <c r="D117" s="1" t="e">
        <f t="array" aca="1" ref="D117" ca="1">_xludf.XLOOKUP(C117,'country region mapping'!$A$2:$A$250, 'country region mapping'!$E$2:$E$250)</f>
        <v>#NAME?</v>
      </c>
      <c r="E117" s="1" t="e">
        <f t="array" aca="1" ref="E117" ca="1">_xludf.XLOOKUP(C117,'country region mapping'!$A$2:$A$267,'country region mapping'!$F$2:$F$267)</f>
        <v>#NAME?</v>
      </c>
      <c r="F117" s="1" t="e">
        <f t="array" aca="1" ref="F117" ca="1">_xludf.XLOOKUP(C117,'country region mapping'!$A$2:$A$267,'country region mapping'!$G$2:$G$267)</f>
        <v>#NAME?</v>
      </c>
      <c r="G117" s="1">
        <v>4.5359999999999996</v>
      </c>
      <c r="H117" s="1">
        <v>92</v>
      </c>
      <c r="I117" s="1">
        <v>123</v>
      </c>
      <c r="J117" s="1">
        <v>89</v>
      </c>
      <c r="K117" s="1">
        <v>95</v>
      </c>
      <c r="L117" s="1">
        <v>61</v>
      </c>
      <c r="M117" s="1">
        <v>78</v>
      </c>
      <c r="N117" s="1">
        <v>64</v>
      </c>
      <c r="O117" s="1">
        <v>60</v>
      </c>
      <c r="P117" s="1">
        <v>94</v>
      </c>
      <c r="Q117" s="1">
        <v>78</v>
      </c>
      <c r="R117" s="1">
        <v>45</v>
      </c>
      <c r="S117" s="1">
        <v>121</v>
      </c>
    </row>
    <row r="118" spans="1:19">
      <c r="A118" s="1">
        <v>2025</v>
      </c>
      <c r="B118" s="1">
        <v>117</v>
      </c>
      <c r="C118" s="1" t="s">
        <v>134</v>
      </c>
      <c r="D118" s="1" t="e">
        <f t="array" aca="1" ref="D118" ca="1">_xludf.XLOOKUP(C118,'country region mapping'!$A$2:$A$250, 'country region mapping'!$E$2:$E$250)</f>
        <v>#NAME?</v>
      </c>
      <c r="E118" s="1" t="e">
        <f t="array" aca="1" ref="E118" ca="1">_xludf.XLOOKUP(C118,'country region mapping'!$A$2:$A$267,'country region mapping'!$F$2:$F$267)</f>
        <v>#NAME?</v>
      </c>
      <c r="F118" s="1" t="e">
        <f t="array" aca="1" ref="F118" ca="1">_xludf.XLOOKUP(C118,'country region mapping'!$A$2:$A$267,'country region mapping'!$G$2:$G$267)</f>
        <v>#NAME?</v>
      </c>
      <c r="G118" s="1">
        <v>4.508</v>
      </c>
      <c r="H118" s="1">
        <v>78</v>
      </c>
      <c r="I118" s="1">
        <v>115</v>
      </c>
      <c r="J118" s="1">
        <v>131</v>
      </c>
      <c r="K118" s="1">
        <v>103</v>
      </c>
      <c r="L118" s="1"/>
      <c r="M118" s="1">
        <v>106</v>
      </c>
      <c r="N118" s="1">
        <v>26</v>
      </c>
      <c r="O118" s="1">
        <v>50</v>
      </c>
      <c r="P118" s="1">
        <v>52</v>
      </c>
      <c r="Q118" s="1">
        <v>106</v>
      </c>
      <c r="R118" s="1">
        <v>82</v>
      </c>
      <c r="S118" s="1">
        <v>78</v>
      </c>
    </row>
    <row r="119" spans="1:19">
      <c r="A119" s="1">
        <v>2025</v>
      </c>
      <c r="B119" s="1">
        <v>118</v>
      </c>
      <c r="C119" s="1" t="s">
        <v>231</v>
      </c>
      <c r="D119" s="1" t="e">
        <f t="array" aca="1" ref="D119" ca="1">_xludf.XLOOKUP(C119,'country region mapping'!$A$2:$A$250, 'country region mapping'!$E$2:$E$250)</f>
        <v>#NAME?</v>
      </c>
      <c r="E119" s="1" t="e">
        <f t="array" aca="1" ref="E119" ca="1">_xludf.XLOOKUP(C119,'country region mapping'!$A$2:$A$267,'country region mapping'!$F$2:$F$267)</f>
        <v>#NAME?</v>
      </c>
      <c r="F119" s="1" t="e">
        <f t="array" aca="1" ref="F119" ca="1">_xludf.XLOOKUP(C119,'country region mapping'!$A$2:$A$267,'country region mapping'!$G$2:$G$267)</f>
        <v>#NAME?</v>
      </c>
      <c r="G119" s="1">
        <v>4.4909999999999997</v>
      </c>
      <c r="H119" s="1">
        <v>127</v>
      </c>
      <c r="I119" s="1">
        <v>99</v>
      </c>
      <c r="J119" s="1">
        <v>120</v>
      </c>
      <c r="K119" s="1">
        <v>99</v>
      </c>
      <c r="L119" s="1">
        <v>78</v>
      </c>
      <c r="M119" s="1">
        <v>59</v>
      </c>
      <c r="N119" s="1">
        <v>115</v>
      </c>
      <c r="O119" s="1">
        <v>52</v>
      </c>
      <c r="P119" s="1">
        <v>133</v>
      </c>
      <c r="Q119" s="1">
        <v>59</v>
      </c>
      <c r="R119" s="1">
        <v>18</v>
      </c>
      <c r="S119" s="1">
        <v>7</v>
      </c>
    </row>
    <row r="120" spans="1:19">
      <c r="A120" s="1">
        <v>2025</v>
      </c>
      <c r="B120" s="1">
        <v>119</v>
      </c>
      <c r="C120" s="1" t="s">
        <v>138</v>
      </c>
      <c r="D120" s="1" t="e">
        <f t="array" aca="1" ref="D120" ca="1">_xludf.XLOOKUP(C120,'country region mapping'!$A$2:$A$250, 'country region mapping'!$E$2:$E$250)</f>
        <v>#NAME?</v>
      </c>
      <c r="E120" s="1" t="e">
        <f t="array" aca="1" ref="E120" ca="1">_xludf.XLOOKUP(C120,'country region mapping'!$A$2:$A$267,'country region mapping'!$F$2:$F$267)</f>
        <v>#NAME?</v>
      </c>
      <c r="F120" s="1" t="e">
        <f t="array" aca="1" ref="F120" ca="1">_xludf.XLOOKUP(C120,'country region mapping'!$A$2:$A$267,'country region mapping'!$G$2:$G$267)</f>
        <v>#NAME?</v>
      </c>
      <c r="G120" s="1">
        <v>4.4779999999999998</v>
      </c>
      <c r="H120" s="1">
        <v>126</v>
      </c>
      <c r="I120" s="1">
        <v>95</v>
      </c>
      <c r="J120" s="1">
        <v>91</v>
      </c>
      <c r="K120" s="1">
        <v>43</v>
      </c>
      <c r="L120" s="1">
        <v>75</v>
      </c>
      <c r="M120" s="1">
        <v>123</v>
      </c>
      <c r="N120" s="1">
        <v>38</v>
      </c>
      <c r="O120" s="1">
        <v>115</v>
      </c>
      <c r="P120" s="1">
        <v>131</v>
      </c>
      <c r="Q120" s="1">
        <v>123</v>
      </c>
      <c r="R120" s="1">
        <v>127</v>
      </c>
      <c r="S120" s="1">
        <v>36</v>
      </c>
    </row>
    <row r="121" spans="1:19">
      <c r="A121" s="1">
        <v>2025</v>
      </c>
      <c r="B121" s="1">
        <v>120</v>
      </c>
      <c r="C121" s="1" t="s">
        <v>206</v>
      </c>
      <c r="D121" s="1" t="e">
        <f t="array" aca="1" ref="D121" ca="1">_xludf.XLOOKUP(C121,'country region mapping'!$A$2:$A$250, 'country region mapping'!$E$2:$E$250)</f>
        <v>#NAME?</v>
      </c>
      <c r="E121" s="1" t="e">
        <f t="array" aca="1" ref="E121" ca="1">_xludf.XLOOKUP(C121,'country region mapping'!$A$2:$A$267,'country region mapping'!$F$2:$F$267)</f>
        <v>#NAME?</v>
      </c>
      <c r="F121" s="1" t="e">
        <f t="array" aca="1" ref="F121" ca="1">_xludf.XLOOKUP(C121,'country region mapping'!$A$2:$A$267,'country region mapping'!$G$2:$G$267)</f>
        <v>#NAME?</v>
      </c>
      <c r="G121" s="1">
        <v>4.4729999999999999</v>
      </c>
      <c r="H121" s="1">
        <v>85</v>
      </c>
      <c r="I121" s="1">
        <v>119</v>
      </c>
      <c r="J121" s="1">
        <v>101</v>
      </c>
      <c r="K121" s="1"/>
      <c r="L121" s="1">
        <v>126</v>
      </c>
      <c r="M121" s="1">
        <v>83</v>
      </c>
      <c r="N121" s="1">
        <v>40</v>
      </c>
      <c r="O121" s="1">
        <v>66</v>
      </c>
      <c r="P121" s="1">
        <v>72</v>
      </c>
      <c r="Q121" s="1">
        <v>83</v>
      </c>
      <c r="R121" s="1">
        <v>59</v>
      </c>
      <c r="S121" s="1">
        <v>79</v>
      </c>
    </row>
    <row r="122" spans="1:19">
      <c r="A122" s="1">
        <v>2025</v>
      </c>
      <c r="B122" s="1">
        <v>121</v>
      </c>
      <c r="C122" s="1" t="s">
        <v>221</v>
      </c>
      <c r="D122" s="1" t="e">
        <f t="array" aca="1" ref="D122" ca="1">_xludf.XLOOKUP(C122,'country region mapping'!$A$2:$A$250, 'country region mapping'!$E$2:$E$250)</f>
        <v>#NAME?</v>
      </c>
      <c r="E122" s="1" t="e">
        <f t="array" aca="1" ref="E122" ca="1">_xludf.XLOOKUP(C122,'country region mapping'!$A$2:$A$267,'country region mapping'!$F$2:$F$267)</f>
        <v>#NAME?</v>
      </c>
      <c r="F122" s="1" t="e">
        <f t="array" aca="1" ref="F122" ca="1">_xludf.XLOOKUP(C122,'country region mapping'!$A$2:$A$267,'country region mapping'!$G$2:$G$267)</f>
        <v>#NAME?</v>
      </c>
      <c r="G122" s="1">
        <v>4.4619999999999997</v>
      </c>
      <c r="H122" s="1">
        <v>93</v>
      </c>
      <c r="I122" s="1">
        <v>90</v>
      </c>
      <c r="J122" s="1">
        <v>97</v>
      </c>
      <c r="K122" s="1">
        <v>86</v>
      </c>
      <c r="L122" s="1">
        <v>2</v>
      </c>
      <c r="M122" s="1">
        <v>21</v>
      </c>
      <c r="N122" s="1">
        <v>90</v>
      </c>
      <c r="O122" s="1">
        <v>29</v>
      </c>
      <c r="P122" s="1">
        <v>112</v>
      </c>
      <c r="Q122" s="1">
        <v>21</v>
      </c>
      <c r="R122" s="1">
        <v>131</v>
      </c>
      <c r="S122" s="1">
        <v>136</v>
      </c>
    </row>
    <row r="123" spans="1:19">
      <c r="A123" s="1">
        <v>2025</v>
      </c>
      <c r="B123" s="1">
        <v>122</v>
      </c>
      <c r="C123" s="1" t="s">
        <v>202</v>
      </c>
      <c r="D123" s="1" t="e">
        <f t="array" aca="1" ref="D123" ca="1">_xludf.XLOOKUP(C123,'country region mapping'!$A$2:$A$250, 'country region mapping'!$E$2:$E$250)</f>
        <v>#NAME?</v>
      </c>
      <c r="E123" s="1" t="e">
        <f t="array" aca="1" ref="E123" ca="1">_xludf.XLOOKUP(C123,'country region mapping'!$A$2:$A$267,'country region mapping'!$F$2:$F$267)</f>
        <v>#NAME?</v>
      </c>
      <c r="F123" s="1" t="e">
        <f t="array" aca="1" ref="F123" ca="1">_xludf.XLOOKUP(C123,'country region mapping'!$A$2:$A$267,'country region mapping'!$G$2:$G$267)</f>
        <v>#NAME?</v>
      </c>
      <c r="G123" s="1">
        <v>4.4560000000000004</v>
      </c>
      <c r="H123" s="1">
        <v>129</v>
      </c>
      <c r="I123" s="1">
        <v>134</v>
      </c>
      <c r="J123" s="1">
        <v>102</v>
      </c>
      <c r="K123" s="1">
        <v>105</v>
      </c>
      <c r="L123" s="1">
        <v>118</v>
      </c>
      <c r="M123" s="1">
        <v>110</v>
      </c>
      <c r="N123" s="1">
        <v>70</v>
      </c>
      <c r="O123" s="1">
        <v>121</v>
      </c>
      <c r="P123" s="1">
        <v>138</v>
      </c>
      <c r="Q123" s="1">
        <v>110</v>
      </c>
      <c r="R123" s="1">
        <v>39</v>
      </c>
      <c r="S123" s="1">
        <v>22</v>
      </c>
    </row>
    <row r="124" spans="1:19">
      <c r="A124" s="1">
        <v>2025</v>
      </c>
      <c r="B124" s="1">
        <v>123</v>
      </c>
      <c r="C124" s="1" t="s">
        <v>229</v>
      </c>
      <c r="D124" s="1" t="e">
        <f t="array" aca="1" ref="D124" ca="1">_xludf.XLOOKUP(C124,'country region mapping'!$A$2:$A$250, 'country region mapping'!$E$2:$E$250)</f>
        <v>#NAME?</v>
      </c>
      <c r="E124" s="1" t="e">
        <f t="array" aca="1" ref="E124" ca="1">_xludf.XLOOKUP(C124,'country region mapping'!$A$2:$A$267,'country region mapping'!$F$2:$F$267)</f>
        <v>#NAME?</v>
      </c>
      <c r="F124" s="1" t="e">
        <f t="array" aca="1" ref="F124" ca="1">_xludf.XLOOKUP(C124,'country region mapping'!$A$2:$A$267,'country region mapping'!$G$2:$G$267)</f>
        <v>#NAME?</v>
      </c>
      <c r="G124" s="1">
        <v>4.4550000000000001</v>
      </c>
      <c r="H124" s="1">
        <v>79</v>
      </c>
      <c r="I124" s="1">
        <v>132</v>
      </c>
      <c r="J124" s="1">
        <v>123</v>
      </c>
      <c r="K124" s="1">
        <v>107</v>
      </c>
      <c r="L124" s="1">
        <v>88</v>
      </c>
      <c r="M124" s="1">
        <v>71</v>
      </c>
      <c r="N124" s="1">
        <v>15</v>
      </c>
      <c r="O124" s="1">
        <v>109</v>
      </c>
      <c r="P124" s="1">
        <v>84</v>
      </c>
      <c r="Q124" s="1">
        <v>71</v>
      </c>
      <c r="R124" s="1">
        <v>32</v>
      </c>
      <c r="S124" s="1">
        <v>92</v>
      </c>
    </row>
    <row r="125" spans="1:19">
      <c r="A125" s="1">
        <v>2025</v>
      </c>
      <c r="B125" s="1">
        <v>124</v>
      </c>
      <c r="C125" s="1" t="s">
        <v>244</v>
      </c>
      <c r="D125" s="1" t="e">
        <f t="array" aca="1" ref="D125" ca="1">_xludf.XLOOKUP(C125,'country region mapping'!$A$2:$A$250, 'country region mapping'!$E$2:$E$250)</f>
        <v>#NAME?</v>
      </c>
      <c r="E125" s="1" t="e">
        <f t="array" aca="1" ref="E125" ca="1">_xludf.XLOOKUP(C125,'country region mapping'!$A$2:$A$267,'country region mapping'!$F$2:$F$267)</f>
        <v>#NAME?</v>
      </c>
      <c r="F125" s="1" t="e">
        <f t="array" aca="1" ref="F125" ca="1">_xludf.XLOOKUP(C125,'country region mapping'!$A$2:$A$267,'country region mapping'!$G$2:$G$267)</f>
        <v>#NAME?</v>
      </c>
      <c r="G125" s="1">
        <v>4.3929999999999998</v>
      </c>
      <c r="H125" s="1">
        <v>116</v>
      </c>
      <c r="I125" s="1">
        <v>139</v>
      </c>
      <c r="J125" s="1">
        <v>112</v>
      </c>
      <c r="K125" s="1">
        <v>103</v>
      </c>
      <c r="L125" s="1">
        <v>109</v>
      </c>
      <c r="M125" s="1">
        <v>112</v>
      </c>
      <c r="N125" s="1">
        <v>24</v>
      </c>
      <c r="O125" s="1">
        <v>106</v>
      </c>
      <c r="P125" s="1">
        <v>126</v>
      </c>
      <c r="Q125" s="1">
        <v>112</v>
      </c>
      <c r="R125" s="1">
        <v>96</v>
      </c>
      <c r="S125" s="1">
        <v>112</v>
      </c>
    </row>
    <row r="126" spans="1:19">
      <c r="A126" s="1">
        <v>2025</v>
      </c>
      <c r="B126" s="1">
        <v>125</v>
      </c>
      <c r="C126" s="1" t="s">
        <v>227</v>
      </c>
      <c r="D126" s="1" t="e">
        <f t="array" aca="1" ref="D126" ca="1">_xludf.XLOOKUP(C126,'country region mapping'!$A$2:$A$250, 'country region mapping'!$E$2:$E$250)</f>
        <v>#NAME?</v>
      </c>
      <c r="E126" s="1" t="e">
        <f t="array" aca="1" ref="E126" ca="1">_xludf.XLOOKUP(C126,'country region mapping'!$A$2:$A$267,'country region mapping'!$F$2:$F$267)</f>
        <v>#NAME?</v>
      </c>
      <c r="F126" s="1" t="e">
        <f t="array" aca="1" ref="F126" ca="1">_xludf.XLOOKUP(C126,'country region mapping'!$A$2:$A$267,'country region mapping'!$G$2:$G$267)</f>
        <v>#NAME?</v>
      </c>
      <c r="G126" s="1">
        <v>4.3849999999999998</v>
      </c>
      <c r="H126" s="1">
        <v>120</v>
      </c>
      <c r="I126" s="1">
        <v>121</v>
      </c>
      <c r="J126" s="1">
        <v>124</v>
      </c>
      <c r="K126" s="1"/>
      <c r="L126" s="1">
        <v>131</v>
      </c>
      <c r="M126" s="1">
        <v>57</v>
      </c>
      <c r="N126" s="1">
        <v>75</v>
      </c>
      <c r="O126" s="1">
        <v>110</v>
      </c>
      <c r="P126" s="1">
        <v>139</v>
      </c>
      <c r="Q126" s="1">
        <v>57</v>
      </c>
      <c r="R126" s="1">
        <v>19</v>
      </c>
      <c r="S126" s="1">
        <v>11</v>
      </c>
    </row>
    <row r="127" spans="1:19">
      <c r="A127" s="1">
        <v>2025</v>
      </c>
      <c r="B127" s="1">
        <v>126</v>
      </c>
      <c r="C127" s="1" t="s">
        <v>321</v>
      </c>
      <c r="D127" s="1" t="e">
        <f t="array" aca="1" ref="D127" ca="1">_xludf.XLOOKUP(C127,'country region mapping'!$A$2:$A$250, 'country region mapping'!$E$2:$E$250)</f>
        <v>#NAME?</v>
      </c>
      <c r="E127" s="1" t="e">
        <f t="array" aca="1" ref="E127" ca="1">_xludf.XLOOKUP(C127,'country region mapping'!$A$2:$A$267,'country region mapping'!$F$2:$F$267)</f>
        <v>#NAME?</v>
      </c>
      <c r="F127" s="1" t="e">
        <f t="array" aca="1" ref="F127" ca="1">_xludf.XLOOKUP(C127,'country region mapping'!$A$2:$A$267,'country region mapping'!$G$2:$G$267)</f>
        <v>#NAME?</v>
      </c>
      <c r="G127" s="1">
        <v>4.375</v>
      </c>
      <c r="H127" s="1">
        <v>139</v>
      </c>
      <c r="I127" s="1">
        <v>86</v>
      </c>
      <c r="J127" s="1">
        <v>122</v>
      </c>
      <c r="K127" s="1"/>
      <c r="L127" s="1">
        <v>113</v>
      </c>
      <c r="M127" s="1">
        <v>137</v>
      </c>
      <c r="N127" s="1">
        <v>97</v>
      </c>
      <c r="O127" s="1">
        <v>30</v>
      </c>
      <c r="P127" s="1">
        <v>55</v>
      </c>
      <c r="Q127" s="1">
        <v>137</v>
      </c>
      <c r="R127" s="1">
        <v>104</v>
      </c>
      <c r="S127" s="1">
        <v>50</v>
      </c>
    </row>
    <row r="128" spans="1:19">
      <c r="A128" s="1">
        <v>2025</v>
      </c>
      <c r="B128" s="1">
        <v>127</v>
      </c>
      <c r="C128" s="1" t="s">
        <v>176</v>
      </c>
      <c r="D128" s="1" t="e">
        <f t="array" aca="1" ref="D128" ca="1">_xludf.XLOOKUP(C128,'country region mapping'!$A$2:$A$250, 'country region mapping'!$E$2:$E$250)</f>
        <v>#NAME?</v>
      </c>
      <c r="E128" s="1" t="e">
        <f t="array" aca="1" ref="E128" ca="1">_xludf.XLOOKUP(C128,'country region mapping'!$A$2:$A$267,'country region mapping'!$F$2:$F$267)</f>
        <v>#NAME?</v>
      </c>
      <c r="F128" s="1" t="e">
        <f t="array" aca="1" ref="F128" ca="1">_xludf.XLOOKUP(C128,'country region mapping'!$A$2:$A$267,'country region mapping'!$G$2:$G$267)</f>
        <v>#NAME?</v>
      </c>
      <c r="G128" s="1">
        <v>4.319</v>
      </c>
      <c r="H128" s="1">
        <v>135</v>
      </c>
      <c r="I128" s="1">
        <v>133</v>
      </c>
      <c r="J128" s="1">
        <v>94</v>
      </c>
      <c r="K128" s="1">
        <v>68</v>
      </c>
      <c r="L128" s="1">
        <v>15</v>
      </c>
      <c r="M128" s="1">
        <v>82</v>
      </c>
      <c r="N128" s="1">
        <v>91</v>
      </c>
      <c r="O128" s="1">
        <v>135</v>
      </c>
      <c r="P128" s="1">
        <v>122</v>
      </c>
      <c r="Q128" s="1">
        <v>82</v>
      </c>
      <c r="R128" s="1">
        <v>114</v>
      </c>
      <c r="S128" s="1">
        <v>14</v>
      </c>
    </row>
    <row r="129" spans="1:19">
      <c r="A129" s="1">
        <v>2025</v>
      </c>
      <c r="B129" s="1">
        <v>128</v>
      </c>
      <c r="C129" s="1" t="s">
        <v>403</v>
      </c>
      <c r="D129" s="1" t="e">
        <f t="array" aca="1" ref="D129" ca="1">_xludf.XLOOKUP(C129,'country region mapping'!$A$2:$A$250, 'country region mapping'!$E$2:$E$250)</f>
        <v>#NAME?</v>
      </c>
      <c r="E129" s="1" t="e">
        <f t="array" aca="1" ref="E129" ca="1">_xludf.XLOOKUP(C129,'country region mapping'!$A$2:$A$267,'country region mapping'!$F$2:$F$267)</f>
        <v>#NAME?</v>
      </c>
      <c r="F129" s="1" t="e">
        <f t="array" aca="1" ref="F129" ca="1">_xludf.XLOOKUP(C129,'country region mapping'!$A$2:$A$267,'country region mapping'!$G$2:$G$267)</f>
        <v>#NAME?</v>
      </c>
      <c r="G129" s="1">
        <v>4.306</v>
      </c>
      <c r="H129" s="1">
        <v>29</v>
      </c>
      <c r="I129" s="1">
        <v>125</v>
      </c>
      <c r="J129" s="1">
        <v>116</v>
      </c>
      <c r="K129" s="1">
        <v>108</v>
      </c>
      <c r="L129" s="1"/>
      <c r="M129" s="1">
        <v>33</v>
      </c>
      <c r="N129" s="1">
        <v>123</v>
      </c>
      <c r="O129" s="1">
        <v>92</v>
      </c>
      <c r="P129" s="1">
        <v>43</v>
      </c>
      <c r="Q129" s="1">
        <v>33</v>
      </c>
      <c r="R129" s="1">
        <v>62</v>
      </c>
      <c r="S129" s="1">
        <v>60</v>
      </c>
    </row>
    <row r="130" spans="1:19">
      <c r="A130" s="1">
        <v>2025</v>
      </c>
      <c r="B130" s="1">
        <v>129</v>
      </c>
      <c r="C130" s="1" t="s">
        <v>190</v>
      </c>
      <c r="D130" s="1" t="e">
        <f t="array" aca="1" ref="D130" ca="1">_xludf.XLOOKUP(C130,'country region mapping'!$A$2:$A$250, 'country region mapping'!$E$2:$E$250)</f>
        <v>#NAME?</v>
      </c>
      <c r="E130" s="1" t="e">
        <f t="array" aca="1" ref="E130" ca="1">_xludf.XLOOKUP(C130,'country region mapping'!$A$2:$A$267,'country region mapping'!$F$2:$F$267)</f>
        <v>#NAME?</v>
      </c>
      <c r="F130" s="1" t="e">
        <f t="array" aca="1" ref="F130" ca="1">_xludf.XLOOKUP(C130,'country region mapping'!$A$2:$A$267,'country region mapping'!$G$2:$G$267)</f>
        <v>#NAME?</v>
      </c>
      <c r="G130" s="1">
        <v>4.2869999999999999</v>
      </c>
      <c r="H130" s="1">
        <v>84</v>
      </c>
      <c r="I130" s="1">
        <v>105</v>
      </c>
      <c r="J130" s="1">
        <v>107</v>
      </c>
      <c r="K130" s="1">
        <v>91</v>
      </c>
      <c r="L130" s="1">
        <v>117</v>
      </c>
      <c r="M130" s="1">
        <v>2</v>
      </c>
      <c r="N130" s="1">
        <v>55</v>
      </c>
      <c r="O130" s="1">
        <v>89</v>
      </c>
      <c r="P130" s="1">
        <v>101</v>
      </c>
      <c r="Q130" s="1">
        <v>2</v>
      </c>
      <c r="R130" s="1">
        <v>40</v>
      </c>
      <c r="S130" s="1">
        <v>113</v>
      </c>
    </row>
    <row r="131" spans="1:19">
      <c r="A131" s="1">
        <v>2025</v>
      </c>
      <c r="B131" s="1">
        <v>130</v>
      </c>
      <c r="C131" s="1" t="s">
        <v>238</v>
      </c>
      <c r="D131" s="1" t="e">
        <f t="array" aca="1" ref="D131" ca="1">_xludf.XLOOKUP(C131,'country region mapping'!$A$2:$A$250, 'country region mapping'!$E$2:$E$250)</f>
        <v>#NAME?</v>
      </c>
      <c r="E131" s="1" t="e">
        <f t="array" aca="1" ref="E131" ca="1">_xludf.XLOOKUP(C131,'country region mapping'!$A$2:$A$267,'country region mapping'!$F$2:$F$267)</f>
        <v>#NAME?</v>
      </c>
      <c r="F131" s="1" t="e">
        <f t="array" aca="1" ref="F131" ca="1">_xludf.XLOOKUP(C131,'country region mapping'!$A$2:$A$267,'country region mapping'!$G$2:$G$267)</f>
        <v>#NAME?</v>
      </c>
      <c r="G131" s="1">
        <v>4.28</v>
      </c>
      <c r="H131" s="1">
        <v>137</v>
      </c>
      <c r="I131" s="1">
        <v>112</v>
      </c>
      <c r="J131" s="1">
        <v>126</v>
      </c>
      <c r="K131" s="1"/>
      <c r="L131" s="1">
        <v>93</v>
      </c>
      <c r="M131" s="1">
        <v>93</v>
      </c>
      <c r="N131" s="1">
        <v>101</v>
      </c>
      <c r="O131" s="1">
        <v>81</v>
      </c>
      <c r="P131" s="1">
        <v>136</v>
      </c>
      <c r="Q131" s="1">
        <v>93</v>
      </c>
      <c r="R131" s="1">
        <v>2</v>
      </c>
      <c r="S131" s="1">
        <v>5</v>
      </c>
    </row>
    <row r="132" spans="1:19">
      <c r="A132" s="1">
        <v>2025</v>
      </c>
      <c r="B132" s="1">
        <v>131</v>
      </c>
      <c r="C132" s="1" t="s">
        <v>247</v>
      </c>
      <c r="D132" s="1" t="e">
        <f t="array" aca="1" ref="D132" ca="1">_xludf.XLOOKUP(C132,'country region mapping'!$A$2:$A$250, 'country region mapping'!$E$2:$E$250)</f>
        <v>#NAME?</v>
      </c>
      <c r="E132" s="1" t="e">
        <f t="array" aca="1" ref="E132" ca="1">_xludf.XLOOKUP(C132,'country region mapping'!$A$2:$A$267,'country region mapping'!$F$2:$F$267)</f>
        <v>#NAME?</v>
      </c>
      <c r="F132" s="1" t="e">
        <f t="array" aca="1" ref="F132" ca="1">_xludf.XLOOKUP(C132,'country region mapping'!$A$2:$A$267,'country region mapping'!$G$2:$G$267)</f>
        <v>#NAME?</v>
      </c>
      <c r="G132" s="1">
        <v>4.2770000000000001</v>
      </c>
      <c r="H132" s="1">
        <v>52</v>
      </c>
      <c r="I132" s="1">
        <v>129</v>
      </c>
      <c r="J132" s="1">
        <v>118</v>
      </c>
      <c r="K132" s="1">
        <v>102</v>
      </c>
      <c r="L132" s="1">
        <v>125</v>
      </c>
      <c r="M132" s="1">
        <v>127</v>
      </c>
      <c r="N132" s="1">
        <v>63</v>
      </c>
      <c r="O132" s="1">
        <v>125</v>
      </c>
      <c r="P132" s="1">
        <v>121</v>
      </c>
      <c r="Q132" s="1">
        <v>127</v>
      </c>
      <c r="R132" s="1">
        <v>111</v>
      </c>
      <c r="S132" s="1">
        <v>123</v>
      </c>
    </row>
    <row r="133" spans="1:19">
      <c r="A133" s="1">
        <v>2025</v>
      </c>
      <c r="B133" s="1">
        <v>132</v>
      </c>
      <c r="C133" s="1" t="s">
        <v>235</v>
      </c>
      <c r="D133" s="1" t="e">
        <f t="array" aca="1" ref="D133" ca="1">_xludf.XLOOKUP(C133,'country region mapping'!$A$2:$A$250, 'country region mapping'!$E$2:$E$250)</f>
        <v>#NAME?</v>
      </c>
      <c r="E133" s="1" t="e">
        <f t="array" aca="1" ref="E133" ca="1">_xludf.XLOOKUP(C133,'country region mapping'!$A$2:$A$267,'country region mapping'!$F$2:$F$267)</f>
        <v>#NAME?</v>
      </c>
      <c r="F133" s="1" t="e">
        <f t="array" aca="1" ref="F133" ca="1">_xludf.XLOOKUP(C133,'country region mapping'!$A$2:$A$267,'country region mapping'!$G$2:$G$267)</f>
        <v>#NAME?</v>
      </c>
      <c r="G133" s="1">
        <v>4.1740000000000004</v>
      </c>
      <c r="H133" s="1">
        <v>112</v>
      </c>
      <c r="I133" s="1">
        <v>130</v>
      </c>
      <c r="J133" s="1">
        <v>127</v>
      </c>
      <c r="K133" s="1"/>
      <c r="L133" s="1">
        <v>136</v>
      </c>
      <c r="M133" s="1">
        <v>107</v>
      </c>
      <c r="N133" s="1">
        <v>61</v>
      </c>
      <c r="O133" s="1">
        <v>88</v>
      </c>
      <c r="P133" s="1">
        <v>130</v>
      </c>
      <c r="Q133" s="1">
        <v>107</v>
      </c>
      <c r="R133" s="1">
        <v>6</v>
      </c>
      <c r="S133" s="1">
        <v>73</v>
      </c>
    </row>
    <row r="134" spans="1:19">
      <c r="A134" s="1">
        <v>2025</v>
      </c>
      <c r="B134" s="1">
        <v>133</v>
      </c>
      <c r="C134" s="1" t="s">
        <v>170</v>
      </c>
      <c r="D134" s="1" t="e">
        <f t="array" aca="1" ref="D134" ca="1">_xludf.XLOOKUP(C134,'country region mapping'!$A$2:$A$250, 'country region mapping'!$E$2:$E$250)</f>
        <v>#NAME?</v>
      </c>
      <c r="E134" s="1" t="e">
        <f t="array" aca="1" ref="E134" ca="1">_xludf.XLOOKUP(C134,'country region mapping'!$A$2:$A$267,'country region mapping'!$F$2:$F$267)</f>
        <v>#NAME?</v>
      </c>
      <c r="F134" s="1" t="e">
        <f t="array" aca="1" ref="F134" ca="1">_xludf.XLOOKUP(C134,'country region mapping'!$A$2:$A$267,'country region mapping'!$G$2:$G$267)</f>
        <v>#NAME?</v>
      </c>
      <c r="G134" s="1">
        <v>4.1059999999999999</v>
      </c>
      <c r="H134" s="1">
        <v>134</v>
      </c>
      <c r="I134" s="1">
        <v>106</v>
      </c>
      <c r="J134" s="1">
        <v>114</v>
      </c>
      <c r="K134" s="1">
        <v>112</v>
      </c>
      <c r="L134" s="1">
        <v>38</v>
      </c>
      <c r="M134" s="1">
        <v>56</v>
      </c>
      <c r="N134" s="1">
        <v>56</v>
      </c>
      <c r="O134" s="1">
        <v>75</v>
      </c>
      <c r="P134" s="1">
        <v>110</v>
      </c>
      <c r="Q134" s="1">
        <v>56</v>
      </c>
      <c r="R134" s="1">
        <v>27</v>
      </c>
      <c r="S134" s="1">
        <v>15</v>
      </c>
    </row>
    <row r="135" spans="1:19">
      <c r="A135" s="1">
        <v>2025</v>
      </c>
      <c r="B135" s="1">
        <v>134</v>
      </c>
      <c r="C135" s="1" t="s">
        <v>187</v>
      </c>
      <c r="D135" s="1" t="e">
        <f t="array" aca="1" ref="D135" ca="1">_xludf.XLOOKUP(C135,'country region mapping'!$A$2:$A$250, 'country region mapping'!$E$2:$E$250)</f>
        <v>#NAME?</v>
      </c>
      <c r="E135" s="1" t="e">
        <f t="array" aca="1" ref="E135" ca="1">_xludf.XLOOKUP(C135,'country region mapping'!$A$2:$A$267,'country region mapping'!$F$2:$F$267)</f>
        <v>#NAME?</v>
      </c>
      <c r="F135" s="1" t="e">
        <f t="array" aca="1" ref="F135" ca="1">_xludf.XLOOKUP(C135,'country region mapping'!$A$2:$A$267,'country region mapping'!$G$2:$G$267)</f>
        <v>#NAME?</v>
      </c>
      <c r="G135" s="1">
        <v>4.0129999999999999</v>
      </c>
      <c r="H135" s="1">
        <v>108</v>
      </c>
      <c r="I135" s="1">
        <v>91</v>
      </c>
      <c r="J135" s="1">
        <v>76</v>
      </c>
      <c r="K135" s="1">
        <v>34</v>
      </c>
      <c r="L135" s="1">
        <v>60</v>
      </c>
      <c r="M135" s="1">
        <v>68</v>
      </c>
      <c r="N135" s="1">
        <v>60</v>
      </c>
      <c r="O135" s="1">
        <v>40</v>
      </c>
      <c r="P135" s="1">
        <v>87</v>
      </c>
      <c r="Q135" s="1">
        <v>68</v>
      </c>
      <c r="R135" s="1">
        <v>13</v>
      </c>
      <c r="S135" s="1">
        <v>54</v>
      </c>
    </row>
    <row r="136" spans="1:19">
      <c r="A136" s="1">
        <v>2025</v>
      </c>
      <c r="B136" s="1">
        <v>135</v>
      </c>
      <c r="C136" s="1" t="s">
        <v>183</v>
      </c>
      <c r="D136" s="1" t="e">
        <f t="array" aca="1" ref="D136" ca="1">_xludf.XLOOKUP(C136,'country region mapping'!$A$2:$A$250, 'country region mapping'!$E$2:$E$250)</f>
        <v>#NAME?</v>
      </c>
      <c r="E136" s="1" t="e">
        <f t="array" aca="1" ref="E136" ca="1">_xludf.XLOOKUP(C136,'country region mapping'!$A$2:$A$267,'country region mapping'!$F$2:$F$267)</f>
        <v>#NAME?</v>
      </c>
      <c r="F136" s="1" t="e">
        <f t="array" aca="1" ref="F136" ca="1">_xludf.XLOOKUP(C136,'country region mapping'!$A$2:$A$267,'country region mapping'!$G$2:$G$267)</f>
        <v>#NAME?</v>
      </c>
      <c r="G136" s="1">
        <v>3.9849999999999999</v>
      </c>
      <c r="H136" s="1">
        <v>46</v>
      </c>
      <c r="I136" s="1">
        <v>110</v>
      </c>
      <c r="J136" s="1">
        <v>119</v>
      </c>
      <c r="K136" s="1"/>
      <c r="L136" s="1">
        <v>127</v>
      </c>
      <c r="M136" s="1">
        <v>62</v>
      </c>
      <c r="N136" s="1">
        <v>87</v>
      </c>
      <c r="O136" s="1">
        <v>130</v>
      </c>
      <c r="P136" s="1">
        <v>91</v>
      </c>
      <c r="Q136" s="1">
        <v>62</v>
      </c>
      <c r="R136" s="1">
        <v>60</v>
      </c>
      <c r="S136" s="1">
        <v>49</v>
      </c>
    </row>
    <row r="137" spans="1:19">
      <c r="A137" s="1">
        <v>2025</v>
      </c>
      <c r="B137" s="1">
        <v>136</v>
      </c>
      <c r="C137" s="1" t="s">
        <v>219</v>
      </c>
      <c r="D137" s="1" t="e">
        <f t="array" aca="1" ref="D137" ca="1">_xludf.XLOOKUP(C137,'country region mapping'!$A$2:$A$250, 'country region mapping'!$E$2:$E$250)</f>
        <v>#NAME?</v>
      </c>
      <c r="E137" s="1" t="e">
        <f t="array" aca="1" ref="E137" ca="1">_xludf.XLOOKUP(C137,'country region mapping'!$A$2:$A$267,'country region mapping'!$F$2:$F$267)</f>
        <v>#NAME?</v>
      </c>
      <c r="F137" s="1" t="e">
        <f t="array" aca="1" ref="F137" ca="1">_xludf.XLOOKUP(C137,'country region mapping'!$A$2:$A$267,'country region mapping'!$G$2:$G$267)</f>
        <v>#NAME?</v>
      </c>
      <c r="G137" s="1">
        <v>3.9249999999999998</v>
      </c>
      <c r="H137" s="1">
        <v>136</v>
      </c>
      <c r="I137" s="1">
        <v>137</v>
      </c>
      <c r="J137" s="1">
        <v>115</v>
      </c>
      <c r="K137" s="1"/>
      <c r="L137" s="1">
        <v>137</v>
      </c>
      <c r="M137" s="1">
        <v>80</v>
      </c>
      <c r="N137" s="1">
        <v>41</v>
      </c>
      <c r="O137" s="1">
        <v>90</v>
      </c>
      <c r="P137" s="1">
        <v>117</v>
      </c>
      <c r="Q137" s="1">
        <v>80</v>
      </c>
      <c r="R137" s="1">
        <v>8</v>
      </c>
      <c r="S137" s="1">
        <v>84</v>
      </c>
    </row>
    <row r="138" spans="1:19">
      <c r="A138" s="1">
        <v>2025</v>
      </c>
      <c r="B138" s="1">
        <v>137</v>
      </c>
      <c r="C138" s="1" t="s">
        <v>453</v>
      </c>
      <c r="D138" s="1" t="e">
        <f t="array" aca="1" ref="D138" ca="1">_xludf.XLOOKUP(C138,'country region mapping'!$A$2:$A$250, 'country region mapping'!$E$2:$E$250)</f>
        <v>#NAME?</v>
      </c>
      <c r="E138" s="1" t="e">
        <f t="array" aca="1" ref="E138" ca="1">_xludf.XLOOKUP(C138,'country region mapping'!$A$2:$A$267,'country region mapping'!$F$2:$F$267)</f>
        <v>#NAME?</v>
      </c>
      <c r="F138" s="1" t="e">
        <f t="array" aca="1" ref="F138" ca="1">_xludf.XLOOKUP(C138,'country region mapping'!$A$2:$A$267,'country region mapping'!$G$2:$G$267)</f>
        <v>#NAME?</v>
      </c>
      <c r="G138" s="1">
        <v>3.9089999999999998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>
      <c r="A139" s="1">
        <v>2025</v>
      </c>
      <c r="B139" s="1">
        <v>138</v>
      </c>
      <c r="C139" s="1" t="s">
        <v>236</v>
      </c>
      <c r="D139" s="1" t="e">
        <f t="array" aca="1" ref="D139" ca="1">_xludf.XLOOKUP(C139,'country region mapping'!$A$2:$A$267,'country region mapping'!$E$2:$E$267)</f>
        <v>#NAME?</v>
      </c>
      <c r="E139" s="1" t="e">
        <f t="array" aca="1" ref="E139" ca="1">_xludf.XLOOKUP(C139,'country region mapping'!$A$2:$A$267,'country region mapping'!$F$2:$F$267)</f>
        <v>#NAME?</v>
      </c>
      <c r="F139" s="1" t="e">
        <f t="array" aca="1" ref="F139" ca="1">_xludf.XLOOKUP(C139,'country region mapping'!$A$2:$A$267,'country region mapping'!$G$2:$G$267)</f>
        <v>#NAME?</v>
      </c>
      <c r="G139" s="1">
        <v>3.9020000000000001</v>
      </c>
      <c r="H139" s="1">
        <v>130</v>
      </c>
      <c r="I139" s="1">
        <v>127</v>
      </c>
      <c r="J139" s="1">
        <v>113</v>
      </c>
      <c r="K139" s="1">
        <v>96</v>
      </c>
      <c r="L139" s="1">
        <v>30</v>
      </c>
      <c r="M139" s="1">
        <v>54</v>
      </c>
      <c r="N139" s="1">
        <v>22</v>
      </c>
      <c r="O139" s="1">
        <v>35</v>
      </c>
      <c r="P139" s="1">
        <v>15</v>
      </c>
      <c r="Q139" s="1">
        <v>54</v>
      </c>
      <c r="R139" s="1">
        <v>110</v>
      </c>
      <c r="S139" s="1">
        <v>103</v>
      </c>
    </row>
    <row r="140" spans="1:19">
      <c r="A140" s="1">
        <v>2025</v>
      </c>
      <c r="B140" s="1">
        <v>139</v>
      </c>
      <c r="C140" s="1" t="s">
        <v>191</v>
      </c>
      <c r="D140" s="1" t="e">
        <f t="array" aca="1" ref="D140" ca="1">_xludf.XLOOKUP(C140,'country region mapping'!$A$2:$A$250, 'country region mapping'!$E$2:$E$250)</f>
        <v>#NAME?</v>
      </c>
      <c r="E140" s="1" t="e">
        <f t="array" aca="1" ref="E140" ca="1">_xludf.XLOOKUP(C140,'country region mapping'!$A$2:$A$267,'country region mapping'!$F$2:$F$267)</f>
        <v>#NAME?</v>
      </c>
      <c r="F140" s="1" t="e">
        <f t="array" aca="1" ref="F140" ca="1">_xludf.XLOOKUP(C140,'country region mapping'!$A$2:$A$267,'country region mapping'!$G$2:$G$267)</f>
        <v>#NAME?</v>
      </c>
      <c r="G140" s="1">
        <v>3.8620000000000001</v>
      </c>
      <c r="H140" s="1">
        <v>80</v>
      </c>
      <c r="I140" s="1">
        <v>109</v>
      </c>
      <c r="J140" s="1">
        <v>67</v>
      </c>
      <c r="K140" s="1">
        <v>88</v>
      </c>
      <c r="L140" s="1">
        <v>101</v>
      </c>
      <c r="M140" s="1">
        <v>134</v>
      </c>
      <c r="O140" s="1">
        <v>133</v>
      </c>
      <c r="P140" s="1">
        <v>97</v>
      </c>
      <c r="Q140" s="1">
        <v>134</v>
      </c>
      <c r="R140" s="1">
        <v>139</v>
      </c>
      <c r="S140" s="1">
        <v>19</v>
      </c>
    </row>
    <row r="141" spans="1:19">
      <c r="A141" s="1">
        <v>2025</v>
      </c>
      <c r="B141" s="1">
        <v>140</v>
      </c>
      <c r="C141" s="1" t="s">
        <v>199</v>
      </c>
      <c r="D141" s="1" t="e">
        <f t="array" aca="1" ref="D141" ca="1">_xludf.XLOOKUP(C141,'country region mapping'!$A$2:$A$267,'country region mapping'!$E$2:$E$267)</f>
        <v>#NAME?</v>
      </c>
      <c r="E141" s="1" t="e">
        <f t="array" aca="1" ref="E141" ca="1">_xludf.XLOOKUP(C141,'country region mapping'!$A$2:$A$267,'country region mapping'!$F$2:$F$267)</f>
        <v>#NAME?</v>
      </c>
      <c r="F141" s="1" t="e">
        <f t="array" aca="1" ref="F141" ca="1">_xludf.XLOOKUP(C141,'country region mapping'!$A$2:$A$267,'country region mapping'!$G$2:$G$267)</f>
        <v>#NAME?</v>
      </c>
      <c r="G141" s="1">
        <v>3.7610000000000001</v>
      </c>
      <c r="H141" s="1">
        <v>114</v>
      </c>
      <c r="I141" s="1">
        <v>120</v>
      </c>
      <c r="J141" s="1">
        <v>128</v>
      </c>
      <c r="K141" s="1"/>
      <c r="L141" s="1">
        <v>123</v>
      </c>
      <c r="M141" s="1">
        <v>74</v>
      </c>
      <c r="N141" s="1">
        <v>92</v>
      </c>
      <c r="O141" s="1">
        <v>118</v>
      </c>
      <c r="P141" s="1">
        <v>129</v>
      </c>
      <c r="Q141" s="1">
        <v>74</v>
      </c>
      <c r="R141" s="1">
        <v>31</v>
      </c>
      <c r="S141" s="1">
        <v>31</v>
      </c>
    </row>
    <row r="142" spans="1:19">
      <c r="A142" s="1">
        <v>2025</v>
      </c>
      <c r="B142" s="1">
        <v>141</v>
      </c>
      <c r="C142" s="1" t="s">
        <v>154</v>
      </c>
      <c r="D142" s="1" t="e">
        <f t="array" aca="1" ref="D142" ca="1">_xludf.XLOOKUP(C142,'country region mapping'!$A$2:$A$250, 'country region mapping'!$E$2:$E$250)</f>
        <v>#NAME?</v>
      </c>
      <c r="E142" s="1" t="e">
        <f t="array" aca="1" ref="E142" ca="1">_xludf.XLOOKUP(C142,'country region mapping'!$A$2:$A$267,'country region mapping'!$F$2:$F$267)</f>
        <v>#NAME?</v>
      </c>
      <c r="F142" s="1" t="e">
        <f t="array" aca="1" ref="F142" ca="1">_xludf.XLOOKUP(C142,'country region mapping'!$A$2:$A$267,'country region mapping'!$G$2:$G$267)</f>
        <v>#NAME?</v>
      </c>
      <c r="G142" s="1">
        <v>3.7229999999999999</v>
      </c>
      <c r="H142" s="1">
        <v>75</v>
      </c>
      <c r="I142" s="1">
        <v>96</v>
      </c>
      <c r="J142" s="1">
        <v>86</v>
      </c>
      <c r="K142" s="1">
        <v>66</v>
      </c>
      <c r="L142" s="1">
        <v>133</v>
      </c>
      <c r="M142" s="1">
        <v>105</v>
      </c>
      <c r="N142" s="1">
        <v>89</v>
      </c>
      <c r="O142" s="1">
        <v>138</v>
      </c>
      <c r="P142" s="1">
        <v>128</v>
      </c>
      <c r="Q142" s="1">
        <v>105</v>
      </c>
      <c r="R142" s="1">
        <v>137</v>
      </c>
      <c r="S142" s="1">
        <v>132</v>
      </c>
    </row>
    <row r="143" spans="1:19">
      <c r="A143" s="1">
        <v>2025</v>
      </c>
      <c r="B143" s="1">
        <v>142</v>
      </c>
      <c r="C143" s="1" t="s">
        <v>233</v>
      </c>
      <c r="D143" s="1" t="e">
        <f t="array" aca="1" ref="D143" ca="1">_xludf.XLOOKUP(C143,'country region mapping'!$A$2:$A$250, 'country region mapping'!$E$2:$E$250)</f>
        <v>#NAME?</v>
      </c>
      <c r="E143" s="1" t="e">
        <f t="array" aca="1" ref="E143" ca="1">_xludf.XLOOKUP(C143,'country region mapping'!$A$2:$A$267,'country region mapping'!$F$2:$F$267)</f>
        <v>#NAME?</v>
      </c>
      <c r="F143" s="1" t="e">
        <f t="array" aca="1" ref="F143" ca="1">_xludf.XLOOKUP(C143,'country region mapping'!$A$2:$A$267,'country region mapping'!$G$2:$G$267)</f>
        <v>#NAME?</v>
      </c>
      <c r="G143" s="1">
        <v>3.532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>
      <c r="A144" s="1">
        <v>2025</v>
      </c>
      <c r="B144" s="1">
        <v>143</v>
      </c>
      <c r="C144" s="1" t="s">
        <v>218</v>
      </c>
      <c r="D144" s="1" t="e">
        <f t="array" aca="1" ref="D144" ca="1">_xludf.XLOOKUP(C144,'country region mapping'!$A$2:$A$250, 'country region mapping'!$E$2:$E$250)</f>
        <v>#NAME?</v>
      </c>
      <c r="E144" s="1" t="e">
        <f t="array" aca="1" ref="E144" ca="1">_xludf.XLOOKUP(C144,'country region mapping'!$A$2:$A$267,'country region mapping'!$F$2:$F$267)</f>
        <v>#NAME?</v>
      </c>
      <c r="F144" s="1" t="e">
        <f t="array" aca="1" ref="F144" ca="1">_xludf.XLOOKUP(C144,'country region mapping'!$A$2:$A$267,'country region mapping'!$G$2:$G$267)</f>
        <v>#NAME?</v>
      </c>
      <c r="G144" s="1">
        <v>3.464</v>
      </c>
      <c r="H144" s="1">
        <v>111</v>
      </c>
      <c r="I144" s="1">
        <v>101</v>
      </c>
      <c r="J144" s="1">
        <v>65</v>
      </c>
      <c r="K144" s="1"/>
      <c r="L144" s="1">
        <v>74</v>
      </c>
      <c r="M144" s="1">
        <v>135</v>
      </c>
      <c r="N144" s="1">
        <v>81</v>
      </c>
      <c r="O144" s="1">
        <v>85</v>
      </c>
      <c r="P144" s="1">
        <v>73</v>
      </c>
      <c r="Q144" s="1">
        <v>135</v>
      </c>
      <c r="R144" s="1">
        <v>112</v>
      </c>
      <c r="S144" s="1">
        <v>12</v>
      </c>
    </row>
    <row r="145" spans="1:19">
      <c r="A145" s="1">
        <v>2025</v>
      </c>
      <c r="B145" s="1">
        <v>144</v>
      </c>
      <c r="C145" s="1" t="s">
        <v>208</v>
      </c>
      <c r="D145" s="1" t="e">
        <f t="array" aca="1" ref="D145" ca="1">_xludf.XLOOKUP(C145,'country region mapping'!$A$2:$A$250, 'country region mapping'!$E$2:$E$250)</f>
        <v>#NAME?</v>
      </c>
      <c r="E145" s="1" t="e">
        <f t="array" aca="1" ref="E145" ca="1">_xludf.XLOOKUP(C145,'country region mapping'!$A$2:$A$267,'country region mapping'!$F$2:$F$267)</f>
        <v>#NAME?</v>
      </c>
      <c r="F145" s="1" t="e">
        <f t="array" aca="1" ref="F145" ca="1">_xludf.XLOOKUP(C145,'country region mapping'!$A$2:$A$267,'country region mapping'!$G$2:$G$267)</f>
        <v>#NAME?</v>
      </c>
      <c r="G145" s="1">
        <v>3.3460000000000001</v>
      </c>
      <c r="H145" s="1">
        <v>69</v>
      </c>
      <c r="I145" s="1">
        <v>124</v>
      </c>
      <c r="J145" s="1">
        <v>105</v>
      </c>
      <c r="K145" s="1">
        <v>115</v>
      </c>
      <c r="L145" s="1">
        <v>124</v>
      </c>
      <c r="M145" s="1">
        <v>128</v>
      </c>
      <c r="N145" s="1">
        <v>69</v>
      </c>
      <c r="O145" s="1">
        <v>102</v>
      </c>
      <c r="P145" s="1">
        <v>48</v>
      </c>
      <c r="Q145" s="1">
        <v>128</v>
      </c>
      <c r="R145" s="1">
        <v>42</v>
      </c>
      <c r="S145" s="1">
        <v>82</v>
      </c>
    </row>
    <row r="146" spans="1:19">
      <c r="A146" s="1">
        <v>2025</v>
      </c>
      <c r="B146" s="1">
        <v>145</v>
      </c>
      <c r="C146" s="1" t="s">
        <v>210</v>
      </c>
      <c r="D146" s="1" t="e">
        <f t="array" aca="1" ref="D146" ca="1">_xludf.XLOOKUP(C146,'country region mapping'!$A$2:$A$250, 'country region mapping'!$E$2:$E$250)</f>
        <v>#NAME?</v>
      </c>
      <c r="E146" s="1" t="e">
        <f t="array" aca="1" ref="E146" ca="1">_xludf.XLOOKUP(C146,'country region mapping'!$A$2:$A$267,'country region mapping'!$F$2:$F$267)</f>
        <v>#NAME?</v>
      </c>
      <c r="F146" s="1" t="e">
        <f t="array" aca="1" ref="F146" ca="1">_xludf.XLOOKUP(C146,'country region mapping'!$A$2:$A$267,'country region mapping'!$G$2:$G$267)</f>
        <v>#NAME?</v>
      </c>
      <c r="G146" s="1">
        <v>3.2839999999999998</v>
      </c>
      <c r="H146" s="1">
        <v>131</v>
      </c>
      <c r="I146" s="1">
        <v>136</v>
      </c>
      <c r="J146" s="1">
        <v>129</v>
      </c>
      <c r="K146" s="1">
        <v>106</v>
      </c>
      <c r="L146" s="1">
        <v>97</v>
      </c>
      <c r="M146" s="1">
        <v>113</v>
      </c>
      <c r="N146" s="1">
        <v>45</v>
      </c>
      <c r="O146" s="1">
        <v>103</v>
      </c>
      <c r="P146" s="1">
        <v>98</v>
      </c>
      <c r="Q146" s="1">
        <v>113</v>
      </c>
      <c r="R146" s="1">
        <v>46</v>
      </c>
      <c r="S146" s="1">
        <v>8</v>
      </c>
    </row>
    <row r="147" spans="1:19">
      <c r="A147" s="1">
        <v>2025</v>
      </c>
      <c r="B147" s="1">
        <v>146</v>
      </c>
      <c r="C147" s="1" t="s">
        <v>178</v>
      </c>
      <c r="D147" s="1" t="e">
        <f t="array" aca="1" ref="D147" ca="1">_xludf.XLOOKUP(C147,'country region mapping'!$A$2:$A$250, 'country region mapping'!$E$2:$E$250)</f>
        <v>#NAME?</v>
      </c>
      <c r="E147" s="1" t="e">
        <f t="array" aca="1" ref="E147" ca="1">_xludf.XLOOKUP(C147,'country region mapping'!$A$2:$A$267,'country region mapping'!$F$2:$F$267)</f>
        <v>#NAME?</v>
      </c>
      <c r="F147" s="1" t="e">
        <f t="array" aca="1" ref="F147" ca="1">_xludf.XLOOKUP(C147,'country region mapping'!$A$2:$A$267,'country region mapping'!$G$2:$G$267)</f>
        <v>#NAME?</v>
      </c>
      <c r="G147" s="1">
        <v>3.2509999999999999</v>
      </c>
      <c r="H147" s="1">
        <v>96</v>
      </c>
      <c r="I147" s="1">
        <v>113</v>
      </c>
      <c r="J147" s="1">
        <v>117</v>
      </c>
      <c r="K147" s="1">
        <v>111</v>
      </c>
      <c r="L147" s="1">
        <v>91</v>
      </c>
      <c r="M147" s="1">
        <v>76</v>
      </c>
      <c r="N147" s="1">
        <v>108</v>
      </c>
      <c r="O147" s="1">
        <v>131</v>
      </c>
      <c r="P147" s="1">
        <v>107</v>
      </c>
      <c r="Q147" s="1">
        <v>76</v>
      </c>
      <c r="R147" s="1">
        <v>76</v>
      </c>
      <c r="S147" s="1">
        <v>2</v>
      </c>
    </row>
    <row r="148" spans="1:19">
      <c r="A148" s="1">
        <v>2025</v>
      </c>
      <c r="B148" s="1">
        <v>147</v>
      </c>
      <c r="C148" s="1" t="s">
        <v>245</v>
      </c>
      <c r="D148" s="1" t="e">
        <f t="array" aca="1" ref="D148" ca="1">_xludf.XLOOKUP(C148,'country region mapping'!$A$2:$A$250, 'country region mapping'!$E$2:$E$250)</f>
        <v>#NAME?</v>
      </c>
      <c r="E148" s="1" t="e">
        <f t="array" aca="1" ref="E148" ca="1">_xludf.XLOOKUP(C148,'country region mapping'!$A$2:$A$267,'country region mapping'!$F$2:$F$267)</f>
        <v>#NAME?</v>
      </c>
      <c r="F148" s="1" t="e">
        <f t="array" aca="1" ref="F148" ca="1">_xludf.XLOOKUP(C148,'country region mapping'!$A$2:$A$267,'country region mapping'!$G$2:$G$267)</f>
        <v>#NAME?</v>
      </c>
      <c r="G148" s="1">
        <v>1.446</v>
      </c>
      <c r="H148" s="1"/>
      <c r="I148" s="1"/>
      <c r="J148" s="1"/>
      <c r="K148" s="1">
        <v>116</v>
      </c>
      <c r="L148" s="1"/>
      <c r="M148" s="1"/>
      <c r="N148" s="1"/>
      <c r="O148" s="1"/>
      <c r="P148" s="1"/>
      <c r="Q148" s="1"/>
      <c r="R148" s="1"/>
      <c r="S148" s="1"/>
    </row>
    <row r="149" spans="1:19">
      <c r="A149" s="1">
        <v>2024</v>
      </c>
      <c r="B149" s="1">
        <v>147</v>
      </c>
      <c r="C149" s="1" t="s">
        <v>245</v>
      </c>
      <c r="D149" s="1" t="e">
        <f t="array" aca="1" ref="D149" ca="1">_xludf.XLOOKUP(C149,'country region mapping'!$A$2:$A$250, 'country region mapping'!$E$2:$E$250)</f>
        <v>#NAME?</v>
      </c>
      <c r="E149" s="1" t="e">
        <f t="array" aca="1" ref="E149" ca="1">_xludf.XLOOKUP(C149,'country region mapping'!$A$2:$A$267,'country region mapping'!$F$2:$F$267)</f>
        <v>#NAME?</v>
      </c>
      <c r="F149" s="1" t="e">
        <f t="array" aca="1" ref="F149" ca="1">_xludf.XLOOKUP(C149,'country region mapping'!$A$2:$A$267,'country region mapping'!$G$2:$G$267)</f>
        <v>#NAME?</v>
      </c>
      <c r="G149" s="1">
        <v>1.3640000000000001</v>
      </c>
      <c r="H149" s="1"/>
      <c r="I149" s="1"/>
      <c r="J149" s="1"/>
      <c r="K149" s="1">
        <v>116</v>
      </c>
      <c r="L149" s="1"/>
      <c r="M149" s="1"/>
      <c r="N149" s="1"/>
      <c r="O149" s="1"/>
      <c r="P149" s="1"/>
      <c r="Q149" s="1"/>
      <c r="R149" s="1"/>
      <c r="S149" s="1"/>
    </row>
    <row r="150" spans="1:19">
      <c r="A150" s="1">
        <v>2024</v>
      </c>
      <c r="B150" s="1">
        <v>89</v>
      </c>
      <c r="C150" s="1" t="s">
        <v>174</v>
      </c>
      <c r="D150" s="1" t="e">
        <f t="array" aca="1" ref="D150" ca="1">_xludf.XLOOKUP(C150,'country region mapping'!$A$2:$A$250, 'country region mapping'!$E$2:$E$250)</f>
        <v>#NAME?</v>
      </c>
      <c r="E150" s="1" t="e">
        <f t="array" aca="1" ref="E150" ca="1">_xludf.XLOOKUP(C150,'country region mapping'!$A$2:$A$267,'country region mapping'!$F$2:$F$267)</f>
        <v>#NAME?</v>
      </c>
      <c r="F150" s="1" t="e">
        <f t="array" aca="1" ref="F150" ca="1">_xludf.XLOOKUP(C150,'country region mapping'!$A$2:$A$267,'country region mapping'!$G$2:$G$267)</f>
        <v>#NAME?</v>
      </c>
      <c r="G150" s="1">
        <v>5.4109999999999996</v>
      </c>
      <c r="H150" s="1">
        <v>95</v>
      </c>
      <c r="I150" s="1">
        <v>111</v>
      </c>
      <c r="J150" s="1">
        <v>65</v>
      </c>
      <c r="K150" s="1">
        <v>35</v>
      </c>
      <c r="L150" s="1">
        <v>34</v>
      </c>
      <c r="M150" s="1">
        <v>72</v>
      </c>
      <c r="N150" s="1">
        <v>114</v>
      </c>
      <c r="O150" s="1">
        <v>115</v>
      </c>
      <c r="P150" s="1">
        <v>87</v>
      </c>
      <c r="Q150" s="1">
        <v>72</v>
      </c>
      <c r="R150" s="1">
        <v>140</v>
      </c>
      <c r="S150" s="1">
        <v>105</v>
      </c>
    </row>
    <row r="151" spans="1:19">
      <c r="A151" s="1">
        <v>2024</v>
      </c>
      <c r="B151" s="1">
        <v>21</v>
      </c>
      <c r="C151" s="1" t="s">
        <v>71</v>
      </c>
      <c r="D151" s="1" t="e">
        <f t="array" aca="1" ref="D151" ca="1">_xludf.XLOOKUP(C151,'country region mapping'!$A$2:$A$250, 'country region mapping'!$E$2:$E$250)</f>
        <v>#NAME?</v>
      </c>
      <c r="E151" s="1" t="e">
        <f t="array" aca="1" ref="E151" ca="1">_xludf.XLOOKUP(C151,'country region mapping'!$A$2:$A$267,'country region mapping'!$F$2:$F$267)</f>
        <v>#NAME?</v>
      </c>
      <c r="F151" s="1" t="e">
        <f t="array" aca="1" ref="F151" ca="1">_xludf.XLOOKUP(C151,'country region mapping'!$A$2:$A$267,'country region mapping'!$G$2:$G$267)</f>
        <v>#NAME?</v>
      </c>
      <c r="G151" s="1">
        <v>6.7590000000000003</v>
      </c>
      <c r="H151" s="1">
        <v>63</v>
      </c>
      <c r="I151" s="1">
        <v>92</v>
      </c>
      <c r="J151" s="1">
        <v>7</v>
      </c>
      <c r="K151" s="1">
        <v>30</v>
      </c>
      <c r="L151" s="1">
        <v>14</v>
      </c>
      <c r="M151" s="1">
        <v>23</v>
      </c>
      <c r="O151" s="1">
        <v>80</v>
      </c>
      <c r="P151" s="1">
        <v>58</v>
      </c>
      <c r="Q151" s="1">
        <v>23</v>
      </c>
      <c r="R151" s="1">
        <v>14</v>
      </c>
      <c r="S151" s="1">
        <v>68</v>
      </c>
    </row>
    <row r="152" spans="1:19">
      <c r="A152" s="1">
        <v>2024</v>
      </c>
      <c r="B152" s="1">
        <v>42</v>
      </c>
      <c r="C152" s="1" t="s">
        <v>69</v>
      </c>
      <c r="D152" s="1" t="e">
        <f t="array" aca="1" ref="D152" ca="1">_xludf.XLOOKUP(C152,'country region mapping'!$A$2:$A$250, 'country region mapping'!$E$2:$E$250)</f>
        <v>#NAME?</v>
      </c>
      <c r="E152" s="1" t="e">
        <f t="array" aca="1" ref="E152" ca="1">_xludf.XLOOKUP(C152,'country region mapping'!$A$2:$A$267,'country region mapping'!$F$2:$F$267)</f>
        <v>#NAME?</v>
      </c>
      <c r="F152" s="1" t="e">
        <f t="array" aca="1" ref="F152" ca="1">_xludf.XLOOKUP(C152,'country region mapping'!$A$2:$A$267,'country region mapping'!$G$2:$G$267)</f>
        <v>#NAME?</v>
      </c>
      <c r="G152" s="1">
        <v>6.3970000000000002</v>
      </c>
      <c r="H152" s="1">
        <v>38</v>
      </c>
      <c r="I152" s="1">
        <v>21</v>
      </c>
      <c r="J152" s="1">
        <v>52</v>
      </c>
      <c r="K152" s="1">
        <v>49</v>
      </c>
      <c r="L152" s="1">
        <v>47</v>
      </c>
      <c r="M152" s="1">
        <v>112</v>
      </c>
      <c r="N152" s="1">
        <v>75</v>
      </c>
      <c r="O152" s="1">
        <v>28</v>
      </c>
      <c r="P152" s="1">
        <v>59</v>
      </c>
      <c r="Q152" s="1">
        <v>112</v>
      </c>
      <c r="R152" s="1">
        <v>111</v>
      </c>
      <c r="S152" s="1">
        <v>55</v>
      </c>
    </row>
    <row r="153" spans="1:19">
      <c r="A153" s="1">
        <v>2024</v>
      </c>
      <c r="B153" s="1">
        <v>87</v>
      </c>
      <c r="C153" s="1" t="s">
        <v>192</v>
      </c>
      <c r="D153" s="1" t="e">
        <f t="array" aca="1" ref="D153" ca="1">_xludf.XLOOKUP(C153,'country region mapping'!$A$2:$A$250, 'country region mapping'!$E$2:$E$250)</f>
        <v>#NAME?</v>
      </c>
      <c r="E153" s="1" t="e">
        <f t="array" aca="1" ref="E153" ca="1">_xludf.XLOOKUP(C153,'country region mapping'!$A$2:$A$267,'country region mapping'!$F$2:$F$267)</f>
        <v>#NAME?</v>
      </c>
      <c r="F153" s="1" t="e">
        <f t="array" aca="1" ref="F153" ca="1">_xludf.XLOOKUP(C153,'country region mapping'!$A$2:$A$267,'country region mapping'!$G$2:$G$267)</f>
        <v>#NAME?</v>
      </c>
      <c r="G153" s="1">
        <v>5.4939999999999998</v>
      </c>
      <c r="H153" s="1">
        <v>70</v>
      </c>
      <c r="I153" s="1">
        <v>93</v>
      </c>
      <c r="J153" s="1">
        <v>61</v>
      </c>
      <c r="K153" s="1">
        <v>53</v>
      </c>
      <c r="L153" s="1">
        <v>60</v>
      </c>
      <c r="M153" s="1">
        <v>136</v>
      </c>
      <c r="N153" s="1">
        <v>51</v>
      </c>
      <c r="O153" s="1">
        <v>128</v>
      </c>
      <c r="P153" s="1">
        <v>138</v>
      </c>
      <c r="Q153" s="1">
        <v>136</v>
      </c>
      <c r="R153" s="1">
        <v>134</v>
      </c>
      <c r="S153" s="1">
        <v>97</v>
      </c>
    </row>
    <row r="154" spans="1:19">
      <c r="A154" s="1">
        <v>2024</v>
      </c>
      <c r="B154" s="1">
        <v>11</v>
      </c>
      <c r="C154" s="1" t="s">
        <v>43</v>
      </c>
      <c r="D154" s="1" t="e">
        <f t="array" aca="1" ref="D154" ca="1">_xludf.XLOOKUP(C154,'country region mapping'!$A$2:$A$250, 'country region mapping'!$E$2:$E$250)</f>
        <v>#NAME?</v>
      </c>
      <c r="E154" s="1" t="e">
        <f t="array" aca="1" ref="E154" ca="1">_xludf.XLOOKUP(C154,'country region mapping'!$A$2:$A$267,'country region mapping'!$F$2:$F$267)</f>
        <v>#NAME?</v>
      </c>
      <c r="F154" s="1" t="e">
        <f t="array" aca="1" ref="F154" ca="1">_xludf.XLOOKUP(C154,'country region mapping'!$A$2:$A$267,'country region mapping'!$G$2:$G$267)</f>
        <v>#NAME?</v>
      </c>
      <c r="G154" s="1">
        <v>6.9740000000000002</v>
      </c>
      <c r="H154" s="1">
        <v>36</v>
      </c>
      <c r="I154" s="1">
        <v>42</v>
      </c>
      <c r="J154" s="1">
        <v>13</v>
      </c>
      <c r="K154" s="1">
        <v>12</v>
      </c>
      <c r="L154" s="1">
        <v>49</v>
      </c>
      <c r="M154" s="1">
        <v>22</v>
      </c>
      <c r="N154" s="1">
        <v>19</v>
      </c>
      <c r="O154" s="1">
        <v>51</v>
      </c>
      <c r="P154" s="1">
        <v>72</v>
      </c>
      <c r="Q154" s="1">
        <v>22</v>
      </c>
      <c r="R154" s="1">
        <v>40</v>
      </c>
      <c r="S154" s="1">
        <v>28</v>
      </c>
    </row>
    <row r="155" spans="1:19">
      <c r="A155" s="1">
        <v>2024</v>
      </c>
      <c r="B155" s="1">
        <v>17</v>
      </c>
      <c r="C155" s="1" t="s">
        <v>49</v>
      </c>
      <c r="D155" s="1" t="e">
        <f t="array" aca="1" ref="D155" ca="1">_xludf.XLOOKUP(C155,'country region mapping'!$A$2:$A$250, 'country region mapping'!$E$2:$E$250)</f>
        <v>#NAME?</v>
      </c>
      <c r="E155" s="1" t="e">
        <f t="array" aca="1" ref="E155" ca="1">_xludf.XLOOKUP(C155,'country region mapping'!$A$2:$A$267,'country region mapping'!$F$2:$F$267)</f>
        <v>#NAME?</v>
      </c>
      <c r="F155" s="1" t="e">
        <f t="array" aca="1" ref="F155" ca="1">_xludf.XLOOKUP(C155,'country region mapping'!$A$2:$A$267,'country region mapping'!$G$2:$G$267)</f>
        <v>#NAME?</v>
      </c>
      <c r="G155" s="1">
        <v>6.81</v>
      </c>
      <c r="H155" s="1">
        <v>18</v>
      </c>
      <c r="I155" s="1">
        <v>25</v>
      </c>
      <c r="J155" s="1">
        <v>10</v>
      </c>
      <c r="K155" s="1">
        <v>19</v>
      </c>
      <c r="L155" s="1">
        <v>54</v>
      </c>
      <c r="M155" s="1">
        <v>7</v>
      </c>
      <c r="N155" s="1">
        <v>18</v>
      </c>
      <c r="O155" s="1">
        <v>62</v>
      </c>
      <c r="P155" s="1">
        <v>32</v>
      </c>
      <c r="Q155" s="1">
        <v>7</v>
      </c>
      <c r="R155" s="1">
        <v>48</v>
      </c>
      <c r="S155" s="1">
        <v>85</v>
      </c>
    </row>
    <row r="156" spans="1:19">
      <c r="A156" s="1">
        <v>2024</v>
      </c>
      <c r="B156" s="1">
        <v>106</v>
      </c>
      <c r="C156" s="1" t="s">
        <v>140</v>
      </c>
      <c r="D156" s="1" t="e">
        <f t="array" aca="1" ref="D156" ca="1">_xludf.XLOOKUP(C156,'country region mapping'!$A$2:$A$250, 'country region mapping'!$E$2:$E$250)</f>
        <v>#NAME?</v>
      </c>
      <c r="E156" s="1" t="e">
        <f t="array" aca="1" ref="E156" ca="1">_xludf.XLOOKUP(C156,'country region mapping'!$A$2:$A$267,'country region mapping'!$F$2:$F$267)</f>
        <v>#NAME?</v>
      </c>
      <c r="F156" s="1" t="e">
        <f t="array" aca="1" ref="F156" ca="1">_xludf.XLOOKUP(C156,'country region mapping'!$A$2:$A$267,'country region mapping'!$G$2:$G$267)</f>
        <v>#NAME?</v>
      </c>
      <c r="G156" s="1">
        <v>4.875</v>
      </c>
      <c r="H156" s="1">
        <v>35</v>
      </c>
      <c r="I156" s="1">
        <v>117</v>
      </c>
      <c r="J156" s="1">
        <v>58</v>
      </c>
      <c r="K156" s="1"/>
      <c r="L156" s="1">
        <v>67</v>
      </c>
      <c r="M156" s="1">
        <v>95</v>
      </c>
      <c r="N156" s="1">
        <v>45</v>
      </c>
      <c r="O156" s="1">
        <v>136</v>
      </c>
      <c r="P156" s="1">
        <v>12</v>
      </c>
      <c r="Q156" s="1">
        <v>95</v>
      </c>
      <c r="R156" s="1">
        <v>131</v>
      </c>
      <c r="S156" s="1">
        <v>64</v>
      </c>
    </row>
    <row r="157" spans="1:19">
      <c r="A157" s="1">
        <v>2024</v>
      </c>
      <c r="B157" s="1">
        <v>29</v>
      </c>
      <c r="C157" s="1" t="s">
        <v>135</v>
      </c>
      <c r="D157" s="1" t="e">
        <f t="array" aca="1" ref="D157" ca="1">_xludf.XLOOKUP(C157,'country region mapping'!$A$2:$A$267,'country region mapping'!$E$2:$E$267)</f>
        <v>#NAME?</v>
      </c>
      <c r="E157" s="1" t="e">
        <f t="array" aca="1" ref="E157" ca="1">_xludf.XLOOKUP(C157,'country region mapping'!$A$2:$A$267,'country region mapping'!$F$2:$F$267)</f>
        <v>#NAME?</v>
      </c>
      <c r="F157" s="1" t="e">
        <f t="array" aca="1" ref="F157" ca="1">_xludf.XLOOKUP(C157,'country region mapping'!$A$2:$A$267,'country region mapping'!$G$2:$G$267)</f>
        <v>#NAME?</v>
      </c>
      <c r="G157" s="1">
        <v>6.6589999999999998</v>
      </c>
      <c r="H157" s="1">
        <v>41</v>
      </c>
      <c r="I157" s="1">
        <v>70</v>
      </c>
      <c r="J157" s="1">
        <v>77</v>
      </c>
      <c r="K157" s="1"/>
      <c r="L157" s="1">
        <v>28</v>
      </c>
      <c r="M157" s="1">
        <v>17</v>
      </c>
      <c r="N157" s="1">
        <v>69</v>
      </c>
      <c r="O157" s="1">
        <v>74</v>
      </c>
      <c r="Q157" s="1">
        <v>17</v>
      </c>
      <c r="R157" s="1">
        <v>130</v>
      </c>
      <c r="S157" s="1">
        <v>51</v>
      </c>
    </row>
    <row r="158" spans="1:19">
      <c r="A158" s="1">
        <v>2024</v>
      </c>
      <c r="B158" s="1">
        <v>134</v>
      </c>
      <c r="C158" s="1" t="s">
        <v>176</v>
      </c>
      <c r="D158" s="1" t="e">
        <f t="array" aca="1" ref="D158" ca="1">_xludf.XLOOKUP(C158,'country region mapping'!$A$2:$A$250, 'country region mapping'!$E$2:$E$250)</f>
        <v>#NAME?</v>
      </c>
      <c r="E158" s="1" t="e">
        <f t="array" aca="1" ref="E158" ca="1">_xludf.XLOOKUP(C158,'country region mapping'!$A$2:$A$267,'country region mapping'!$F$2:$F$267)</f>
        <v>#NAME?</v>
      </c>
      <c r="F158" s="1" t="e">
        <f t="array" aca="1" ref="F158" ca="1">_xludf.XLOOKUP(C158,'country region mapping'!$A$2:$A$267,'country region mapping'!$G$2:$G$267)</f>
        <v>#NAME?</v>
      </c>
      <c r="G158" s="1">
        <v>3.851</v>
      </c>
      <c r="H158" s="1">
        <v>86</v>
      </c>
      <c r="I158" s="1">
        <v>142</v>
      </c>
      <c r="J158" s="1">
        <v>96</v>
      </c>
      <c r="K158" s="1">
        <v>68</v>
      </c>
      <c r="L158" s="1">
        <v>12</v>
      </c>
      <c r="M158" s="1">
        <v>50</v>
      </c>
      <c r="N158" s="1">
        <v>105</v>
      </c>
      <c r="O158" s="1">
        <v>137</v>
      </c>
      <c r="P158" s="1">
        <v>115</v>
      </c>
      <c r="Q158" s="1">
        <v>50</v>
      </c>
      <c r="R158" s="1">
        <v>94</v>
      </c>
      <c r="S158" s="1">
        <v>15</v>
      </c>
    </row>
    <row r="159" spans="1:19">
      <c r="A159" s="1">
        <v>2024</v>
      </c>
      <c r="B159" s="1">
        <v>14</v>
      </c>
      <c r="C159" s="1" t="s">
        <v>415</v>
      </c>
      <c r="D159" s="1" t="e">
        <f t="array" aca="1" ref="D159" ca="1">_xludf.XLOOKUP(C159,'country region mapping'!$A$2:$A$250, 'country region mapping'!$E$2:$E$250)</f>
        <v>#NAME?</v>
      </c>
      <c r="E159" s="1" t="e">
        <f t="array" aca="1" ref="E159" ca="1">_xludf.XLOOKUP(C159,'country region mapping'!$A$2:$A$267,'country region mapping'!$F$2:$F$267)</f>
        <v>#NAME?</v>
      </c>
      <c r="F159" s="1" t="e">
        <f t="array" aca="1" ref="F159" ca="1">_xludf.XLOOKUP(C159,'country region mapping'!$A$2:$A$267,'country region mapping'!$G$2:$G$267)</f>
        <v>#NAME?</v>
      </c>
      <c r="G159" s="1">
        <v>6.91</v>
      </c>
      <c r="H159" s="1">
        <v>4</v>
      </c>
      <c r="I159" s="1">
        <v>31</v>
      </c>
      <c r="J159" s="1">
        <v>11</v>
      </c>
      <c r="K159" s="1">
        <v>20</v>
      </c>
      <c r="L159" s="1">
        <v>26</v>
      </c>
      <c r="M159" s="1">
        <v>48</v>
      </c>
      <c r="N159" s="1">
        <v>14</v>
      </c>
      <c r="O159" s="1">
        <v>58</v>
      </c>
      <c r="P159" s="1">
        <v>37</v>
      </c>
      <c r="Q159" s="1">
        <v>48</v>
      </c>
      <c r="R159" s="1">
        <v>61</v>
      </c>
      <c r="S159" s="1">
        <v>114</v>
      </c>
    </row>
    <row r="160" spans="1:19">
      <c r="A160" s="1">
        <v>2024</v>
      </c>
      <c r="B160" s="1">
        <v>25</v>
      </c>
      <c r="C160" s="1" t="s">
        <v>103</v>
      </c>
      <c r="D160" s="1" t="e">
        <f t="array" aca="1" ref="D160" ca="1">_xludf.XLOOKUP(C160,'country region mapping'!$A$2:$A$250, 'country region mapping'!$E$2:$E$250)</f>
        <v>#NAME?</v>
      </c>
      <c r="E160" s="1" t="e">
        <f t="array" aca="1" ref="E160" ca="1">_xludf.XLOOKUP(C160,'country region mapping'!$A$2:$A$267,'country region mapping'!$F$2:$F$267)</f>
        <v>#NAME?</v>
      </c>
      <c r="F160" s="1" t="e">
        <f t="array" aca="1" ref="F160" ca="1">_xludf.XLOOKUP(C160,'country region mapping'!$A$2:$A$267,'country region mapping'!$G$2:$G$267)</f>
        <v>#NAME?</v>
      </c>
      <c r="G160" s="1">
        <v>6.7110000000000003</v>
      </c>
      <c r="H160" s="1">
        <v>99</v>
      </c>
      <c r="I160" s="1">
        <v>57</v>
      </c>
      <c r="J160" s="1">
        <v>83</v>
      </c>
      <c r="K160" s="1">
        <v>1</v>
      </c>
      <c r="L160" s="1"/>
      <c r="M160" s="1">
        <v>96</v>
      </c>
      <c r="N160" s="1">
        <v>92</v>
      </c>
      <c r="O160" s="1">
        <v>13</v>
      </c>
      <c r="P160" s="1">
        <v>16</v>
      </c>
      <c r="Q160" s="1">
        <v>96</v>
      </c>
      <c r="R160" s="1">
        <v>37</v>
      </c>
      <c r="S160" s="1">
        <v>21</v>
      </c>
    </row>
    <row r="161" spans="1:19">
      <c r="A161" s="1">
        <v>2024</v>
      </c>
      <c r="B161" s="1">
        <v>121</v>
      </c>
      <c r="C161" s="1" t="s">
        <v>244</v>
      </c>
      <c r="D161" s="1" t="e">
        <f t="array" aca="1" ref="D161" ca="1">_xludf.XLOOKUP(C161,'country region mapping'!$A$2:$A$250, 'country region mapping'!$E$2:$E$250)</f>
        <v>#NAME?</v>
      </c>
      <c r="E161" s="1" t="e">
        <f t="array" aca="1" ref="E161" ca="1">_xludf.XLOOKUP(C161,'country region mapping'!$A$2:$A$267,'country region mapping'!$F$2:$F$267)</f>
        <v>#NAME?</v>
      </c>
      <c r="F161" s="1" t="e">
        <f t="array" aca="1" ref="F161" ca="1">_xludf.XLOOKUP(C161,'country region mapping'!$A$2:$A$267,'country region mapping'!$G$2:$G$267)</f>
        <v>#NAME?</v>
      </c>
      <c r="G161" s="1">
        <v>4.3570000000000002</v>
      </c>
      <c r="H161" s="1">
        <v>124</v>
      </c>
      <c r="I161" s="1">
        <v>141</v>
      </c>
      <c r="J161" s="1">
        <v>115</v>
      </c>
      <c r="K161" s="1">
        <v>103</v>
      </c>
      <c r="L161" s="1">
        <v>107</v>
      </c>
      <c r="M161" s="1">
        <v>100</v>
      </c>
      <c r="N161" s="1">
        <v>25</v>
      </c>
      <c r="O161" s="1">
        <v>97</v>
      </c>
      <c r="P161" s="1">
        <v>134</v>
      </c>
      <c r="Q161" s="1">
        <v>100</v>
      </c>
      <c r="R161" s="1">
        <v>69</v>
      </c>
      <c r="S161" s="1">
        <v>110</v>
      </c>
    </row>
    <row r="162" spans="1:19">
      <c r="A162" s="1">
        <v>2024</v>
      </c>
      <c r="B162" s="1">
        <v>74</v>
      </c>
      <c r="C162" s="1" t="s">
        <v>112</v>
      </c>
      <c r="D162" s="1" t="e">
        <f t="array" aca="1" ref="D162" ca="1">_xludf.XLOOKUP(C162,'country region mapping'!$A$2:$A$267,'country region mapping'!$E$2:$E$267)</f>
        <v>#NAME?</v>
      </c>
      <c r="E162" s="1" t="e">
        <f t="array" aca="1" ref="E162" ca="1">_xludf.XLOOKUP(C162,'country region mapping'!$A$2:$A$267,'country region mapping'!$F$2:$F$267)</f>
        <v>#NAME?</v>
      </c>
      <c r="F162" s="1" t="e">
        <f t="array" aca="1" ref="F162" ca="1">_xludf.XLOOKUP(C162,'country region mapping'!$A$2:$A$267,'country region mapping'!$G$2:$G$267)</f>
        <v>#NAME?</v>
      </c>
      <c r="G162" s="1">
        <v>5.8680000000000003</v>
      </c>
      <c r="H162" s="1">
        <v>96</v>
      </c>
      <c r="I162" s="1">
        <v>86</v>
      </c>
      <c r="J162" s="1">
        <v>92</v>
      </c>
      <c r="K162" s="1">
        <v>98</v>
      </c>
      <c r="L162" s="1">
        <v>76</v>
      </c>
      <c r="M162" s="1">
        <v>127</v>
      </c>
      <c r="N162" s="1">
        <v>98</v>
      </c>
      <c r="O162" s="1">
        <v>42</v>
      </c>
      <c r="P162" s="1">
        <v>123</v>
      </c>
      <c r="Q162" s="1">
        <v>127</v>
      </c>
      <c r="R162" s="1">
        <v>96</v>
      </c>
      <c r="S162" s="1">
        <v>116</v>
      </c>
    </row>
    <row r="163" spans="1:19">
      <c r="A163" s="1">
        <v>2024</v>
      </c>
      <c r="B163" s="1">
        <v>56</v>
      </c>
      <c r="C163" s="1" t="s">
        <v>146</v>
      </c>
      <c r="D163" s="1" t="e">
        <f t="array" aca="1" ref="D163" ca="1">_xludf.XLOOKUP(C163,'country region mapping'!$A$2:$A$250, 'country region mapping'!$E$2:$E$250)</f>
        <v>#NAME?</v>
      </c>
      <c r="E163" s="1" t="e">
        <f t="array" aca="1" ref="E163" ca="1">_xludf.XLOOKUP(C163,'country region mapping'!$A$2:$A$267,'country region mapping'!$F$2:$F$267)</f>
        <v>#NAME?</v>
      </c>
      <c r="F163" s="1" t="e">
        <f t="array" aca="1" ref="F163" ca="1">_xludf.XLOOKUP(C163,'country region mapping'!$A$2:$A$267,'country region mapping'!$G$2:$G$267)</f>
        <v>#NAME?</v>
      </c>
      <c r="G163" s="1">
        <v>6.1360000000000001</v>
      </c>
      <c r="H163" s="1">
        <v>66</v>
      </c>
      <c r="I163" s="1">
        <v>47</v>
      </c>
      <c r="J163" s="1">
        <v>60</v>
      </c>
      <c r="K163" s="1">
        <v>46</v>
      </c>
      <c r="L163" s="1">
        <v>89</v>
      </c>
      <c r="M163" s="1">
        <v>28</v>
      </c>
      <c r="N163" s="1">
        <v>124</v>
      </c>
      <c r="O163" s="1">
        <v>96</v>
      </c>
      <c r="P163" s="1">
        <v>69</v>
      </c>
      <c r="Q163" s="1">
        <v>28</v>
      </c>
      <c r="R163" s="1">
        <v>120</v>
      </c>
      <c r="S163" s="1">
        <v>117</v>
      </c>
    </row>
    <row r="164" spans="1:19">
      <c r="A164" s="1">
        <v>2024</v>
      </c>
      <c r="B164" s="1">
        <v>142</v>
      </c>
      <c r="C164" s="1" t="s">
        <v>218</v>
      </c>
      <c r="D164" s="1" t="e">
        <f t="array" aca="1" ref="D164" ca="1">_xludf.XLOOKUP(C164,'country region mapping'!$A$2:$A$250, 'country region mapping'!$E$2:$E$250)</f>
        <v>#NAME?</v>
      </c>
      <c r="E164" s="1" t="e">
        <f t="array" aca="1" ref="E164" ca="1">_xludf.XLOOKUP(C164,'country region mapping'!$A$2:$A$267,'country region mapping'!$F$2:$F$267)</f>
        <v>#NAME?</v>
      </c>
      <c r="F164" s="1" t="e">
        <f t="array" aca="1" ref="F164" ca="1">_xludf.XLOOKUP(C164,'country region mapping'!$A$2:$A$267,'country region mapping'!$G$2:$G$267)</f>
        <v>#NAME?</v>
      </c>
      <c r="G164" s="1">
        <v>3.4380000000000002</v>
      </c>
      <c r="H164" s="1">
        <v>119</v>
      </c>
      <c r="I164" s="1">
        <v>110</v>
      </c>
      <c r="J164" s="1">
        <v>63</v>
      </c>
      <c r="K164" s="1"/>
      <c r="L164" s="1">
        <v>86</v>
      </c>
      <c r="M164" s="1">
        <v>125</v>
      </c>
      <c r="N164" s="1">
        <v>81</v>
      </c>
      <c r="O164" s="1">
        <v>75</v>
      </c>
      <c r="P164" s="1">
        <v>67</v>
      </c>
      <c r="Q164" s="1">
        <v>125</v>
      </c>
      <c r="R164" s="1">
        <v>95</v>
      </c>
      <c r="S164" s="1">
        <v>10</v>
      </c>
    </row>
    <row r="165" spans="1:19">
      <c r="A165" s="1">
        <v>2024</v>
      </c>
      <c r="B165" s="1">
        <v>36</v>
      </c>
      <c r="C165" s="1" t="s">
        <v>54</v>
      </c>
      <c r="D165" s="1" t="e">
        <f t="array" aca="1" ref="D165" ca="1">_xludf.XLOOKUP(C165,'country region mapping'!$A$2:$A$250, 'country region mapping'!$E$2:$E$250)</f>
        <v>#NAME?</v>
      </c>
      <c r="E165" s="1" t="e">
        <f t="array" aca="1" ref="E165" ca="1">_xludf.XLOOKUP(C165,'country region mapping'!$A$2:$A$267,'country region mapping'!$F$2:$F$267)</f>
        <v>#NAME?</v>
      </c>
      <c r="F165" s="1" t="e">
        <f t="array" aca="1" ref="F165" ca="1">_xludf.XLOOKUP(C165,'country region mapping'!$A$2:$A$267,'country region mapping'!$G$2:$G$267)</f>
        <v>#NAME?</v>
      </c>
      <c r="G165" s="1">
        <v>6.4939999999999998</v>
      </c>
      <c r="H165" s="1">
        <v>79</v>
      </c>
      <c r="I165" s="1">
        <v>56</v>
      </c>
      <c r="J165" s="1">
        <v>62</v>
      </c>
      <c r="K165" s="1">
        <v>75</v>
      </c>
      <c r="L165" s="1">
        <v>59</v>
      </c>
      <c r="M165" s="1">
        <v>71</v>
      </c>
      <c r="N165" s="1">
        <v>66</v>
      </c>
      <c r="O165" s="1">
        <v>49</v>
      </c>
      <c r="P165" s="1">
        <v>90</v>
      </c>
      <c r="Q165" s="1">
        <v>71</v>
      </c>
      <c r="R165" s="1">
        <v>88</v>
      </c>
      <c r="S165" s="1">
        <v>50</v>
      </c>
    </row>
    <row r="166" spans="1:19">
      <c r="A166" s="1">
        <v>2024</v>
      </c>
      <c r="B166" s="1">
        <v>85</v>
      </c>
      <c r="C166" s="1" t="s">
        <v>205</v>
      </c>
      <c r="D166" s="1" t="e">
        <f t="array" aca="1" ref="D166" ca="1">_xludf.XLOOKUP(C166,'country region mapping'!$A$2:$A$250, 'country region mapping'!$E$2:$E$250)</f>
        <v>#NAME?</v>
      </c>
      <c r="E166" s="1" t="e">
        <f t="array" aca="1" ref="E166" ca="1">_xludf.XLOOKUP(C166,'country region mapping'!$A$2:$A$267,'country region mapping'!$F$2:$F$267)</f>
        <v>#NAME?</v>
      </c>
      <c r="F166" s="1" t="e">
        <f t="array" aca="1" ref="F166" ca="1">_xludf.XLOOKUP(C166,'country region mapping'!$A$2:$A$267,'country region mapping'!$G$2:$G$267)</f>
        <v>#NAME?</v>
      </c>
      <c r="G166" s="1">
        <v>5.5540000000000003</v>
      </c>
      <c r="H166" s="1">
        <v>40</v>
      </c>
      <c r="I166" s="1">
        <v>15</v>
      </c>
      <c r="J166" s="1">
        <v>44</v>
      </c>
      <c r="K166" s="1">
        <v>71</v>
      </c>
      <c r="L166" s="1">
        <v>83</v>
      </c>
      <c r="M166" s="1">
        <v>85</v>
      </c>
      <c r="N166" s="1">
        <v>130</v>
      </c>
      <c r="O166" s="1">
        <v>108</v>
      </c>
      <c r="P166" s="1">
        <v>15</v>
      </c>
      <c r="Q166" s="1">
        <v>85</v>
      </c>
      <c r="R166" s="1">
        <v>141</v>
      </c>
      <c r="S166" s="1">
        <v>104</v>
      </c>
    </row>
    <row r="167" spans="1:19">
      <c r="A167" s="1">
        <v>2024</v>
      </c>
      <c r="B167" s="1">
        <v>120</v>
      </c>
      <c r="C167" s="1" t="s">
        <v>229</v>
      </c>
      <c r="D167" s="1" t="e">
        <f t="array" aca="1" ref="D167" ca="1">_xludf.XLOOKUP(C167,'country region mapping'!$A$2:$A$250, 'country region mapping'!$E$2:$E$250)</f>
        <v>#NAME?</v>
      </c>
      <c r="E167" s="1" t="e">
        <f t="array" aca="1" ref="E167" ca="1">_xludf.XLOOKUP(C167,'country region mapping'!$A$2:$A$267,'country region mapping'!$F$2:$F$267)</f>
        <v>#NAME?</v>
      </c>
      <c r="F167" s="1" t="e">
        <f t="array" aca="1" ref="F167" ca="1">_xludf.XLOOKUP(C167,'country region mapping'!$A$2:$A$267,'country region mapping'!$G$2:$G$267)</f>
        <v>#NAME?</v>
      </c>
      <c r="G167" s="1">
        <v>4.383</v>
      </c>
      <c r="H167" s="1">
        <v>80</v>
      </c>
      <c r="I167" s="1">
        <v>124</v>
      </c>
      <c r="J167" s="1">
        <v>126</v>
      </c>
      <c r="K167" s="1">
        <v>107</v>
      </c>
      <c r="L167" s="1">
        <v>97</v>
      </c>
      <c r="M167" s="1">
        <v>81</v>
      </c>
      <c r="N167" s="1">
        <v>24</v>
      </c>
      <c r="O167" s="1">
        <v>79</v>
      </c>
      <c r="P167" s="1">
        <v>120</v>
      </c>
      <c r="Q167" s="1">
        <v>81</v>
      </c>
      <c r="R167" s="1">
        <v>42</v>
      </c>
      <c r="S167" s="1">
        <v>45</v>
      </c>
    </row>
    <row r="168" spans="1:19">
      <c r="A168" s="1">
        <v>2024</v>
      </c>
      <c r="B168" s="1">
        <v>124</v>
      </c>
      <c r="C168" s="1" t="s">
        <v>221</v>
      </c>
      <c r="D168" s="1" t="e">
        <f t="array" aca="1" ref="D168" ca="1">_xludf.XLOOKUP(C168,'country region mapping'!$A$2:$A$250, 'country region mapping'!$E$2:$E$250)</f>
        <v>#NAME?</v>
      </c>
      <c r="E168" s="1" t="e">
        <f t="array" aca="1" ref="E168" ca="1">_xludf.XLOOKUP(C168,'country region mapping'!$A$2:$A$267,'country region mapping'!$F$2:$F$267)</f>
        <v>#NAME?</v>
      </c>
      <c r="F168" s="1" t="e">
        <f t="array" aca="1" ref="F168" ca="1">_xludf.XLOOKUP(C168,'country region mapping'!$A$2:$A$267,'country region mapping'!$G$2:$G$267)</f>
        <v>#NAME?</v>
      </c>
      <c r="G168" s="1">
        <v>4.3410000000000002</v>
      </c>
      <c r="H168" s="1">
        <v>83</v>
      </c>
      <c r="I168" s="1">
        <v>106</v>
      </c>
      <c r="J168" s="1">
        <v>99</v>
      </c>
      <c r="K168" s="1">
        <v>86</v>
      </c>
      <c r="L168" s="1">
        <v>7</v>
      </c>
      <c r="M168" s="1">
        <v>62</v>
      </c>
      <c r="N168" s="1">
        <v>83</v>
      </c>
      <c r="O168" s="1">
        <v>44</v>
      </c>
      <c r="P168" s="1">
        <v>132</v>
      </c>
      <c r="Q168" s="1">
        <v>62</v>
      </c>
      <c r="R168" s="1">
        <v>139</v>
      </c>
      <c r="S168" s="1">
        <v>140</v>
      </c>
    </row>
    <row r="169" spans="1:19">
      <c r="A169" s="1">
        <v>2024</v>
      </c>
      <c r="B169" s="1">
        <v>104</v>
      </c>
      <c r="C169" s="1" t="s">
        <v>182</v>
      </c>
      <c r="D169" s="1" t="e">
        <f t="array" aca="1" ref="D169" ca="1">_xludf.XLOOKUP(C169,'country region mapping'!$A$2:$A$250, 'country region mapping'!$E$2:$E$250)</f>
        <v>#NAME?</v>
      </c>
      <c r="E169" s="1" t="e">
        <f t="array" aca="1" ref="E169" ca="1">_xludf.XLOOKUP(C169,'country region mapping'!$A$2:$A$267,'country region mapping'!$F$2:$F$267)</f>
        <v>#NAME?</v>
      </c>
      <c r="F169" s="1" t="e">
        <f t="array" aca="1" ref="F169" ca="1">_xludf.XLOOKUP(C169,'country region mapping'!$A$2:$A$267,'country region mapping'!$G$2:$G$267)</f>
        <v>#NAME?</v>
      </c>
      <c r="G169" s="1">
        <v>4.8869999999999996</v>
      </c>
      <c r="H169" s="1">
        <v>122</v>
      </c>
      <c r="I169" s="1">
        <v>123</v>
      </c>
      <c r="J169" s="1">
        <v>111</v>
      </c>
      <c r="K169" s="1">
        <v>108</v>
      </c>
      <c r="L169" s="1">
        <v>85</v>
      </c>
      <c r="M169" s="1">
        <v>98</v>
      </c>
      <c r="N169" s="1">
        <v>100</v>
      </c>
      <c r="O169" s="1">
        <v>104</v>
      </c>
      <c r="P169" s="1">
        <v>105</v>
      </c>
      <c r="Q169" s="1">
        <v>98</v>
      </c>
      <c r="R169" s="1">
        <v>58</v>
      </c>
      <c r="S169" s="1">
        <v>38</v>
      </c>
    </row>
    <row r="170" spans="1:19">
      <c r="A170" s="1">
        <v>2024</v>
      </c>
      <c r="B170" s="1">
        <v>18</v>
      </c>
      <c r="C170" s="1" t="s">
        <v>38</v>
      </c>
      <c r="D170" s="1" t="e">
        <f t="array" aca="1" ref="D170" ca="1">_xludf.XLOOKUP(C170,'country region mapping'!$A$2:$A$250, 'country region mapping'!$E$2:$E$250)</f>
        <v>#NAME?</v>
      </c>
      <c r="E170" s="1" t="e">
        <f t="array" aca="1" ref="E170" ca="1">_xludf.XLOOKUP(C170,'country region mapping'!$A$2:$A$267,'country region mapping'!$F$2:$F$267)</f>
        <v>#NAME?</v>
      </c>
      <c r="F170" s="1" t="e">
        <f t="array" aca="1" ref="F170" ca="1">_xludf.XLOOKUP(C170,'country region mapping'!$A$2:$A$267,'country region mapping'!$G$2:$G$267)</f>
        <v>#NAME?</v>
      </c>
      <c r="G170" s="1">
        <v>6.8029999999999999</v>
      </c>
      <c r="H170" s="1">
        <v>44</v>
      </c>
      <c r="I170" s="1">
        <v>35</v>
      </c>
      <c r="J170" s="1">
        <v>16</v>
      </c>
      <c r="K170" s="1">
        <v>21</v>
      </c>
      <c r="L170" s="1">
        <v>68</v>
      </c>
      <c r="M170" s="1">
        <v>27</v>
      </c>
      <c r="N170" s="1">
        <v>15</v>
      </c>
      <c r="O170" s="1">
        <v>56</v>
      </c>
      <c r="P170" s="1">
        <v>92</v>
      </c>
      <c r="Q170" s="1">
        <v>27</v>
      </c>
      <c r="R170" s="1">
        <v>22</v>
      </c>
      <c r="S170" s="1">
        <v>43</v>
      </c>
    </row>
    <row r="171" spans="1:19">
      <c r="A171" s="1">
        <v>2024</v>
      </c>
      <c r="B171" s="1">
        <v>119</v>
      </c>
      <c r="C171" s="1" t="s">
        <v>227</v>
      </c>
      <c r="D171" s="1" t="e">
        <f t="array" aca="1" ref="D171" ca="1">_xludf.XLOOKUP(C171,'country region mapping'!$A$2:$A$250, 'country region mapping'!$E$2:$E$250)</f>
        <v>#NAME?</v>
      </c>
      <c r="E171" s="1" t="e">
        <f t="array" aca="1" ref="E171" ca="1">_xludf.XLOOKUP(C171,'country region mapping'!$A$2:$A$267,'country region mapping'!$F$2:$F$267)</f>
        <v>#NAME?</v>
      </c>
      <c r="F171" s="1" t="e">
        <f t="array" aca="1" ref="F171" ca="1">_xludf.XLOOKUP(C171,'country region mapping'!$A$2:$A$267,'country region mapping'!$G$2:$G$267)</f>
        <v>#NAME?</v>
      </c>
      <c r="G171" s="1">
        <v>4.3840000000000003</v>
      </c>
      <c r="H171" s="1">
        <v>120</v>
      </c>
      <c r="I171" s="1">
        <v>135</v>
      </c>
      <c r="J171" s="1">
        <v>131</v>
      </c>
      <c r="K171" s="1"/>
      <c r="L171" s="1">
        <v>133</v>
      </c>
      <c r="M171" s="1">
        <v>53</v>
      </c>
      <c r="N171" s="1">
        <v>63</v>
      </c>
      <c r="O171" s="1">
        <v>122</v>
      </c>
      <c r="P171" s="1">
        <v>143</v>
      </c>
      <c r="Q171" s="1">
        <v>53</v>
      </c>
      <c r="R171" s="1">
        <v>10</v>
      </c>
      <c r="S171" s="1">
        <v>25</v>
      </c>
    </row>
    <row r="172" spans="1:19">
      <c r="A172" s="1">
        <v>2024</v>
      </c>
      <c r="B172" s="1">
        <v>45</v>
      </c>
      <c r="C172" s="1" t="s">
        <v>66</v>
      </c>
      <c r="D172" s="1" t="e">
        <f t="array" aca="1" ref="D172" ca="1">_xludf.XLOOKUP(C172,'country region mapping'!$A$2:$A$250, 'country region mapping'!$E$2:$E$250)</f>
        <v>#NAME?</v>
      </c>
      <c r="E172" s="1" t="e">
        <f t="array" aca="1" ref="E172" ca="1">_xludf.XLOOKUP(C172,'country region mapping'!$A$2:$A$267,'country region mapping'!$F$2:$F$267)</f>
        <v>#NAME?</v>
      </c>
      <c r="F172" s="1" t="e">
        <f t="array" aca="1" ref="F172" ca="1">_xludf.XLOOKUP(C172,'country region mapping'!$A$2:$A$267,'country region mapping'!$G$2:$G$267)</f>
        <v>#NAME?</v>
      </c>
      <c r="G172" s="1">
        <v>6.3609999999999998</v>
      </c>
      <c r="H172" s="1">
        <v>53</v>
      </c>
      <c r="I172" s="1">
        <v>43</v>
      </c>
      <c r="J172" s="1">
        <v>47</v>
      </c>
      <c r="K172" s="1">
        <v>28</v>
      </c>
      <c r="L172" s="1">
        <v>63</v>
      </c>
      <c r="M172" s="1">
        <v>75</v>
      </c>
      <c r="N172" s="1">
        <v>85</v>
      </c>
      <c r="O172" s="1">
        <v>21</v>
      </c>
      <c r="P172" s="1">
        <v>73</v>
      </c>
      <c r="Q172" s="1">
        <v>75</v>
      </c>
      <c r="R172" s="1">
        <v>104</v>
      </c>
      <c r="S172" s="1">
        <v>31</v>
      </c>
    </row>
    <row r="173" spans="1:19">
      <c r="A173" s="1">
        <v>2024</v>
      </c>
      <c r="B173" s="1">
        <v>30</v>
      </c>
      <c r="C173" s="1" t="s">
        <v>88</v>
      </c>
      <c r="D173" s="1" t="e">
        <f t="array" aca="1" ref="D173" ca="1">_xludf.XLOOKUP(C173,'country region mapping'!$A$2:$A$250, 'country region mapping'!$E$2:$E$250)</f>
        <v>#NAME?</v>
      </c>
      <c r="E173" s="1" t="e">
        <f t="array" aca="1" ref="E173" ca="1">_xludf.XLOOKUP(C173,'country region mapping'!$A$2:$A$267,'country region mapping'!$F$2:$F$267)</f>
        <v>#NAME?</v>
      </c>
      <c r="F173" s="1" t="e">
        <f t="array" aca="1" ref="F173" ca="1">_xludf.XLOOKUP(C173,'country region mapping'!$A$2:$A$267,'country region mapping'!$G$2:$G$267)</f>
        <v>#NAME?</v>
      </c>
      <c r="G173" s="1">
        <v>6.6289999999999996</v>
      </c>
      <c r="H173" s="1">
        <v>125</v>
      </c>
      <c r="I173" s="1">
        <v>87</v>
      </c>
      <c r="J173" s="1">
        <v>29</v>
      </c>
      <c r="K173" s="1"/>
      <c r="L173" s="1">
        <v>42</v>
      </c>
      <c r="M173" s="1">
        <v>41</v>
      </c>
      <c r="O173" s="1">
        <v>91</v>
      </c>
      <c r="P173" s="1">
        <v>94</v>
      </c>
      <c r="Q173" s="1">
        <v>41</v>
      </c>
      <c r="R173" s="1">
        <v>110</v>
      </c>
      <c r="S173" s="1">
        <v>27</v>
      </c>
    </row>
    <row r="174" spans="1:19">
      <c r="A174" s="1">
        <v>2024</v>
      </c>
      <c r="B174" s="1">
        <v>61</v>
      </c>
      <c r="C174" s="1" t="s">
        <v>75</v>
      </c>
      <c r="D174" s="1" t="e">
        <f t="array" aca="1" ref="D174" ca="1">_xludf.XLOOKUP(C174,'country region mapping'!$A$2:$A$250, 'country region mapping'!$E$2:$E$250)</f>
        <v>#NAME?</v>
      </c>
      <c r="E174" s="1" t="e">
        <f t="array" aca="1" ref="E174" ca="1">_xludf.XLOOKUP(C174,'country region mapping'!$A$2:$A$267,'country region mapping'!$F$2:$F$267)</f>
        <v>#NAME?</v>
      </c>
      <c r="F174" s="1" t="e">
        <f t="array" aca="1" ref="F174" ca="1">_xludf.XLOOKUP(C174,'country region mapping'!$A$2:$A$267,'country region mapping'!$G$2:$G$267)</f>
        <v>#NAME?</v>
      </c>
      <c r="G174" s="1">
        <v>6.0039999999999996</v>
      </c>
      <c r="H174" s="1">
        <v>105</v>
      </c>
      <c r="I174" s="1">
        <v>55</v>
      </c>
      <c r="J174" s="1">
        <v>66</v>
      </c>
      <c r="K174" s="1">
        <v>44</v>
      </c>
      <c r="L174" s="1">
        <v>73</v>
      </c>
      <c r="M174" s="1">
        <v>131</v>
      </c>
      <c r="N174" s="1">
        <v>110</v>
      </c>
      <c r="O174" s="1">
        <v>15</v>
      </c>
      <c r="P174" s="1">
        <v>64</v>
      </c>
      <c r="Q174" s="1">
        <v>131</v>
      </c>
      <c r="R174" s="1">
        <v>112</v>
      </c>
      <c r="S174" s="1">
        <v>122</v>
      </c>
    </row>
    <row r="175" spans="1:19">
      <c r="A175" s="1">
        <v>2024</v>
      </c>
      <c r="B175" s="1">
        <v>139</v>
      </c>
      <c r="C175" s="1" t="s">
        <v>219</v>
      </c>
      <c r="D175" s="1" t="e">
        <f t="array" aca="1" ref="D175" ca="1">_xludf.XLOOKUP(C175,'country region mapping'!$A$2:$A$250, 'country region mapping'!$E$2:$E$250)</f>
        <v>#NAME?</v>
      </c>
      <c r="E175" s="1" t="e">
        <f t="array" aca="1" ref="E175" ca="1">_xludf.XLOOKUP(C175,'country region mapping'!$A$2:$A$267,'country region mapping'!$F$2:$F$267)</f>
        <v>#NAME?</v>
      </c>
      <c r="F175" s="1" t="e">
        <f t="array" aca="1" ref="F175" ca="1">_xludf.XLOOKUP(C175,'country region mapping'!$A$2:$A$267,'country region mapping'!$G$2:$G$267)</f>
        <v>#NAME?</v>
      </c>
      <c r="G175" s="1">
        <v>3.754</v>
      </c>
      <c r="H175" s="1">
        <v>141</v>
      </c>
      <c r="I175" s="1">
        <v>139</v>
      </c>
      <c r="J175" s="1">
        <v>118</v>
      </c>
      <c r="K175" s="1"/>
      <c r="L175" s="1">
        <v>138</v>
      </c>
      <c r="M175" s="1">
        <v>73</v>
      </c>
      <c r="N175" s="1">
        <v>30</v>
      </c>
      <c r="O175" s="1">
        <v>102</v>
      </c>
      <c r="P175" s="1">
        <v>126</v>
      </c>
      <c r="Q175" s="1">
        <v>73</v>
      </c>
      <c r="R175" s="1">
        <v>6</v>
      </c>
      <c r="S175" s="1">
        <v>57</v>
      </c>
    </row>
    <row r="176" spans="1:19">
      <c r="A176" s="1">
        <v>2024</v>
      </c>
      <c r="B176" s="1">
        <v>100</v>
      </c>
      <c r="C176" s="1" t="s">
        <v>202</v>
      </c>
      <c r="D176" s="1" t="e">
        <f t="array" aca="1" ref="D176" ca="1">_xludf.XLOOKUP(C176,'country region mapping'!$A$2:$A$250, 'country region mapping'!$E$2:$E$250)</f>
        <v>#NAME?</v>
      </c>
      <c r="E176" s="1" t="e">
        <f t="array" aca="1" ref="E176" ca="1">_xludf.XLOOKUP(C176,'country region mapping'!$A$2:$A$267,'country region mapping'!$F$2:$F$267)</f>
        <v>#NAME?</v>
      </c>
      <c r="F176" s="1" t="e">
        <f t="array" aca="1" ref="F176" ca="1">_xludf.XLOOKUP(C176,'country region mapping'!$A$2:$A$267,'country region mapping'!$G$2:$G$267)</f>
        <v>#NAME?</v>
      </c>
      <c r="G176" s="1">
        <v>5.03</v>
      </c>
      <c r="H176" s="1">
        <v>139</v>
      </c>
      <c r="I176" s="1">
        <v>134</v>
      </c>
      <c r="J176" s="1">
        <v>105</v>
      </c>
      <c r="K176" s="1">
        <v>105</v>
      </c>
      <c r="L176" s="1">
        <v>111</v>
      </c>
      <c r="M176" s="1">
        <v>113</v>
      </c>
      <c r="N176" s="1">
        <v>58</v>
      </c>
      <c r="O176" s="1">
        <v>130</v>
      </c>
      <c r="P176" s="1">
        <v>133</v>
      </c>
      <c r="Q176" s="1">
        <v>113</v>
      </c>
      <c r="R176" s="1">
        <v>59</v>
      </c>
      <c r="S176" s="1">
        <v>23</v>
      </c>
    </row>
    <row r="177" spans="1:19">
      <c r="A177" s="1">
        <v>2024</v>
      </c>
      <c r="B177" s="1">
        <v>6</v>
      </c>
      <c r="C177" s="1" t="s">
        <v>52</v>
      </c>
      <c r="D177" s="1" t="e">
        <f t="array" aca="1" ref="D177" ca="1">_xludf.XLOOKUP(C177,'country region mapping'!$A$2:$A$250, 'country region mapping'!$E$2:$E$250)</f>
        <v>#NAME?</v>
      </c>
      <c r="E177" s="1" t="e">
        <f t="array" aca="1" ref="E177" ca="1">_xludf.XLOOKUP(C177,'country region mapping'!$A$2:$A$267,'country region mapping'!$F$2:$F$267)</f>
        <v>#NAME?</v>
      </c>
      <c r="F177" s="1" t="e">
        <f t="array" aca="1" ref="F177" ca="1">_xludf.XLOOKUP(C177,'country region mapping'!$A$2:$A$267,'country region mapping'!$G$2:$G$267)</f>
        <v>#NAME?</v>
      </c>
      <c r="G177" s="1">
        <v>7.274</v>
      </c>
      <c r="H177" s="1">
        <v>58</v>
      </c>
      <c r="I177" s="1">
        <v>36</v>
      </c>
      <c r="J177" s="1">
        <v>50</v>
      </c>
      <c r="K177" s="1">
        <v>29</v>
      </c>
      <c r="L177" s="1">
        <v>13</v>
      </c>
      <c r="M177" s="1">
        <v>115</v>
      </c>
      <c r="N177" s="1">
        <v>70</v>
      </c>
      <c r="O177" s="1">
        <v>9</v>
      </c>
      <c r="P177" s="1">
        <v>75</v>
      </c>
      <c r="Q177" s="1">
        <v>115</v>
      </c>
      <c r="R177" s="1">
        <v>84</v>
      </c>
      <c r="S177" s="1">
        <v>60</v>
      </c>
    </row>
    <row r="178" spans="1:19">
      <c r="A178" s="1">
        <v>2024</v>
      </c>
      <c r="B178" s="1">
        <v>98</v>
      </c>
      <c r="C178" s="1" t="s">
        <v>220</v>
      </c>
      <c r="D178" s="1" t="e">
        <f t="array" aca="1" ref="D178" ca="1">_xludf.XLOOKUP(C178,'country region mapping'!$A$2:$A$267,'country region mapping'!$E$2:$E$267)</f>
        <v>#NAME?</v>
      </c>
      <c r="E178" s="1" t="e">
        <f t="array" aca="1" ref="E178" ca="1">_xludf.XLOOKUP(C178,'country region mapping'!$A$2:$A$267,'country region mapping'!$F$2:$F$267)</f>
        <v>#NAME?</v>
      </c>
      <c r="F178" s="1" t="e">
        <f t="array" aca="1" ref="F178" ca="1">_xludf.XLOOKUP(C178,'country region mapping'!$A$2:$A$267,'country region mapping'!$G$2:$G$267)</f>
        <v>#NAME?</v>
      </c>
      <c r="G178" s="1">
        <v>5.1020000000000003</v>
      </c>
      <c r="H178" s="1">
        <v>106</v>
      </c>
      <c r="I178" s="1">
        <v>133</v>
      </c>
      <c r="J178" s="1">
        <v>101</v>
      </c>
      <c r="K178" s="1">
        <v>112</v>
      </c>
      <c r="L178" s="1"/>
      <c r="M178" s="1">
        <v>79</v>
      </c>
      <c r="N178" s="1">
        <v>40</v>
      </c>
      <c r="O178" s="1">
        <v>71</v>
      </c>
      <c r="P178" s="1">
        <v>106</v>
      </c>
      <c r="Q178" s="1">
        <v>79</v>
      </c>
      <c r="R178" s="1">
        <v>72</v>
      </c>
      <c r="S178" s="1">
        <v>26</v>
      </c>
    </row>
    <row r="179" spans="1:19">
      <c r="A179" s="1">
        <v>2024</v>
      </c>
      <c r="B179" s="1">
        <v>72</v>
      </c>
      <c r="C179" s="1" t="s">
        <v>131</v>
      </c>
      <c r="D179" s="1" t="e">
        <f t="array" aca="1" ref="D179" ca="1">_xludf.XLOOKUP(C179,'country region mapping'!$A$2:$A$250, 'country region mapping'!$E$2:$E$250)</f>
        <v>#NAME?</v>
      </c>
      <c r="E179" s="1" t="e">
        <f t="array" aca="1" ref="E179" ca="1">_xludf.XLOOKUP(C179,'country region mapping'!$A$2:$A$267,'country region mapping'!$F$2:$F$267)</f>
        <v>#NAME?</v>
      </c>
      <c r="F179" s="1" t="e">
        <f t="array" aca="1" ref="F179" ca="1">_xludf.XLOOKUP(C179,'country region mapping'!$A$2:$A$267,'country region mapping'!$G$2:$G$267)</f>
        <v>#NAME?</v>
      </c>
      <c r="G179" s="1">
        <v>5.87</v>
      </c>
      <c r="H179" s="1">
        <v>23</v>
      </c>
      <c r="I179" s="1">
        <v>10</v>
      </c>
      <c r="J179" s="1">
        <v>31</v>
      </c>
      <c r="K179" s="1">
        <v>31</v>
      </c>
      <c r="L179" s="1">
        <v>124</v>
      </c>
      <c r="M179" s="1">
        <v>119</v>
      </c>
      <c r="N179" s="1">
        <v>97</v>
      </c>
      <c r="O179" s="1">
        <v>106</v>
      </c>
      <c r="P179" s="1">
        <v>39</v>
      </c>
      <c r="Q179" s="1">
        <v>119</v>
      </c>
      <c r="R179" s="1">
        <v>129</v>
      </c>
      <c r="S179" s="1">
        <v>139</v>
      </c>
    </row>
    <row r="180" spans="1:19">
      <c r="A180" s="1">
        <v>2024</v>
      </c>
      <c r="B180" s="1">
        <v>32</v>
      </c>
      <c r="C180" s="1" t="s">
        <v>79</v>
      </c>
      <c r="D180" s="1" t="e">
        <f t="array" aca="1" ref="D180" ca="1">_xludf.XLOOKUP(C180,'country region mapping'!$A$2:$A$250, 'country region mapping'!$E$2:$E$250)</f>
        <v>#NAME?</v>
      </c>
      <c r="E180" s="1" t="e">
        <f t="array" aca="1" ref="E180" ca="1">_xludf.XLOOKUP(C180,'country region mapping'!$A$2:$A$267,'country region mapping'!$F$2:$F$267)</f>
        <v>#NAME?</v>
      </c>
      <c r="F180" s="1" t="e">
        <f t="array" aca="1" ref="F180" ca="1">_xludf.XLOOKUP(C180,'country region mapping'!$A$2:$A$267,'country region mapping'!$G$2:$G$267)</f>
        <v>#NAME?</v>
      </c>
      <c r="G180" s="1">
        <v>6.6</v>
      </c>
      <c r="H180" s="1">
        <v>65</v>
      </c>
      <c r="I180" s="1">
        <v>59</v>
      </c>
      <c r="J180" s="1">
        <v>17</v>
      </c>
      <c r="K180" s="1">
        <v>38</v>
      </c>
      <c r="M180" s="1">
        <v>35</v>
      </c>
      <c r="O180" s="1">
        <v>43</v>
      </c>
      <c r="P180" s="14">
        <v>38</v>
      </c>
      <c r="Q180" s="14">
        <v>35</v>
      </c>
      <c r="R180" s="14">
        <v>90</v>
      </c>
      <c r="S180" s="14">
        <v>47</v>
      </c>
    </row>
    <row r="181" spans="1:19">
      <c r="A181" s="1">
        <v>2024</v>
      </c>
      <c r="B181" s="1">
        <v>20</v>
      </c>
      <c r="C181" s="1" t="s">
        <v>70</v>
      </c>
      <c r="D181" s="1" t="e">
        <f t="array" aca="1" ref="D181" ca="1">_xludf.XLOOKUP(C181,'country region mapping'!$A$2:$A$250, 'country region mapping'!$E$2:$E$250)</f>
        <v>#NAME?</v>
      </c>
      <c r="E181" s="1" t="e">
        <f t="array" aca="1" ref="E181" ca="1">_xludf.XLOOKUP(C181,'country region mapping'!$A$2:$A$267,'country region mapping'!$F$2:$F$267)</f>
        <v>#NAME?</v>
      </c>
      <c r="F181" s="1" t="e">
        <f t="array" aca="1" ref="F181" ca="1">_xludf.XLOOKUP(C181,'country region mapping'!$A$2:$A$267,'country region mapping'!$G$2:$G$267)</f>
        <v>#NAME?</v>
      </c>
      <c r="G181" s="1">
        <v>6.7750000000000004</v>
      </c>
      <c r="H181" s="1">
        <v>34</v>
      </c>
      <c r="I181" s="1">
        <v>9</v>
      </c>
      <c r="J181" s="1">
        <v>26</v>
      </c>
      <c r="K181" s="1">
        <v>36</v>
      </c>
      <c r="L181" s="1">
        <v>31</v>
      </c>
      <c r="M181" s="1">
        <v>44</v>
      </c>
      <c r="N181" s="1">
        <v>73</v>
      </c>
      <c r="O181" s="1">
        <v>34</v>
      </c>
      <c r="P181" s="1">
        <v>71</v>
      </c>
      <c r="Q181" s="1">
        <v>44</v>
      </c>
      <c r="R181" s="1">
        <v>57</v>
      </c>
      <c r="S181" s="1">
        <v>61</v>
      </c>
    </row>
    <row r="182" spans="1:19">
      <c r="A182" s="1">
        <v>2024</v>
      </c>
      <c r="B182" s="1">
        <v>2</v>
      </c>
      <c r="C182" s="1" t="s">
        <v>30</v>
      </c>
      <c r="D182" s="1" t="e">
        <f t="array" aca="1" ref="D182" ca="1">_xludf.XLOOKUP(C182,'country region mapping'!$A$2:$A$250, 'country region mapping'!$E$2:$E$250)</f>
        <v>#NAME?</v>
      </c>
      <c r="E182" s="1" t="e">
        <f t="array" aca="1" ref="E182" ca="1">_xludf.XLOOKUP(C182,'country region mapping'!$A$2:$A$267,'country region mapping'!$F$2:$F$267)</f>
        <v>#NAME?</v>
      </c>
      <c r="F182" s="1" t="e">
        <f t="array" aca="1" ref="F182" ca="1">_xludf.XLOOKUP(C182,'country region mapping'!$A$2:$A$267,'country region mapping'!$G$2:$G$267)</f>
        <v>#NAME?</v>
      </c>
      <c r="G182" s="1">
        <v>7.5209999999999999</v>
      </c>
      <c r="H182" s="1">
        <v>28</v>
      </c>
      <c r="I182" s="1">
        <v>4</v>
      </c>
      <c r="J182" s="1">
        <v>5</v>
      </c>
      <c r="K182" s="1">
        <v>15</v>
      </c>
      <c r="L182" s="1">
        <v>10</v>
      </c>
      <c r="M182" s="1">
        <v>31</v>
      </c>
      <c r="N182" s="1">
        <v>4</v>
      </c>
      <c r="O182" s="1">
        <v>11</v>
      </c>
      <c r="P182" s="1">
        <v>35</v>
      </c>
      <c r="Q182" s="1">
        <v>31</v>
      </c>
      <c r="R182" s="1">
        <v>60</v>
      </c>
      <c r="S182" s="1">
        <v>70</v>
      </c>
    </row>
    <row r="183" spans="1:19">
      <c r="A183" s="1">
        <v>2024</v>
      </c>
      <c r="B183" s="1">
        <v>76</v>
      </c>
      <c r="C183" s="1" t="s">
        <v>149</v>
      </c>
      <c r="D183" s="1" t="e">
        <f t="array" aca="1" ref="D183" ca="1">_xludf.XLOOKUP(C183,'country region mapping'!$A$2:$A$250, 'country region mapping'!$E$2:$E$250)</f>
        <v>#NAME?</v>
      </c>
      <c r="E183" s="1" t="e">
        <f t="array" aca="1" ref="E183" ca="1">_xludf.XLOOKUP(C183,'country region mapping'!$A$2:$A$267,'country region mapping'!$F$2:$F$267)</f>
        <v>#NAME?</v>
      </c>
      <c r="F183" s="1" t="e">
        <f t="array" aca="1" ref="F183" ca="1">_xludf.XLOOKUP(C183,'country region mapping'!$A$2:$A$267,'country region mapping'!$G$2:$G$267)</f>
        <v>#NAME?</v>
      </c>
      <c r="G183" s="1">
        <v>5.8460000000000001</v>
      </c>
      <c r="H183" s="1">
        <v>133</v>
      </c>
      <c r="I183" s="1">
        <v>46</v>
      </c>
      <c r="J183" s="1">
        <v>53</v>
      </c>
      <c r="K183" s="1">
        <v>63</v>
      </c>
      <c r="L183" s="1">
        <v>36</v>
      </c>
      <c r="M183" s="1">
        <v>101</v>
      </c>
      <c r="N183" s="1">
        <v>34</v>
      </c>
      <c r="O183" s="1">
        <v>31</v>
      </c>
      <c r="P183" s="1">
        <v>63</v>
      </c>
      <c r="Q183" s="1">
        <v>101</v>
      </c>
      <c r="R183" s="1">
        <v>41</v>
      </c>
      <c r="S183" s="1">
        <v>36</v>
      </c>
    </row>
    <row r="184" spans="1:19">
      <c r="A184" s="1">
        <v>2024</v>
      </c>
      <c r="B184" s="1">
        <v>141</v>
      </c>
      <c r="C184" s="1" t="s">
        <v>199</v>
      </c>
      <c r="D184" s="1" t="e">
        <f t="array" aca="1" ref="D184" ca="1">_xludf.XLOOKUP(C184,'country region mapping'!$A$2:$A$267,'country region mapping'!$E$2:$E$267)</f>
        <v>#NAME?</v>
      </c>
      <c r="E184" s="1" t="e">
        <f t="array" aca="1" ref="E184" ca="1">_xludf.XLOOKUP(C184,'country region mapping'!$A$2:$A$267,'country region mapping'!$F$2:$F$267)</f>
        <v>#NAME?</v>
      </c>
      <c r="F184" s="1" t="e">
        <f t="array" aca="1" ref="F184" ca="1">_xludf.XLOOKUP(C184,'country region mapping'!$A$2:$A$267,'country region mapping'!$G$2:$G$267)</f>
        <v>#NAME?</v>
      </c>
      <c r="G184" s="1">
        <v>3.4689999999999999</v>
      </c>
      <c r="H184" s="1">
        <v>113</v>
      </c>
      <c r="I184" s="1">
        <v>114</v>
      </c>
      <c r="J184" s="1">
        <v>134</v>
      </c>
      <c r="K184" s="1"/>
      <c r="L184" s="1">
        <v>109</v>
      </c>
      <c r="M184" s="1">
        <v>78</v>
      </c>
      <c r="N184" s="1">
        <v>117</v>
      </c>
      <c r="O184" s="1">
        <v>116</v>
      </c>
      <c r="P184" s="1">
        <v>135</v>
      </c>
      <c r="Q184" s="1">
        <v>78</v>
      </c>
      <c r="R184" s="1">
        <v>43</v>
      </c>
      <c r="S184" s="1">
        <v>49</v>
      </c>
    </row>
    <row r="185" spans="1:19">
      <c r="A185" s="1">
        <v>2024</v>
      </c>
      <c r="B185" s="1">
        <v>62</v>
      </c>
      <c r="C185" s="1" t="s">
        <v>102</v>
      </c>
      <c r="D185" s="1" t="e">
        <f t="array" aca="1" ref="D185" ca="1">_xludf.XLOOKUP(C185,'country region mapping'!$A$2:$A$250, 'country region mapping'!$E$2:$E$250)</f>
        <v>#NAME?</v>
      </c>
      <c r="E185" s="1" t="e">
        <f t="array" aca="1" ref="E185" ca="1">_xludf.XLOOKUP(C185,'country region mapping'!$A$2:$A$267,'country region mapping'!$F$2:$F$267)</f>
        <v>#NAME?</v>
      </c>
      <c r="F185" s="1" t="e">
        <f t="array" aca="1" ref="F185" ca="1">_xludf.XLOOKUP(C185,'country region mapping'!$A$2:$A$267,'country region mapping'!$G$2:$G$267)</f>
        <v>#NAME?</v>
      </c>
      <c r="G185" s="1">
        <v>5.9649999999999999</v>
      </c>
      <c r="H185" s="1">
        <v>84</v>
      </c>
      <c r="I185" s="1">
        <v>97</v>
      </c>
      <c r="J185" s="1">
        <v>76</v>
      </c>
      <c r="K185" s="1">
        <v>51</v>
      </c>
      <c r="L185" s="1">
        <v>70</v>
      </c>
      <c r="M185" s="1">
        <v>122</v>
      </c>
      <c r="N185" s="1">
        <v>91</v>
      </c>
      <c r="O185" s="1">
        <v>10</v>
      </c>
      <c r="P185" s="1">
        <v>110</v>
      </c>
      <c r="Q185" s="1">
        <v>122</v>
      </c>
      <c r="R185" s="1">
        <v>107</v>
      </c>
      <c r="S185" s="1">
        <v>121</v>
      </c>
    </row>
    <row r="186" spans="1:19">
      <c r="A186" s="1">
        <v>2024</v>
      </c>
      <c r="B186" s="1">
        <v>34</v>
      </c>
      <c r="C186" s="1" t="s">
        <v>63</v>
      </c>
      <c r="D186" s="1" t="e">
        <f t="array" aca="1" ref="D186" ca="1">_xludf.XLOOKUP(C186,'country region mapping'!$A$2:$A$250, 'country region mapping'!$E$2:$E$250)</f>
        <v>#NAME?</v>
      </c>
      <c r="E186" s="1" t="e">
        <f t="array" aca="1" ref="E186" ca="1">_xludf.XLOOKUP(C186,'country region mapping'!$A$2:$A$267,'country region mapping'!$F$2:$F$267)</f>
        <v>#NAME?</v>
      </c>
      <c r="F186" s="1" t="e">
        <f t="array" aca="1" ref="F186" ca="1">_xludf.XLOOKUP(C186,'country region mapping'!$A$2:$A$267,'country region mapping'!$G$2:$G$267)</f>
        <v>#NAME?</v>
      </c>
      <c r="G186" s="1">
        <v>6.5650000000000004</v>
      </c>
      <c r="H186" s="1">
        <v>16</v>
      </c>
      <c r="I186" s="1">
        <v>53</v>
      </c>
      <c r="K186" s="1">
        <v>1</v>
      </c>
      <c r="L186" s="1">
        <v>55</v>
      </c>
      <c r="M186" s="1">
        <v>24</v>
      </c>
      <c r="N186" s="1">
        <v>1</v>
      </c>
      <c r="O186" s="1">
        <v>60</v>
      </c>
      <c r="P186" s="1">
        <v>28</v>
      </c>
      <c r="Q186" s="1">
        <v>24</v>
      </c>
      <c r="R186" s="1">
        <v>30</v>
      </c>
      <c r="S186" s="1">
        <v>65</v>
      </c>
    </row>
    <row r="187" spans="1:19">
      <c r="A187" s="1">
        <v>2024</v>
      </c>
      <c r="B187" s="1">
        <v>37</v>
      </c>
      <c r="C187" s="1" t="s">
        <v>96</v>
      </c>
      <c r="D187" s="1" t="e">
        <f t="array" aca="1" ref="D187" ca="1">_xludf.XLOOKUP(C187,'country region mapping'!$A$2:$A$250, 'country region mapping'!$E$2:$E$250)</f>
        <v>#NAME?</v>
      </c>
      <c r="E187" s="1" t="e">
        <f t="array" aca="1" ref="E187" ca="1">_xludf.XLOOKUP(C187,'country region mapping'!$A$2:$A$267,'country region mapping'!$F$2:$F$267)</f>
        <v>#NAME?</v>
      </c>
      <c r="F187" s="1" t="e">
        <f t="array" aca="1" ref="F187" ca="1">_xludf.XLOOKUP(C187,'country region mapping'!$A$2:$A$267,'country region mapping'!$G$2:$G$267)</f>
        <v>#NAME?</v>
      </c>
      <c r="G187" s="1">
        <v>6.492</v>
      </c>
      <c r="H187" s="1">
        <v>98</v>
      </c>
      <c r="I187" s="1">
        <v>100</v>
      </c>
      <c r="J187" s="1">
        <v>86</v>
      </c>
      <c r="K187" s="1">
        <v>73</v>
      </c>
      <c r="L187" s="1">
        <v>11</v>
      </c>
      <c r="M187" s="1">
        <v>133</v>
      </c>
      <c r="N187" s="1">
        <v>20</v>
      </c>
      <c r="O187" s="1">
        <v>16</v>
      </c>
      <c r="P187" s="1">
        <v>76</v>
      </c>
      <c r="Q187" s="1">
        <v>133</v>
      </c>
      <c r="R187" s="1">
        <v>86</v>
      </c>
      <c r="S187" s="1">
        <v>118</v>
      </c>
    </row>
    <row r="188" spans="1:19">
      <c r="A188" s="1">
        <v>2024</v>
      </c>
      <c r="B188" s="1">
        <v>39</v>
      </c>
      <c r="C188" s="1" t="s">
        <v>129</v>
      </c>
      <c r="D188" s="1" t="e">
        <f t="array" aca="1" ref="D188" ca="1">_xludf.XLOOKUP(C188,'country region mapping'!$A$2:$A$250, 'country region mapping'!$E$2:$E$250)</f>
        <v>#NAME?</v>
      </c>
      <c r="E188" s="1" t="e">
        <f t="array" aca="1" ref="E188" ca="1">_xludf.XLOOKUP(C188,'country region mapping'!$A$2:$A$267,'country region mapping'!$F$2:$F$267)</f>
        <v>#NAME?</v>
      </c>
      <c r="F188" s="1" t="e">
        <f t="array" aca="1" ref="F188" ca="1">_xludf.XLOOKUP(C188,'country region mapping'!$A$2:$A$267,'country region mapping'!$G$2:$G$267)</f>
        <v>#NAME?</v>
      </c>
      <c r="G188" s="1">
        <v>6.4169999999999998</v>
      </c>
      <c r="H188" s="1">
        <v>30</v>
      </c>
      <c r="I188" s="1">
        <v>23</v>
      </c>
      <c r="J188" s="1">
        <v>35</v>
      </c>
      <c r="K188" s="1">
        <v>32</v>
      </c>
      <c r="L188" s="1">
        <v>52</v>
      </c>
      <c r="M188" s="1">
        <v>39</v>
      </c>
      <c r="N188" s="1">
        <v>13</v>
      </c>
      <c r="O188" s="1">
        <v>32</v>
      </c>
      <c r="P188" s="1">
        <v>25</v>
      </c>
      <c r="Q188" s="1">
        <v>39</v>
      </c>
      <c r="R188" s="1">
        <v>73</v>
      </c>
      <c r="S188" s="1">
        <v>95</v>
      </c>
    </row>
    <row r="189" spans="1:19">
      <c r="A189" s="1">
        <v>2024</v>
      </c>
      <c r="B189" s="1">
        <v>137</v>
      </c>
      <c r="C189" s="1" t="s">
        <v>453</v>
      </c>
      <c r="D189" s="1" t="e">
        <f t="array" aca="1" ref="D189" ca="1">_xludf.XLOOKUP(C189,'country region mapping'!$A$2:$A$250, 'country region mapping'!$E$2:$E$250)</f>
        <v>#NAME?</v>
      </c>
      <c r="E189" s="1" t="e">
        <f t="array" aca="1" ref="E189" ca="1">_xludf.XLOOKUP(C189,'country region mapping'!$A$2:$A$267,'country region mapping'!$F$2:$F$267)</f>
        <v>#NAME?</v>
      </c>
      <c r="F189" s="1" t="e">
        <f t="array" aca="1" ref="F189" ca="1">_xludf.XLOOKUP(C189,'country region mapping'!$A$2:$A$267,'country region mapping'!$G$2:$G$267)</f>
        <v>#NAME?</v>
      </c>
      <c r="G189" s="1">
        <v>3.774</v>
      </c>
      <c r="H189" s="1">
        <v>109</v>
      </c>
      <c r="I189" s="1">
        <v>108</v>
      </c>
      <c r="J189" s="1">
        <v>88</v>
      </c>
      <c r="K189" s="1"/>
      <c r="L189" s="1">
        <v>130</v>
      </c>
      <c r="M189" s="1">
        <v>118</v>
      </c>
      <c r="N189" s="1">
        <v>50</v>
      </c>
      <c r="O189" s="1">
        <v>59</v>
      </c>
      <c r="P189" s="1">
        <v>88</v>
      </c>
      <c r="Q189" s="1">
        <v>118</v>
      </c>
      <c r="R189" s="1">
        <v>63</v>
      </c>
      <c r="S189" s="1">
        <v>30</v>
      </c>
    </row>
    <row r="190" spans="1:19">
      <c r="A190" s="1">
        <v>2024</v>
      </c>
      <c r="B190" s="1">
        <v>132</v>
      </c>
      <c r="C190" s="1" t="s">
        <v>183</v>
      </c>
      <c r="D190" s="1" t="e">
        <f t="array" aca="1" ref="D190" ca="1">_xludf.XLOOKUP(C190,'country region mapping'!$A$2:$A$250, 'country region mapping'!$E$2:$E$250)</f>
        <v>#NAME?</v>
      </c>
      <c r="E190" s="1" t="e">
        <f t="array" aca="1" ref="E190" ca="1">_xludf.XLOOKUP(C190,'country region mapping'!$A$2:$A$267,'country region mapping'!$F$2:$F$267)</f>
        <v>#NAME?</v>
      </c>
      <c r="F190" s="1" t="e">
        <f t="array" aca="1" ref="F190" ca="1">_xludf.XLOOKUP(C190,'country region mapping'!$A$2:$A$267,'country region mapping'!$G$2:$G$267)</f>
        <v>#NAME?</v>
      </c>
      <c r="G190" s="1">
        <v>3.8980000000000001</v>
      </c>
      <c r="H190" s="1">
        <v>91</v>
      </c>
      <c r="I190" s="1">
        <v>120</v>
      </c>
      <c r="J190" s="1">
        <v>123</v>
      </c>
      <c r="K190" s="1"/>
      <c r="L190" s="1">
        <v>126</v>
      </c>
      <c r="M190" s="1">
        <v>93</v>
      </c>
      <c r="N190" s="1">
        <v>71</v>
      </c>
      <c r="O190" s="1">
        <v>133</v>
      </c>
      <c r="P190" s="1">
        <v>102</v>
      </c>
      <c r="Q190" s="1">
        <v>93</v>
      </c>
      <c r="R190" s="1">
        <v>70</v>
      </c>
      <c r="S190" s="1">
        <v>127</v>
      </c>
    </row>
    <row r="191" spans="1:19">
      <c r="A191" s="1">
        <v>2024</v>
      </c>
      <c r="B191" s="1">
        <v>1</v>
      </c>
      <c r="C191" s="1" t="s">
        <v>37</v>
      </c>
      <c r="D191" s="1" t="e">
        <f t="array" aca="1" ref="D191" ca="1">_xludf.XLOOKUP(C191,'country region mapping'!$A$2:$A$250, 'country region mapping'!$E$2:$E$250)</f>
        <v>#NAME?</v>
      </c>
      <c r="E191" s="1" t="e">
        <f t="array" aca="1" ref="E191" ca="1">_xludf.XLOOKUP(C191,'country region mapping'!$A$2:$A$267,'country region mapping'!$F$2:$F$267)</f>
        <v>#NAME?</v>
      </c>
      <c r="F191" s="1" t="e">
        <f t="array" aca="1" ref="F191" ca="1">_xludf.XLOOKUP(C191,'country region mapping'!$A$2:$A$267,'country region mapping'!$G$2:$G$267)</f>
        <v>#NAME?</v>
      </c>
      <c r="G191" s="1">
        <v>7.7359999999999998</v>
      </c>
      <c r="H191" s="1">
        <v>2</v>
      </c>
      <c r="I191" s="1">
        <v>2</v>
      </c>
      <c r="J191" s="1">
        <v>15</v>
      </c>
      <c r="K191" s="1">
        <v>18</v>
      </c>
      <c r="L191" s="1">
        <v>4</v>
      </c>
      <c r="M191" s="1">
        <v>56</v>
      </c>
      <c r="N191" s="1">
        <v>2</v>
      </c>
      <c r="O191" s="1">
        <v>25</v>
      </c>
      <c r="P191" s="1">
        <v>7</v>
      </c>
      <c r="Q191" s="1">
        <v>56</v>
      </c>
      <c r="R191" s="1">
        <v>75</v>
      </c>
      <c r="S191" s="1">
        <v>77</v>
      </c>
    </row>
    <row r="192" spans="1:19">
      <c r="A192" s="1">
        <v>2024</v>
      </c>
      <c r="B192" s="1">
        <v>33</v>
      </c>
      <c r="C192" s="1" t="s">
        <v>76</v>
      </c>
      <c r="D192" s="1" t="e">
        <f t="array" aca="1" ref="D192" ca="1">_xludf.XLOOKUP(C192,'country region mapping'!$A$2:$A$250, 'country region mapping'!$E$2:$E$250)</f>
        <v>#NAME?</v>
      </c>
      <c r="E192" s="1" t="e">
        <f t="array" aca="1" ref="E192" ca="1">_xludf.XLOOKUP(C192,'country region mapping'!$A$2:$A$267,'country region mapping'!$F$2:$F$267)</f>
        <v>#NAME?</v>
      </c>
      <c r="F192" s="1" t="e">
        <f t="array" aca="1" ref="F192" ca="1">_xludf.XLOOKUP(C192,'country region mapping'!$A$2:$A$267,'country region mapping'!$G$2:$G$267)</f>
        <v>#NAME?</v>
      </c>
      <c r="G192" s="1">
        <v>6.593</v>
      </c>
      <c r="H192" s="1">
        <v>10</v>
      </c>
      <c r="I192" s="1">
        <v>41</v>
      </c>
      <c r="J192" s="1">
        <v>18</v>
      </c>
      <c r="K192" s="1">
        <v>14</v>
      </c>
      <c r="L192" s="1">
        <v>84</v>
      </c>
      <c r="M192" s="1">
        <v>45</v>
      </c>
      <c r="N192" s="1">
        <v>22</v>
      </c>
      <c r="O192" s="1">
        <v>76</v>
      </c>
      <c r="P192" s="1">
        <v>47</v>
      </c>
      <c r="Q192" s="1">
        <v>45</v>
      </c>
      <c r="R192" s="1">
        <v>38</v>
      </c>
      <c r="S192" s="1">
        <v>130</v>
      </c>
    </row>
    <row r="193" spans="1:19">
      <c r="A193" s="1">
        <v>2024</v>
      </c>
      <c r="B193" s="1">
        <v>97</v>
      </c>
      <c r="C193" s="1" t="s">
        <v>306</v>
      </c>
      <c r="D193" s="1" t="e">
        <f t="array" aca="1" ref="D193" ca="1">_xludf.XLOOKUP(C193,'country region mapping'!$A$2:$A$250, 'country region mapping'!$E$2:$E$250)</f>
        <v>#NAME?</v>
      </c>
      <c r="E193" s="1" t="e">
        <f t="array" aca="1" ref="E193" ca="1">_xludf.XLOOKUP(C193,'country region mapping'!$A$2:$A$267,'country region mapping'!$F$2:$F$267)</f>
        <v>#NAME?</v>
      </c>
      <c r="F193" s="1" t="e">
        <f t="array" aca="1" ref="F193" ca="1">_xludf.XLOOKUP(C193,'country region mapping'!$A$2:$A$267,'country region mapping'!$G$2:$G$267)</f>
        <v>#NAME?</v>
      </c>
      <c r="G193" s="1">
        <v>5.12</v>
      </c>
      <c r="H193" s="1">
        <v>111</v>
      </c>
      <c r="I193" s="1">
        <v>99</v>
      </c>
      <c r="J193" s="1">
        <v>64</v>
      </c>
      <c r="K193" s="1">
        <v>101</v>
      </c>
      <c r="L193" s="1">
        <v>99</v>
      </c>
      <c r="M193" s="1">
        <v>110</v>
      </c>
      <c r="N193" s="1">
        <v>84</v>
      </c>
      <c r="O193" s="1">
        <v>92</v>
      </c>
      <c r="P193" s="1">
        <v>130</v>
      </c>
      <c r="Q193" s="1">
        <v>110</v>
      </c>
      <c r="R193" s="1">
        <v>108</v>
      </c>
      <c r="S193" s="1">
        <v>11</v>
      </c>
    </row>
    <row r="194" spans="1:19">
      <c r="A194" s="1">
        <v>2024</v>
      </c>
      <c r="B194" s="1">
        <v>117</v>
      </c>
      <c r="C194" s="1" t="s">
        <v>403</v>
      </c>
      <c r="D194" s="1" t="e">
        <f t="array" aca="1" ref="D194" ca="1">_xludf.XLOOKUP(C194,'country region mapping'!$A$2:$A$250, 'country region mapping'!$E$2:$E$250)</f>
        <v>#NAME?</v>
      </c>
      <c r="E194" s="1" t="e">
        <f t="array" aca="1" ref="E194" ca="1">_xludf.XLOOKUP(C194,'country region mapping'!$A$2:$A$267,'country region mapping'!$F$2:$F$267)</f>
        <v>#NAME?</v>
      </c>
      <c r="F194" s="1" t="e">
        <f t="array" aca="1" ref="F194" ca="1">_xludf.XLOOKUP(C194,'country region mapping'!$A$2:$A$267,'country region mapping'!$G$2:$G$267)</f>
        <v>#NAME?</v>
      </c>
      <c r="G194" s="1">
        <v>4.423</v>
      </c>
      <c r="H194" s="1">
        <v>64</v>
      </c>
      <c r="I194" s="1">
        <v>109</v>
      </c>
      <c r="J194" s="1">
        <v>121</v>
      </c>
      <c r="K194" s="1">
        <v>93</v>
      </c>
      <c r="L194" s="1"/>
      <c r="M194" s="1">
        <v>10</v>
      </c>
      <c r="N194" s="1">
        <v>119</v>
      </c>
      <c r="O194" s="1">
        <v>33</v>
      </c>
      <c r="P194" s="1">
        <v>66</v>
      </c>
      <c r="Q194" s="1">
        <v>10</v>
      </c>
      <c r="R194" s="1">
        <v>20</v>
      </c>
      <c r="S194" s="1">
        <v>16</v>
      </c>
    </row>
    <row r="195" spans="1:19">
      <c r="A195" s="1">
        <v>2024</v>
      </c>
      <c r="B195" s="1">
        <v>91</v>
      </c>
      <c r="C195" s="1" t="s">
        <v>201</v>
      </c>
      <c r="D195" s="1" t="e">
        <f t="array" aca="1" ref="D195" ca="1">_xludf.XLOOKUP(C195,'country region mapping'!$A$2:$A$250, 'country region mapping'!$E$2:$E$250)</f>
        <v>#NAME?</v>
      </c>
      <c r="E195" s="1" t="e">
        <f t="array" aca="1" ref="E195" ca="1">_xludf.XLOOKUP(C195,'country region mapping'!$A$2:$A$267,'country region mapping'!$F$2:$F$267)</f>
        <v>#NAME?</v>
      </c>
      <c r="F195" s="1" t="e">
        <f t="array" aca="1" ref="F195" ca="1">_xludf.XLOOKUP(C195,'country region mapping'!$A$2:$A$267,'country region mapping'!$G$2:$G$267)</f>
        <v>#NAME?</v>
      </c>
      <c r="G195" s="1">
        <v>5.4</v>
      </c>
      <c r="H195" s="1">
        <v>49</v>
      </c>
      <c r="I195" s="1">
        <v>85</v>
      </c>
      <c r="J195" s="1">
        <v>55</v>
      </c>
      <c r="K195" s="1">
        <v>70</v>
      </c>
      <c r="L195" s="1">
        <v>48</v>
      </c>
      <c r="M195" s="1">
        <v>141</v>
      </c>
      <c r="N195" s="1">
        <v>43</v>
      </c>
      <c r="O195" s="1">
        <v>114</v>
      </c>
      <c r="P195" s="1">
        <v>11</v>
      </c>
      <c r="Q195" s="1">
        <v>141</v>
      </c>
      <c r="R195" s="1">
        <v>98</v>
      </c>
      <c r="S195" s="1">
        <v>67</v>
      </c>
    </row>
    <row r="196" spans="1:19">
      <c r="A196" s="1">
        <v>2024</v>
      </c>
      <c r="B196" s="1">
        <v>22</v>
      </c>
      <c r="C196" s="1" t="s">
        <v>539</v>
      </c>
      <c r="D196" s="1" t="e">
        <f t="array" aca="1" ref="D196" ca="1">_xludf.XLOOKUP(C196,'country region mapping'!$A$2:$A$250, 'country region mapping'!$E$2:$E$250)</f>
        <v>#NAME?</v>
      </c>
      <c r="E196" s="1" t="e">
        <f t="array" aca="1" ref="E196" ca="1">_xludf.XLOOKUP(C196,'country region mapping'!$A$2:$A$267,'country region mapping'!$F$2:$F$267)</f>
        <v>#NAME?</v>
      </c>
      <c r="F196" s="1" t="e">
        <f t="array" aca="1" ref="F196" ca="1">_xludf.XLOOKUP(C196,'country region mapping'!$A$2:$A$267,'country region mapping'!$G$2:$G$267)</f>
        <v>#NAME?</v>
      </c>
      <c r="G196" s="1">
        <v>6.7530000000000001</v>
      </c>
      <c r="H196" s="1">
        <v>31</v>
      </c>
      <c r="I196" s="1">
        <v>37</v>
      </c>
      <c r="J196" s="1">
        <v>9</v>
      </c>
      <c r="K196" s="1">
        <v>24</v>
      </c>
      <c r="L196" s="1">
        <v>56</v>
      </c>
      <c r="M196" s="1">
        <v>14</v>
      </c>
      <c r="N196" s="1">
        <v>9</v>
      </c>
      <c r="O196" s="1">
        <v>67</v>
      </c>
      <c r="P196" s="1">
        <v>40</v>
      </c>
      <c r="Q196" s="1">
        <v>14</v>
      </c>
      <c r="R196" s="1">
        <v>47</v>
      </c>
      <c r="S196" s="1">
        <v>73</v>
      </c>
    </row>
    <row r="197" spans="1:19">
      <c r="A197" s="1">
        <v>2024</v>
      </c>
      <c r="B197" s="1">
        <v>125</v>
      </c>
      <c r="C197" s="1" t="s">
        <v>197</v>
      </c>
      <c r="D197" s="1" t="e">
        <f t="array" aca="1" ref="D197" ca="1">_xludf.XLOOKUP(C197,'country region mapping'!$A$2:$A$250, 'country region mapping'!$E$2:$E$250)</f>
        <v>#NAME?</v>
      </c>
      <c r="E197" s="1" t="e">
        <f t="array" aca="1" ref="E197" ca="1">_xludf.XLOOKUP(C197,'country region mapping'!$A$2:$A$267,'country region mapping'!$F$2:$F$267)</f>
        <v>#NAME?</v>
      </c>
      <c r="F197" s="1" t="e">
        <f t="array" aca="1" ref="F197" ca="1">_xludf.XLOOKUP(C197,'country region mapping'!$A$2:$A$267,'country region mapping'!$G$2:$G$267)</f>
        <v>#NAME?</v>
      </c>
      <c r="G197" s="1">
        <v>4.34</v>
      </c>
      <c r="H197" s="1">
        <v>52</v>
      </c>
      <c r="I197" s="1">
        <v>107</v>
      </c>
      <c r="J197" s="1">
        <v>100</v>
      </c>
      <c r="K197" s="1">
        <v>97</v>
      </c>
      <c r="L197" s="1">
        <v>81</v>
      </c>
      <c r="M197" s="1">
        <v>63</v>
      </c>
      <c r="N197" s="1">
        <v>127</v>
      </c>
      <c r="O197" s="1">
        <v>85</v>
      </c>
      <c r="P197" s="1">
        <v>50</v>
      </c>
      <c r="Q197" s="1">
        <v>63</v>
      </c>
      <c r="R197" s="1">
        <v>5</v>
      </c>
      <c r="S197" s="1">
        <v>32</v>
      </c>
    </row>
    <row r="198" spans="1:19">
      <c r="A198" s="1">
        <v>2024</v>
      </c>
      <c r="B198" s="1">
        <v>81</v>
      </c>
      <c r="C198" s="1" t="s">
        <v>160</v>
      </c>
      <c r="D198" s="1" t="e">
        <f t="array" aca="1" ref="D198" ca="1">_xludf.XLOOKUP(C198,'country region mapping'!$A$2:$A$250, 'country region mapping'!$E$2:$E$250)</f>
        <v>#NAME?</v>
      </c>
      <c r="E198" s="1" t="e">
        <f t="array" aca="1" ref="E198" ca="1">_xludf.XLOOKUP(C198,'country region mapping'!$A$2:$A$267,'country region mapping'!$F$2:$F$267)</f>
        <v>#NAME?</v>
      </c>
      <c r="F198" s="1" t="e">
        <f t="array" aca="1" ref="F198" ca="1">_xludf.XLOOKUP(C198,'country region mapping'!$A$2:$A$267,'country region mapping'!$G$2:$G$267)</f>
        <v>#NAME?</v>
      </c>
      <c r="G198" s="1">
        <v>5.7759999999999998</v>
      </c>
      <c r="H198" s="1">
        <v>59</v>
      </c>
      <c r="I198" s="1">
        <v>77</v>
      </c>
      <c r="J198" s="1">
        <v>39</v>
      </c>
      <c r="K198" s="1">
        <v>27</v>
      </c>
      <c r="L198" s="1">
        <v>136</v>
      </c>
      <c r="M198" s="1">
        <v>132</v>
      </c>
      <c r="N198" s="1">
        <v>113</v>
      </c>
      <c r="O198" s="1">
        <v>109</v>
      </c>
      <c r="P198" s="1">
        <v>96</v>
      </c>
      <c r="Q198" s="1">
        <v>132</v>
      </c>
      <c r="R198" s="1">
        <v>82</v>
      </c>
      <c r="S198" s="1">
        <v>83</v>
      </c>
    </row>
    <row r="199" spans="1:19">
      <c r="A199" s="1">
        <v>2024</v>
      </c>
      <c r="B199" s="1">
        <v>44</v>
      </c>
      <c r="C199" s="1" t="s">
        <v>86</v>
      </c>
      <c r="D199" s="1" t="e">
        <f t="array" aca="1" ref="D199" ca="1">_xludf.XLOOKUP(C199,'country region mapping'!$A$2:$A$250, 'country region mapping'!$E$2:$E$250)</f>
        <v>#NAME?</v>
      </c>
      <c r="E199" s="1" t="e">
        <f t="array" aca="1" ref="E199" ca="1">_xludf.XLOOKUP(C199,'country region mapping'!$A$2:$A$267,'country region mapping'!$F$2:$F$267)</f>
        <v>#NAME?</v>
      </c>
      <c r="F199" s="1" t="e">
        <f t="array" aca="1" ref="F199" ca="1">_xludf.XLOOKUP(C199,'country region mapping'!$A$2:$A$267,'country region mapping'!$G$2:$G$267)</f>
        <v>#NAME?</v>
      </c>
      <c r="G199" s="1">
        <v>6.3620000000000001</v>
      </c>
      <c r="H199" s="1">
        <v>131</v>
      </c>
      <c r="I199" s="1">
        <v>94</v>
      </c>
      <c r="J199" s="1">
        <v>84</v>
      </c>
      <c r="K199" s="1"/>
      <c r="L199" s="1">
        <v>22</v>
      </c>
      <c r="M199" s="1">
        <v>106</v>
      </c>
      <c r="N199" s="1">
        <v>74</v>
      </c>
      <c r="O199" s="1">
        <v>2</v>
      </c>
      <c r="P199" s="1">
        <v>85</v>
      </c>
      <c r="Q199" s="1">
        <v>106</v>
      </c>
      <c r="R199" s="1">
        <v>45</v>
      </c>
      <c r="S199" s="1">
        <v>96</v>
      </c>
    </row>
    <row r="200" spans="1:19">
      <c r="A200" s="1">
        <v>2024</v>
      </c>
      <c r="B200" s="1">
        <v>102</v>
      </c>
      <c r="C200" s="1" t="s">
        <v>240</v>
      </c>
      <c r="D200" s="1" t="e">
        <f t="array" aca="1" ref="D200" ca="1">_xludf.XLOOKUP(C200,'country region mapping'!$A$2:$A$250, 'country region mapping'!$E$2:$E$250)</f>
        <v>#NAME?</v>
      </c>
      <c r="E200" s="1" t="e">
        <f t="array" aca="1" ref="E200" ca="1">_xludf.XLOOKUP(C200,'country region mapping'!$A$2:$A$267,'country region mapping'!$F$2:$F$267)</f>
        <v>#NAME?</v>
      </c>
      <c r="F200" s="1" t="e">
        <f t="array" aca="1" ref="F200" ca="1">_xludf.XLOOKUP(C200,'country region mapping'!$A$2:$A$267,'country region mapping'!$G$2:$G$267)</f>
        <v>#NAME?</v>
      </c>
      <c r="G200" s="1">
        <v>4.9290000000000003</v>
      </c>
      <c r="H200" s="1">
        <v>129</v>
      </c>
      <c r="I200" s="1">
        <v>125</v>
      </c>
      <c r="J200" s="1">
        <v>114</v>
      </c>
      <c r="K200" s="1">
        <v>110</v>
      </c>
      <c r="L200" s="1">
        <v>95</v>
      </c>
      <c r="M200" s="1">
        <v>61</v>
      </c>
      <c r="N200" s="1">
        <v>82</v>
      </c>
      <c r="O200" s="1">
        <v>38</v>
      </c>
      <c r="P200" s="1">
        <v>141</v>
      </c>
      <c r="Q200" s="1">
        <v>61</v>
      </c>
      <c r="R200" s="1">
        <v>18</v>
      </c>
      <c r="S200" s="1">
        <v>14</v>
      </c>
    </row>
    <row r="201" spans="1:19">
      <c r="A201" s="1">
        <v>2024</v>
      </c>
      <c r="B201" s="1">
        <v>63</v>
      </c>
      <c r="C201" s="1" t="s">
        <v>167</v>
      </c>
      <c r="D201" s="1" t="e">
        <f t="array" aca="1" ref="D201" ca="1">_xludf.XLOOKUP(C201,'country region mapping'!$A$2:$A$250, 'country region mapping'!$E$2:$E$250)</f>
        <v>#NAME?</v>
      </c>
      <c r="E201" s="1" t="e">
        <f t="array" aca="1" ref="E201" ca="1">_xludf.XLOOKUP(C201,'country region mapping'!$A$2:$A$267,'country region mapping'!$F$2:$F$267)</f>
        <v>#NAME?</v>
      </c>
      <c r="F201" s="1" t="e">
        <f t="array" aca="1" ref="F201" ca="1">_xludf.XLOOKUP(C201,'country region mapping'!$A$2:$A$267,'country region mapping'!$G$2:$G$267)</f>
        <v>#NAME?</v>
      </c>
      <c r="G201" s="1">
        <v>5.9640000000000004</v>
      </c>
      <c r="H201" s="1">
        <v>128</v>
      </c>
      <c r="I201" s="1">
        <v>95</v>
      </c>
      <c r="J201" s="1">
        <v>103</v>
      </c>
      <c r="K201" s="1">
        <v>90</v>
      </c>
      <c r="L201" s="1">
        <v>45</v>
      </c>
      <c r="M201" s="1">
        <v>69</v>
      </c>
      <c r="N201" s="1">
        <v>96</v>
      </c>
      <c r="O201" s="1">
        <v>19</v>
      </c>
      <c r="P201" s="1">
        <v>86</v>
      </c>
      <c r="Q201" s="1">
        <v>69</v>
      </c>
      <c r="R201" s="1">
        <v>50</v>
      </c>
      <c r="S201" s="1">
        <v>42</v>
      </c>
    </row>
    <row r="202" spans="1:19">
      <c r="A202" s="1">
        <v>2024</v>
      </c>
      <c r="B202" s="1">
        <v>48</v>
      </c>
      <c r="C202" s="1" t="s">
        <v>74</v>
      </c>
      <c r="D202" s="1" t="e">
        <f t="array" aca="1" ref="D202" ca="1">_xludf.XLOOKUP(C202,'country region mapping'!$A$2:$A$250, 'country region mapping'!$E$2:$E$250)</f>
        <v>#NAME?</v>
      </c>
      <c r="E202" s="1" t="e">
        <f t="array" aca="1" ref="E202" ca="1">_xludf.XLOOKUP(C202,'country region mapping'!$A$2:$A$267,'country region mapping'!$F$2:$F$267)</f>
        <v>#NAME?</v>
      </c>
      <c r="F202" s="1" t="e">
        <f t="array" aca="1" ref="F202" ca="1">_xludf.XLOOKUP(C202,'country region mapping'!$A$2:$A$267,'country region mapping'!$G$2:$G$267)</f>
        <v>#NAME?</v>
      </c>
      <c r="G202" s="1">
        <v>6.3159999999999998</v>
      </c>
      <c r="H202" s="1">
        <v>43</v>
      </c>
      <c r="I202" s="1">
        <v>26</v>
      </c>
      <c r="K202" s="1">
        <v>11</v>
      </c>
      <c r="L202" s="1">
        <v>50</v>
      </c>
      <c r="M202" s="1">
        <v>15</v>
      </c>
      <c r="N202" s="1">
        <v>67</v>
      </c>
      <c r="O202" s="1">
        <v>88</v>
      </c>
      <c r="P202" s="1">
        <v>109</v>
      </c>
      <c r="Q202" s="1">
        <v>15</v>
      </c>
      <c r="R202" s="1">
        <v>53</v>
      </c>
      <c r="S202" s="1">
        <v>103</v>
      </c>
    </row>
    <row r="203" spans="1:19">
      <c r="A203" s="1">
        <v>2024</v>
      </c>
      <c r="B203" s="1">
        <v>69</v>
      </c>
      <c r="C203" s="1" t="s">
        <v>151</v>
      </c>
      <c r="D203" s="1" t="e">
        <f t="array" aca="1" ref="D203" ca="1">_xludf.XLOOKUP(C203,'country region mapping'!$A$2:$A$250, 'country region mapping'!$E$2:$E$250)</f>
        <v>#NAME?</v>
      </c>
      <c r="E203" s="1" t="e">
        <f t="array" aca="1" ref="E203" ca="1">_xludf.XLOOKUP(C203,'country region mapping'!$A$2:$A$267,'country region mapping'!$F$2:$F$267)</f>
        <v>#NAME?</v>
      </c>
      <c r="F203" s="1" t="e">
        <f t="array" aca="1" ref="F203" ca="1">_xludf.XLOOKUP(C203,'country region mapping'!$A$2:$A$267,'country region mapping'!$G$2:$G$267)</f>
        <v>#NAME?</v>
      </c>
      <c r="G203" s="1">
        <v>5.915</v>
      </c>
      <c r="H203" s="1">
        <v>50</v>
      </c>
      <c r="I203" s="1">
        <v>7</v>
      </c>
      <c r="J203" s="1">
        <v>36</v>
      </c>
      <c r="K203" s="1">
        <v>48</v>
      </c>
      <c r="L203" s="1">
        <v>117</v>
      </c>
      <c r="M203" s="1">
        <v>57</v>
      </c>
      <c r="N203" s="1">
        <v>115</v>
      </c>
      <c r="O203" s="1">
        <v>90</v>
      </c>
      <c r="P203" s="1">
        <v>31</v>
      </c>
      <c r="Q203" s="1">
        <v>57</v>
      </c>
      <c r="R203" s="1">
        <v>119</v>
      </c>
      <c r="S203" s="1">
        <v>35</v>
      </c>
    </row>
    <row r="204" spans="1:19">
      <c r="A204" s="1">
        <v>2024</v>
      </c>
      <c r="B204" s="1">
        <v>3</v>
      </c>
      <c r="C204" s="1" t="s">
        <v>34</v>
      </c>
      <c r="D204" s="1" t="e">
        <f t="array" aca="1" ref="D204" ca="1">_xludf.XLOOKUP(C204,'country region mapping'!$A$2:$A$250, 'country region mapping'!$E$2:$E$250)</f>
        <v>#NAME?</v>
      </c>
      <c r="E204" s="1" t="e">
        <f t="array" aca="1" ref="E204" ca="1">_xludf.XLOOKUP(C204,'country region mapping'!$A$2:$A$267,'country region mapping'!$F$2:$F$267)</f>
        <v>#NAME?</v>
      </c>
      <c r="F204" s="1" t="e">
        <f t="array" aca="1" ref="F204" ca="1">_xludf.XLOOKUP(C204,'country region mapping'!$A$2:$A$267,'country region mapping'!$G$2:$G$267)</f>
        <v>#NAME?</v>
      </c>
      <c r="G204" s="1">
        <v>7.5149999999999997</v>
      </c>
      <c r="H204" s="1">
        <v>5</v>
      </c>
      <c r="I204" s="1">
        <v>1</v>
      </c>
      <c r="J204" s="1">
        <v>8</v>
      </c>
      <c r="K204" s="1">
        <v>4</v>
      </c>
      <c r="L204" s="1">
        <v>3</v>
      </c>
      <c r="M204" s="1">
        <v>5</v>
      </c>
      <c r="N204" s="1">
        <v>31</v>
      </c>
      <c r="O204" s="1">
        <v>8</v>
      </c>
      <c r="P204" s="1">
        <v>8</v>
      </c>
      <c r="Q204" s="1">
        <v>5</v>
      </c>
      <c r="R204" s="1">
        <v>66</v>
      </c>
      <c r="S204" s="1">
        <v>102</v>
      </c>
    </row>
    <row r="205" spans="1:19">
      <c r="A205" s="1">
        <v>2024</v>
      </c>
      <c r="B205" s="1">
        <v>118</v>
      </c>
      <c r="C205" s="1" t="s">
        <v>188</v>
      </c>
      <c r="D205" s="1" t="e">
        <f t="array" aca="1" ref="D205" ca="1">_xludf.XLOOKUP(C205,'country region mapping'!$A$2:$A$250, 'country region mapping'!$E$2:$E$250)</f>
        <v>#NAME?</v>
      </c>
      <c r="E205" s="1" t="e">
        <f t="array" aca="1" ref="E205" ca="1">_xludf.XLOOKUP(C205,'country region mapping'!$A$2:$A$267,'country region mapping'!$F$2:$F$267)</f>
        <v>#NAME?</v>
      </c>
      <c r="F205" s="1" t="e">
        <f t="array" aca="1" ref="F205" ca="1">_xludf.XLOOKUP(C205,'country region mapping'!$A$2:$A$267,'country region mapping'!$G$2:$G$267)</f>
        <v>#NAME?</v>
      </c>
      <c r="G205" s="1">
        <v>4.3890000000000002</v>
      </c>
      <c r="H205" s="1">
        <v>118</v>
      </c>
      <c r="I205" s="1">
        <v>128</v>
      </c>
      <c r="J205" s="1">
        <v>93</v>
      </c>
      <c r="K205" s="1">
        <v>95</v>
      </c>
      <c r="L205" s="1">
        <v>23</v>
      </c>
      <c r="M205" s="1">
        <v>51</v>
      </c>
      <c r="N205" s="1">
        <v>56</v>
      </c>
      <c r="O205" s="1">
        <v>89</v>
      </c>
      <c r="P205" s="1">
        <v>117</v>
      </c>
      <c r="Q205" s="1">
        <v>51</v>
      </c>
      <c r="R205" s="1">
        <v>16</v>
      </c>
      <c r="S205" s="1">
        <v>80</v>
      </c>
    </row>
    <row r="206" spans="1:19">
      <c r="A206" s="1">
        <v>2024</v>
      </c>
      <c r="B206" s="1">
        <v>83</v>
      </c>
      <c r="C206" s="1" t="s">
        <v>137</v>
      </c>
      <c r="D206" s="1" t="e">
        <f t="array" aca="1" ref="D206" ca="1">_xludf.XLOOKUP(C206,'country region mapping'!$A$2:$A$250, 'country region mapping'!$E$2:$E$250)</f>
        <v>#NAME?</v>
      </c>
      <c r="E206" s="1" t="e">
        <f t="array" aca="1" ref="E206" ca="1">_xludf.XLOOKUP(C206,'country region mapping'!$A$2:$A$267,'country region mapping'!$F$2:$F$267)</f>
        <v>#NAME?</v>
      </c>
      <c r="F206" s="1" t="e">
        <f t="array" aca="1" ref="F206" ca="1">_xludf.XLOOKUP(C206,'country region mapping'!$A$2:$A$267,'country region mapping'!$G$2:$G$267)</f>
        <v>#NAME?</v>
      </c>
      <c r="G206" s="1">
        <v>5.617</v>
      </c>
      <c r="H206" s="1">
        <v>100</v>
      </c>
      <c r="I206" s="1">
        <v>74</v>
      </c>
      <c r="J206" s="1">
        <v>75</v>
      </c>
      <c r="K206" s="1">
        <v>85</v>
      </c>
      <c r="L206" s="1">
        <v>24</v>
      </c>
      <c r="M206" s="1">
        <v>1</v>
      </c>
      <c r="N206" s="1">
        <v>123</v>
      </c>
      <c r="O206" s="1">
        <v>4</v>
      </c>
      <c r="P206" s="1">
        <v>77</v>
      </c>
      <c r="Q206" s="1">
        <v>1</v>
      </c>
      <c r="R206" s="1">
        <v>1</v>
      </c>
      <c r="S206" s="1">
        <v>46</v>
      </c>
    </row>
    <row r="207" spans="1:19">
      <c r="A207" s="1">
        <v>2024</v>
      </c>
      <c r="B207" s="1">
        <v>99</v>
      </c>
      <c r="C207" s="1" t="s">
        <v>169</v>
      </c>
      <c r="D207" s="1" t="e">
        <f t="array" aca="1" ref="D207" ca="1">_xludf.XLOOKUP(C207,'country region mapping'!$A$2:$A$267,'country region mapping'!$E$2:$E$267)</f>
        <v>#NAME?</v>
      </c>
      <c r="E207" s="1" t="e">
        <f t="array" aca="1" ref="E207" ca="1">_xludf.XLOOKUP(C207,'country region mapping'!$A$2:$A$267,'country region mapping'!$F$2:$F$267)</f>
        <v>#NAME?</v>
      </c>
      <c r="F207" s="1" t="e">
        <f t="array" aca="1" ref="F207" ca="1">_xludf.XLOOKUP(C207,'country region mapping'!$A$2:$A$267,'country region mapping'!$G$2:$G$267)</f>
        <v>#NAME?</v>
      </c>
      <c r="G207" s="1">
        <v>5.093</v>
      </c>
      <c r="H207" s="1">
        <v>78</v>
      </c>
      <c r="I207" s="1">
        <v>75</v>
      </c>
      <c r="J207" s="1">
        <v>71</v>
      </c>
      <c r="K207" s="1">
        <v>54</v>
      </c>
      <c r="L207" s="1">
        <v>132</v>
      </c>
      <c r="M207" s="1">
        <v>13</v>
      </c>
      <c r="N207" s="1">
        <v>57</v>
      </c>
      <c r="O207" s="1">
        <v>127</v>
      </c>
      <c r="P207" s="1">
        <v>136</v>
      </c>
      <c r="Q207" s="1">
        <v>13</v>
      </c>
      <c r="R207" s="1">
        <v>109</v>
      </c>
      <c r="S207" s="1">
        <v>19</v>
      </c>
    </row>
    <row r="208" spans="1:19">
      <c r="A208" s="1">
        <v>2024</v>
      </c>
      <c r="B208" s="1">
        <v>101</v>
      </c>
      <c r="C208" s="1" t="s">
        <v>179</v>
      </c>
      <c r="D208" s="1" t="e">
        <f t="array" aca="1" ref="D208" ca="1">_xludf.XLOOKUP(C208,'country region mapping'!$A$2:$A$250, 'country region mapping'!$E$2:$E$250)</f>
        <v>#NAME?</v>
      </c>
      <c r="E208" s="1" t="e">
        <f t="array" aca="1" ref="E208" ca="1">_xludf.XLOOKUP(C208,'country region mapping'!$A$2:$A$267,'country region mapping'!$F$2:$F$267)</f>
        <v>#NAME?</v>
      </c>
      <c r="F208" s="1" t="e">
        <f t="array" aca="1" ref="F208" ca="1">_xludf.XLOOKUP(C208,'country region mapping'!$A$2:$A$267,'country region mapping'!$G$2:$G$267)</f>
        <v>#NAME?</v>
      </c>
      <c r="G208" s="1">
        <v>4.976</v>
      </c>
      <c r="H208" s="1">
        <v>62</v>
      </c>
      <c r="I208" s="1">
        <v>63</v>
      </c>
      <c r="J208" s="1">
        <v>85</v>
      </c>
      <c r="K208" s="1">
        <v>82</v>
      </c>
      <c r="L208" s="1">
        <v>134</v>
      </c>
      <c r="M208" s="1">
        <v>90</v>
      </c>
      <c r="N208" s="1">
        <v>76</v>
      </c>
      <c r="O208" s="1">
        <v>121</v>
      </c>
      <c r="P208" s="1">
        <v>137</v>
      </c>
      <c r="Q208" s="1">
        <v>90</v>
      </c>
      <c r="R208" s="1">
        <v>91</v>
      </c>
      <c r="S208" s="1">
        <v>34</v>
      </c>
    </row>
    <row r="209" spans="1:19">
      <c r="A209" s="1">
        <v>2024</v>
      </c>
      <c r="B209" s="1">
        <v>15</v>
      </c>
      <c r="C209" s="1" t="s">
        <v>57</v>
      </c>
      <c r="D209" s="1" t="e">
        <f t="array" aca="1" ref="D209" ca="1">_xludf.XLOOKUP(C209,'country region mapping'!$A$2:$A$250, 'country region mapping'!$E$2:$E$250)</f>
        <v>#NAME?</v>
      </c>
      <c r="E209" s="1" t="e">
        <f t="array" aca="1" ref="E209" ca="1">_xludf.XLOOKUP(C209,'country region mapping'!$A$2:$A$267,'country region mapping'!$F$2:$F$267)</f>
        <v>#NAME?</v>
      </c>
      <c r="F209" s="1" t="e">
        <f t="array" aca="1" ref="F209" ca="1">_xludf.XLOOKUP(C209,'country region mapping'!$A$2:$A$267,'country region mapping'!$G$2:$G$267)</f>
        <v>#NAME?</v>
      </c>
      <c r="G209" s="1">
        <v>6.8890000000000002</v>
      </c>
      <c r="H209" s="1">
        <v>8</v>
      </c>
      <c r="I209" s="1">
        <v>22</v>
      </c>
      <c r="J209" s="1">
        <v>1</v>
      </c>
      <c r="K209" s="1">
        <v>16</v>
      </c>
      <c r="L209" s="1">
        <v>33</v>
      </c>
      <c r="M209" s="1">
        <v>3</v>
      </c>
      <c r="N209" s="1">
        <v>10</v>
      </c>
      <c r="O209" s="1">
        <v>50</v>
      </c>
      <c r="P209" s="1">
        <v>44</v>
      </c>
      <c r="Q209" s="1">
        <v>3</v>
      </c>
      <c r="R209" s="1">
        <v>24</v>
      </c>
      <c r="S209" s="1">
        <v>76</v>
      </c>
    </row>
    <row r="210" spans="1:19">
      <c r="A210" s="1">
        <v>2024</v>
      </c>
      <c r="B210" s="1">
        <v>8</v>
      </c>
      <c r="C210" s="1" t="s">
        <v>47</v>
      </c>
      <c r="D210" s="1" t="e">
        <f t="array" aca="1" ref="D210" ca="1">_xludf.XLOOKUP(C210,'country region mapping'!$A$2:$A$250, 'country region mapping'!$E$2:$E$250)</f>
        <v>#NAME?</v>
      </c>
      <c r="E210" s="1" t="e">
        <f t="array" aca="1" ref="E210" ca="1">_xludf.XLOOKUP(C210,'country region mapping'!$A$2:$A$267,'country region mapping'!$F$2:$F$267)</f>
        <v>#NAME?</v>
      </c>
      <c r="F210" s="1" t="e">
        <f t="array" aca="1" ref="F210" ca="1">_xludf.XLOOKUP(C210,'country region mapping'!$A$2:$A$267,'country region mapping'!$G$2:$G$267)</f>
        <v>#NAME?</v>
      </c>
      <c r="G210" s="1">
        <v>7.234</v>
      </c>
      <c r="H210" s="1">
        <v>15</v>
      </c>
      <c r="I210" s="1">
        <v>13</v>
      </c>
      <c r="J210" s="1">
        <v>25</v>
      </c>
      <c r="K210" s="1">
        <v>9</v>
      </c>
      <c r="L210" s="1">
        <v>87</v>
      </c>
      <c r="M210" s="1">
        <v>19</v>
      </c>
      <c r="N210" s="1">
        <v>32</v>
      </c>
      <c r="O210" s="1">
        <v>100</v>
      </c>
      <c r="P210" s="1">
        <v>80</v>
      </c>
      <c r="Q210" s="1">
        <v>19</v>
      </c>
      <c r="R210" s="1">
        <v>49</v>
      </c>
      <c r="S210" s="1">
        <v>63</v>
      </c>
    </row>
    <row r="211" spans="1:19">
      <c r="A211" s="1">
        <v>2024</v>
      </c>
      <c r="B211" s="1">
        <v>40</v>
      </c>
      <c r="C211" s="1" t="s">
        <v>100</v>
      </c>
      <c r="D211" s="1" t="e">
        <f t="array" aca="1" ref="D211" ca="1">_xludf.XLOOKUP(C211,'country region mapping'!$A$2:$A$250, 'country region mapping'!$E$2:$E$250)</f>
        <v>#NAME?</v>
      </c>
      <c r="E211" s="1" t="e">
        <f t="array" aca="1" ref="E211" ca="1">_xludf.XLOOKUP(C211,'country region mapping'!$A$2:$A$267,'country region mapping'!$F$2:$F$267)</f>
        <v>#NAME?</v>
      </c>
      <c r="F211" s="1" t="e">
        <f t="array" aca="1" ref="F211" ca="1">_xludf.XLOOKUP(C211,'country region mapping'!$A$2:$A$267,'country region mapping'!$G$2:$G$267)</f>
        <v>#NAME?</v>
      </c>
      <c r="G211" s="1">
        <v>6.415</v>
      </c>
      <c r="H211" s="1">
        <v>19</v>
      </c>
      <c r="I211" s="1">
        <v>52</v>
      </c>
      <c r="J211" s="1">
        <v>19</v>
      </c>
      <c r="K211" s="1">
        <v>13</v>
      </c>
      <c r="L211" s="1">
        <v>103</v>
      </c>
      <c r="M211" s="1">
        <v>89</v>
      </c>
      <c r="N211" s="1">
        <v>112</v>
      </c>
      <c r="O211" s="1">
        <v>103</v>
      </c>
      <c r="P211" s="1">
        <v>62</v>
      </c>
      <c r="Q211" s="1">
        <v>89</v>
      </c>
      <c r="R211" s="1">
        <v>100</v>
      </c>
      <c r="S211" s="1">
        <v>119</v>
      </c>
    </row>
    <row r="212" spans="1:19">
      <c r="A212" s="1">
        <v>2024</v>
      </c>
      <c r="B212" s="1">
        <v>73</v>
      </c>
      <c r="C212" s="1" t="s">
        <v>130</v>
      </c>
      <c r="D212" s="1" t="e">
        <f t="array" aca="1" ref="D212" ca="1">_xludf.XLOOKUP(C212,'country region mapping'!$A$2:$A$250, 'country region mapping'!$E$2:$E$250)</f>
        <v>#NAME?</v>
      </c>
      <c r="E212" s="1" t="e">
        <f t="array" aca="1" ref="E212" ca="1">_xludf.XLOOKUP(C212,'country region mapping'!$A$2:$A$267,'country region mapping'!$F$2:$F$267)</f>
        <v>#NAME?</v>
      </c>
      <c r="F212" s="1" t="e">
        <f t="array" aca="1" ref="F212" ca="1">_xludf.XLOOKUP(C212,'country region mapping'!$A$2:$A$267,'country region mapping'!$G$2:$G$267)</f>
        <v>#NAME?</v>
      </c>
      <c r="G212" s="1">
        <v>5.87</v>
      </c>
      <c r="H212" s="1"/>
      <c r="I212" s="1"/>
      <c r="J212" s="1"/>
      <c r="K212" s="1">
        <v>76</v>
      </c>
      <c r="L212" s="1"/>
      <c r="M212" s="1"/>
      <c r="N212" s="1"/>
      <c r="O212" s="1"/>
      <c r="P212" s="1"/>
      <c r="Q212" s="1"/>
      <c r="R212" s="1"/>
      <c r="S212" s="1"/>
    </row>
    <row r="213" spans="1:19">
      <c r="A213" s="1">
        <v>2024</v>
      </c>
      <c r="B213" s="1">
        <v>55</v>
      </c>
      <c r="C213" s="1" t="s">
        <v>104</v>
      </c>
      <c r="D213" s="1" t="e">
        <f t="array" aca="1" ref="D213" ca="1">_xludf.XLOOKUP(C213,'country region mapping'!$A$2:$A$250, 'country region mapping'!$E$2:$E$250)</f>
        <v>#NAME?</v>
      </c>
      <c r="E213" s="1" t="e">
        <f t="array" aca="1" ref="E213" ca="1">_xludf.XLOOKUP(C213,'country region mapping'!$A$2:$A$267,'country region mapping'!$F$2:$F$267)</f>
        <v>#NAME?</v>
      </c>
      <c r="F213" s="1" t="e">
        <f t="array" aca="1" ref="F213" ca="1">_xludf.XLOOKUP(C213,'country region mapping'!$A$2:$A$267,'country region mapping'!$G$2:$G$267)</f>
        <v>#NAME?</v>
      </c>
      <c r="G213" s="1">
        <v>6.1470000000000002</v>
      </c>
      <c r="H213" s="1">
        <v>47</v>
      </c>
      <c r="I213" s="1">
        <v>48</v>
      </c>
      <c r="J213" s="1">
        <v>28</v>
      </c>
      <c r="K213" s="1">
        <v>2</v>
      </c>
      <c r="L213" s="1">
        <v>79</v>
      </c>
      <c r="M213" s="1">
        <v>130</v>
      </c>
      <c r="N213" s="1">
        <v>41</v>
      </c>
      <c r="O213" s="1">
        <v>64</v>
      </c>
      <c r="P213" s="1">
        <v>9</v>
      </c>
      <c r="Q213" s="1">
        <v>130</v>
      </c>
      <c r="R213" s="1">
        <v>103</v>
      </c>
      <c r="S213" s="1">
        <v>142</v>
      </c>
    </row>
    <row r="214" spans="1:19">
      <c r="A214" s="1">
        <v>2024</v>
      </c>
      <c r="B214" s="1">
        <v>128</v>
      </c>
      <c r="C214" s="1" t="s">
        <v>138</v>
      </c>
      <c r="D214" s="1" t="e">
        <f t="array" aca="1" ref="D214" ca="1">_xludf.XLOOKUP(C214,'country region mapping'!$A$2:$A$250, 'country region mapping'!$E$2:$E$250)</f>
        <v>#NAME?</v>
      </c>
      <c r="E214" s="1" t="e">
        <f t="array" aca="1" ref="E214" ca="1">_xludf.XLOOKUP(C214,'country region mapping'!$A$2:$A$267,'country region mapping'!$F$2:$F$267)</f>
        <v>#NAME?</v>
      </c>
      <c r="F214" s="1" t="e">
        <f t="array" aca="1" ref="F214" ca="1">_xludf.XLOOKUP(C214,'country region mapping'!$A$2:$A$267,'country region mapping'!$G$2:$G$267)</f>
        <v>#NAME?</v>
      </c>
      <c r="G214" s="1">
        <v>4.3099999999999996</v>
      </c>
      <c r="H214" s="1">
        <v>126</v>
      </c>
      <c r="I214" s="1">
        <v>103</v>
      </c>
      <c r="J214" s="1">
        <v>94</v>
      </c>
      <c r="K214" s="1">
        <v>43</v>
      </c>
      <c r="L214" s="1">
        <v>98</v>
      </c>
      <c r="M214" s="1">
        <v>126</v>
      </c>
      <c r="N214" s="1">
        <v>48</v>
      </c>
      <c r="O214" s="1">
        <v>126</v>
      </c>
      <c r="P214" s="1">
        <v>140</v>
      </c>
      <c r="Q214" s="1">
        <v>126</v>
      </c>
      <c r="R214" s="1">
        <v>132</v>
      </c>
      <c r="S214" s="1">
        <v>59</v>
      </c>
    </row>
    <row r="215" spans="1:19">
      <c r="A215" s="1">
        <v>2024</v>
      </c>
      <c r="B215" s="1">
        <v>43</v>
      </c>
      <c r="C215" s="1" t="s">
        <v>106</v>
      </c>
      <c r="D215" s="1" t="e">
        <f t="array" aca="1" ref="D215" ca="1">_xludf.XLOOKUP(C215,'country region mapping'!$A$2:$A$250, 'country region mapping'!$E$2:$E$250)</f>
        <v>#NAME?</v>
      </c>
      <c r="E215" s="1" t="e">
        <f t="array" aca="1" ref="E215" ca="1">_xludf.XLOOKUP(C215,'country region mapping'!$A$2:$A$267,'country region mapping'!$F$2:$F$267)</f>
        <v>#NAME?</v>
      </c>
      <c r="F215" s="1" t="e">
        <f t="array" aca="1" ref="F215" ca="1">_xludf.XLOOKUP(C215,'country region mapping'!$A$2:$A$267,'country region mapping'!$G$2:$G$267)</f>
        <v>#NAME?</v>
      </c>
      <c r="G215" s="1">
        <v>6.3780000000000001</v>
      </c>
      <c r="H215" s="1">
        <v>25</v>
      </c>
      <c r="I215" s="1">
        <v>18</v>
      </c>
      <c r="J215" s="1">
        <v>42</v>
      </c>
      <c r="K215" s="1">
        <v>77</v>
      </c>
      <c r="L215" s="1">
        <v>57</v>
      </c>
      <c r="M215" s="1">
        <v>49</v>
      </c>
      <c r="N215" s="1">
        <v>64</v>
      </c>
      <c r="O215" s="1">
        <v>119</v>
      </c>
      <c r="P215" s="1">
        <v>3</v>
      </c>
      <c r="Q215" s="1">
        <v>49</v>
      </c>
      <c r="R215" s="1">
        <v>116</v>
      </c>
      <c r="S215" s="1">
        <v>136</v>
      </c>
    </row>
    <row r="216" spans="1:19">
      <c r="A216" s="1">
        <v>2024</v>
      </c>
      <c r="B216" s="1">
        <v>115</v>
      </c>
      <c r="C216" s="1" t="s">
        <v>193</v>
      </c>
      <c r="D216" s="1" t="e">
        <f t="array" aca="1" ref="D216" ca="1">_xludf.XLOOKUP(C216,'country region mapping'!$A$2:$A$250, 'country region mapping'!$E$2:$E$250)</f>
        <v>#NAME?</v>
      </c>
      <c r="E216" s="1" t="e">
        <f t="array" aca="1" ref="E216" ca="1">_xludf.XLOOKUP(C216,'country region mapping'!$A$2:$A$267,'country region mapping'!$F$2:$F$267)</f>
        <v>#NAME?</v>
      </c>
      <c r="F216" s="1" t="e">
        <f t="array" aca="1" ref="F216" ca="1">_xludf.XLOOKUP(C216,'country region mapping'!$A$2:$A$267,'country region mapping'!$G$2:$G$267)</f>
        <v>#NAME?</v>
      </c>
      <c r="G216" s="1">
        <v>4.51</v>
      </c>
      <c r="H216" s="1">
        <v>135</v>
      </c>
      <c r="I216" s="1">
        <v>115</v>
      </c>
      <c r="J216" s="1">
        <v>106</v>
      </c>
      <c r="K216" s="1">
        <v>94</v>
      </c>
      <c r="L216" s="1">
        <v>108</v>
      </c>
      <c r="M216" s="1">
        <v>21</v>
      </c>
      <c r="N216" s="1">
        <v>89</v>
      </c>
      <c r="O216" s="1">
        <v>40</v>
      </c>
      <c r="P216" s="1">
        <v>52</v>
      </c>
      <c r="Q216" s="1">
        <v>21</v>
      </c>
      <c r="R216" s="1">
        <v>3</v>
      </c>
      <c r="S216" s="1">
        <v>6</v>
      </c>
    </row>
    <row r="217" spans="1:19">
      <c r="A217" s="1">
        <v>2024</v>
      </c>
      <c r="B217" s="1">
        <v>52</v>
      </c>
      <c r="C217" s="1" t="s">
        <v>749</v>
      </c>
      <c r="D217" s="1" t="e">
        <f t="array" aca="1" ref="D217" ca="1">_xludf.XLOOKUP(C217,'country region mapping'!$A$2:$A$250, 'country region mapping'!$E$2:$E$250)</f>
        <v>#NAME?</v>
      </c>
      <c r="E217" s="1" t="e">
        <f t="array" aca="1" ref="E217" ca="1">_xludf.XLOOKUP(C217,'country region mapping'!$A$2:$A$267,'country region mapping'!$F$2:$F$267)</f>
        <v>#NAME?</v>
      </c>
      <c r="F217" s="1" t="e">
        <f t="array" aca="1" ref="F217" ca="1">_xludf.XLOOKUP(C217,'country region mapping'!$A$2:$A$267,'country region mapping'!$G$2:$G$267)</f>
        <v>#NAME?</v>
      </c>
      <c r="G217" s="1">
        <v>6.1970000000000001</v>
      </c>
      <c r="H217" s="1">
        <v>121</v>
      </c>
      <c r="I217" s="1">
        <v>71</v>
      </c>
      <c r="J217" s="1">
        <v>40</v>
      </c>
      <c r="K217" s="1"/>
      <c r="L217" s="1">
        <v>25</v>
      </c>
      <c r="M217" s="1">
        <v>29</v>
      </c>
      <c r="O217" s="1">
        <v>37</v>
      </c>
      <c r="P217" s="1">
        <v>43</v>
      </c>
      <c r="Q217" s="1">
        <v>29</v>
      </c>
      <c r="R217" s="1">
        <v>77</v>
      </c>
      <c r="S217" s="1">
        <v>17</v>
      </c>
    </row>
    <row r="218" spans="1:19">
      <c r="A218" s="1">
        <v>2024</v>
      </c>
      <c r="B218" s="1">
        <v>59</v>
      </c>
      <c r="C218" s="1" t="s">
        <v>90</v>
      </c>
      <c r="D218" s="1" t="e">
        <f t="array" aca="1" ref="D218" ca="1">_xludf.XLOOKUP(C218,'country region mapping'!$A$2:$A$250, 'country region mapping'!$E$2:$E$250)</f>
        <v>#NAME?</v>
      </c>
      <c r="E218" s="1" t="e">
        <f t="array" aca="1" ref="E218" ca="1">_xludf.XLOOKUP(C218,'country region mapping'!$A$2:$A$267,'country region mapping'!$F$2:$F$267)</f>
        <v>#NAME?</v>
      </c>
      <c r="F218" s="1" t="e">
        <f t="array" aca="1" ref="F218" ca="1">_xludf.XLOOKUP(C218,'country region mapping'!$A$2:$A$267,'country region mapping'!$G$2:$G$267)</f>
        <v>#NAME?</v>
      </c>
      <c r="G218" s="1">
        <v>6.03</v>
      </c>
      <c r="H218" s="1">
        <v>108</v>
      </c>
      <c r="I218" s="1">
        <v>76</v>
      </c>
      <c r="J218" s="1">
        <v>14</v>
      </c>
      <c r="K218" s="1"/>
      <c r="L218" s="1">
        <v>15</v>
      </c>
      <c r="M218" s="1">
        <v>30</v>
      </c>
      <c r="O218" s="1">
        <v>66</v>
      </c>
      <c r="P218" s="1">
        <v>84</v>
      </c>
      <c r="Q218" s="1">
        <v>30</v>
      </c>
      <c r="R218" s="1">
        <v>64</v>
      </c>
      <c r="S218" s="1">
        <v>37</v>
      </c>
    </row>
    <row r="219" spans="1:19">
      <c r="A219" s="1">
        <v>2024</v>
      </c>
      <c r="B219" s="1">
        <v>75</v>
      </c>
      <c r="C219" s="1" t="s">
        <v>144</v>
      </c>
      <c r="D219" s="1" t="e">
        <f t="array" aca="1" ref="D219" ca="1">_xludf.XLOOKUP(C219,'country region mapping'!$A$2:$A$250, 'country region mapping'!$E$2:$E$250)</f>
        <v>#NAME?</v>
      </c>
      <c r="E219" s="1" t="e">
        <f t="array" aca="1" ref="E219" ca="1">_xludf.XLOOKUP(C219,'country region mapping'!$A$2:$A$267,'country region mapping'!$F$2:$F$267)</f>
        <v>#NAME?</v>
      </c>
      <c r="F219" s="1" t="e">
        <f t="array" aca="1" ref="F219" ca="1">_xludf.XLOOKUP(C219,'country region mapping'!$A$2:$A$267,'country region mapping'!$G$2:$G$267)</f>
        <v>#NAME?</v>
      </c>
      <c r="G219" s="1">
        <v>5.8579999999999997</v>
      </c>
      <c r="H219" s="1">
        <v>24</v>
      </c>
      <c r="I219" s="1">
        <v>14</v>
      </c>
      <c r="J219" s="1">
        <v>102</v>
      </c>
      <c r="K219" s="1">
        <v>64</v>
      </c>
      <c r="L219" s="1">
        <v>5</v>
      </c>
      <c r="M219" s="1">
        <v>42</v>
      </c>
      <c r="N219" s="1">
        <v>77</v>
      </c>
      <c r="O219" s="1">
        <v>81</v>
      </c>
      <c r="P219" s="1">
        <v>17</v>
      </c>
      <c r="Q219" s="1">
        <v>42</v>
      </c>
      <c r="R219" s="1">
        <v>67</v>
      </c>
      <c r="S219" s="1">
        <v>56</v>
      </c>
    </row>
    <row r="220" spans="1:19">
      <c r="A220" s="1">
        <v>2024</v>
      </c>
      <c r="B220" s="1">
        <v>93</v>
      </c>
      <c r="C220" s="1" t="s">
        <v>164</v>
      </c>
      <c r="D220" s="1" t="e">
        <f t="array" aca="1" ref="D220" ca="1">_xludf.XLOOKUP(C220,'country region mapping'!$A$2:$A$267,'country region mapping'!$E$2:$E$267)</f>
        <v>#NAME?</v>
      </c>
      <c r="E220" s="1" t="e">
        <f t="array" aca="1" ref="E220" ca="1">_xludf.XLOOKUP(C220,'country region mapping'!$A$2:$A$267,'country region mapping'!$F$2:$F$267)</f>
        <v>#NAME?</v>
      </c>
      <c r="F220" s="1" t="e">
        <f t="array" aca="1" ref="F220" ca="1">_xludf.XLOOKUP(C220,'country region mapping'!$A$2:$A$267,'country region mapping'!$G$2:$G$267)</f>
        <v>#NAME?</v>
      </c>
      <c r="G220" s="1">
        <v>5.3010000000000002</v>
      </c>
      <c r="H220" s="1">
        <v>90</v>
      </c>
      <c r="I220" s="1">
        <v>119</v>
      </c>
      <c r="J220" s="1">
        <v>97</v>
      </c>
      <c r="K220" s="1">
        <v>87</v>
      </c>
      <c r="L220" s="1">
        <v>29</v>
      </c>
      <c r="M220" s="1">
        <v>43</v>
      </c>
      <c r="N220" s="1">
        <v>28</v>
      </c>
      <c r="O220" s="1">
        <v>65</v>
      </c>
      <c r="P220" s="1">
        <v>82</v>
      </c>
      <c r="Q220" s="1">
        <v>43</v>
      </c>
      <c r="R220" s="1">
        <v>117</v>
      </c>
      <c r="S220" s="1">
        <v>138</v>
      </c>
    </row>
    <row r="221" spans="1:19">
      <c r="A221" s="1">
        <v>2024</v>
      </c>
      <c r="B221" s="1">
        <v>51</v>
      </c>
      <c r="C221" s="1" t="s">
        <v>123</v>
      </c>
      <c r="D221" s="1" t="e">
        <f t="array" aca="1" ref="D221" ca="1">_xludf.XLOOKUP(C221,'country region mapping'!$A$2:$A$250, 'country region mapping'!$E$2:$E$250)</f>
        <v>#NAME?</v>
      </c>
      <c r="E221" s="1" t="e">
        <f t="array" aca="1" ref="E221" ca="1">_xludf.XLOOKUP(C221,'country region mapping'!$A$2:$A$267,'country region mapping'!$F$2:$F$267)</f>
        <v>#NAME?</v>
      </c>
      <c r="F221" s="1" t="e">
        <f t="array" aca="1" ref="F221" ca="1">_xludf.XLOOKUP(C221,'country region mapping'!$A$2:$A$267,'country region mapping'!$G$2:$G$267)</f>
        <v>#NAME?</v>
      </c>
      <c r="G221" s="1">
        <v>6.2069999999999999</v>
      </c>
      <c r="H221" s="1">
        <v>39</v>
      </c>
      <c r="I221" s="1">
        <v>8</v>
      </c>
      <c r="J221" s="1">
        <v>38</v>
      </c>
      <c r="K221" s="1">
        <v>59</v>
      </c>
      <c r="L221" s="1">
        <v>64</v>
      </c>
      <c r="M221" s="1">
        <v>66</v>
      </c>
      <c r="N221" s="1">
        <v>88</v>
      </c>
      <c r="O221" s="1">
        <v>73</v>
      </c>
      <c r="P221" s="1">
        <v>53</v>
      </c>
      <c r="Q221" s="1">
        <v>66</v>
      </c>
      <c r="R221" s="1">
        <v>122</v>
      </c>
      <c r="S221" s="1">
        <v>124</v>
      </c>
    </row>
    <row r="222" spans="1:19">
      <c r="A222" s="1">
        <v>2024</v>
      </c>
      <c r="B222" s="1">
        <v>145</v>
      </c>
      <c r="C222" s="1" t="s">
        <v>154</v>
      </c>
      <c r="D222" s="1" t="e">
        <f t="array" aca="1" ref="D222" ca="1">_xludf.XLOOKUP(C222,'country region mapping'!$A$2:$A$250, 'country region mapping'!$E$2:$E$250)</f>
        <v>#NAME?</v>
      </c>
      <c r="E222" s="1" t="e">
        <f t="array" aca="1" ref="E222" ca="1">_xludf.XLOOKUP(C222,'country region mapping'!$A$2:$A$267,'country region mapping'!$F$2:$F$267)</f>
        <v>#NAME?</v>
      </c>
      <c r="F222" s="1" t="e">
        <f t="array" aca="1" ref="F222" ca="1">_xludf.XLOOKUP(C222,'country region mapping'!$A$2:$A$267,'country region mapping'!$G$2:$G$267)</f>
        <v>#NAME?</v>
      </c>
      <c r="G222" s="1">
        <v>3.1880000000000002</v>
      </c>
      <c r="H222" s="1">
        <v>73</v>
      </c>
      <c r="I222" s="1">
        <v>90</v>
      </c>
      <c r="J222" s="1">
        <v>87</v>
      </c>
      <c r="K222" s="1">
        <v>66</v>
      </c>
      <c r="L222" s="1">
        <v>137</v>
      </c>
      <c r="M222" s="1">
        <v>94</v>
      </c>
      <c r="N222" s="1">
        <v>111</v>
      </c>
      <c r="O222" s="1">
        <v>141</v>
      </c>
      <c r="P222" s="1">
        <v>122</v>
      </c>
      <c r="Q222" s="1">
        <v>94</v>
      </c>
      <c r="R222" s="1">
        <v>136</v>
      </c>
      <c r="S222" s="1">
        <v>134</v>
      </c>
    </row>
    <row r="223" spans="1:19">
      <c r="A223" s="1">
        <v>2024</v>
      </c>
      <c r="B223" s="1">
        <v>138</v>
      </c>
      <c r="C223" s="1" t="s">
        <v>321</v>
      </c>
      <c r="D223" s="1" t="e">
        <f t="array" aca="1" ref="D223" ca="1">_xludf.XLOOKUP(C223,'country region mapping'!$A$2:$A$250, 'country region mapping'!$E$2:$E$250)</f>
        <v>#NAME?</v>
      </c>
      <c r="E223" s="1" t="e">
        <f t="array" aca="1" ref="E223" ca="1">_xludf.XLOOKUP(C223,'country region mapping'!$A$2:$A$267,'country region mapping'!$F$2:$F$267)</f>
        <v>#NAME?</v>
      </c>
      <c r="F223" s="1" t="e">
        <f t="array" aca="1" ref="F223" ca="1">_xludf.XLOOKUP(C223,'country region mapping'!$A$2:$A$267,'country region mapping'!$G$2:$G$267)</f>
        <v>#NAME?</v>
      </c>
      <c r="G223" s="1">
        <v>3.7570000000000001</v>
      </c>
      <c r="H223" s="1">
        <v>134</v>
      </c>
      <c r="I223" s="1">
        <v>96</v>
      </c>
      <c r="J223" s="1">
        <v>125</v>
      </c>
      <c r="K223" s="1"/>
      <c r="L223" s="1">
        <v>121</v>
      </c>
      <c r="M223" s="1">
        <v>138</v>
      </c>
      <c r="N223" s="1">
        <v>101</v>
      </c>
      <c r="O223" s="1">
        <v>17</v>
      </c>
      <c r="P223" s="1">
        <v>74</v>
      </c>
      <c r="Q223" s="1">
        <v>138</v>
      </c>
      <c r="R223" s="1">
        <v>114</v>
      </c>
      <c r="S223" s="1">
        <v>54</v>
      </c>
    </row>
    <row r="224" spans="1:19">
      <c r="A224" s="1">
        <v>2024</v>
      </c>
      <c r="B224" s="1">
        <v>129</v>
      </c>
      <c r="C224" s="1" t="s">
        <v>238</v>
      </c>
      <c r="D224" s="1" t="e">
        <f t="array" aca="1" ref="D224" ca="1">_xludf.XLOOKUP(C224,'country region mapping'!$A$2:$A$250, 'country region mapping'!$E$2:$E$250)</f>
        <v>#NAME?</v>
      </c>
      <c r="E224" s="1" t="e">
        <f t="array" aca="1" ref="E224" ca="1">_xludf.XLOOKUP(C224,'country region mapping'!$A$2:$A$267,'country region mapping'!$F$2:$F$267)</f>
        <v>#NAME?</v>
      </c>
      <c r="F224" s="1" t="e">
        <f t="array" aca="1" ref="F224" ca="1">_xludf.XLOOKUP(C224,'country region mapping'!$A$2:$A$267,'country region mapping'!$G$2:$G$267)</f>
        <v>#NAME?</v>
      </c>
      <c r="G224" s="1">
        <v>4.2770000000000001</v>
      </c>
      <c r="H224" s="1">
        <v>142</v>
      </c>
      <c r="I224" s="1">
        <v>118</v>
      </c>
      <c r="J224" s="1">
        <v>130</v>
      </c>
      <c r="K224" s="1"/>
      <c r="L224" s="1">
        <v>110</v>
      </c>
      <c r="M224" s="1">
        <v>87</v>
      </c>
      <c r="N224" s="1">
        <v>103</v>
      </c>
      <c r="O224" s="1">
        <v>84</v>
      </c>
      <c r="P224" s="1">
        <v>139</v>
      </c>
      <c r="Q224" s="1">
        <v>87</v>
      </c>
      <c r="R224" s="1">
        <v>2</v>
      </c>
      <c r="S224" s="1">
        <v>1</v>
      </c>
    </row>
    <row r="225" spans="1:19">
      <c r="A225" s="1">
        <v>2024</v>
      </c>
      <c r="B225" s="1">
        <v>79</v>
      </c>
      <c r="C225" s="1" t="s">
        <v>122</v>
      </c>
      <c r="D225" s="1" t="e">
        <f t="array" aca="1" ref="D225" ca="1">_xludf.XLOOKUP(C225,'country region mapping'!$A$2:$A$250, 'country region mapping'!$E$2:$E$250)</f>
        <v>#NAME?</v>
      </c>
      <c r="E225" s="1" t="e">
        <f t="array" aca="1" ref="E225" ca="1">_xludf.XLOOKUP(C225,'country region mapping'!$A$2:$A$267,'country region mapping'!$F$2:$F$267)</f>
        <v>#NAME?</v>
      </c>
      <c r="F225" s="1" t="e">
        <f t="array" aca="1" ref="F225" ca="1">_xludf.XLOOKUP(C225,'country region mapping'!$A$2:$A$267,'country region mapping'!$G$2:$G$267)</f>
        <v>#NAME?</v>
      </c>
      <c r="G225" s="1">
        <v>5.82</v>
      </c>
      <c r="H225" s="1">
        <v>56</v>
      </c>
      <c r="I225" s="1">
        <v>82</v>
      </c>
      <c r="J225" s="1">
        <v>81</v>
      </c>
      <c r="K225" s="1"/>
      <c r="L225" s="1">
        <v>77</v>
      </c>
      <c r="M225" s="1">
        <v>77</v>
      </c>
      <c r="N225" s="1">
        <v>23</v>
      </c>
      <c r="O225" s="1">
        <v>105</v>
      </c>
      <c r="P225" s="1">
        <v>81</v>
      </c>
      <c r="Q225" s="1">
        <v>77</v>
      </c>
      <c r="R225" s="1">
        <v>99</v>
      </c>
      <c r="S225" s="1">
        <v>90</v>
      </c>
    </row>
    <row r="226" spans="1:19">
      <c r="A226" s="1">
        <v>2024</v>
      </c>
      <c r="B226" s="1">
        <v>16</v>
      </c>
      <c r="C226" s="1" t="s">
        <v>114</v>
      </c>
      <c r="D226" s="1" t="e">
        <f t="array" aca="1" ref="D226" ca="1">_xludf.XLOOKUP(C226,'country region mapping'!$A$2:$A$250, 'country region mapping'!$E$2:$E$250)</f>
        <v>#NAME?</v>
      </c>
      <c r="E226" s="1" t="e">
        <f t="array" aca="1" ref="E226" ca="1">_xludf.XLOOKUP(C226,'country region mapping'!$A$2:$A$267,'country region mapping'!$F$2:$F$267)</f>
        <v>#NAME?</v>
      </c>
      <c r="F226" s="1" t="e">
        <f t="array" aca="1" ref="F226" ca="1">_xludf.XLOOKUP(C226,'country region mapping'!$A$2:$A$267,'country region mapping'!$G$2:$G$267)</f>
        <v>#NAME?</v>
      </c>
      <c r="G226" s="1">
        <v>6.8289999999999997</v>
      </c>
      <c r="H226" s="1">
        <v>27</v>
      </c>
      <c r="I226" s="1">
        <v>3</v>
      </c>
      <c r="J226" s="1">
        <v>27</v>
      </c>
      <c r="K226" s="1">
        <v>52</v>
      </c>
      <c r="L226" s="1">
        <v>62</v>
      </c>
      <c r="M226" s="1">
        <v>92</v>
      </c>
      <c r="N226" s="1">
        <v>87</v>
      </c>
      <c r="O226" s="1">
        <v>69</v>
      </c>
      <c r="P226" s="1">
        <v>20</v>
      </c>
      <c r="Q226" s="1">
        <v>92</v>
      </c>
      <c r="R226" s="1">
        <v>115</v>
      </c>
      <c r="S226" s="1">
        <v>84</v>
      </c>
    </row>
    <row r="227" spans="1:19">
      <c r="A227" s="1">
        <v>2024</v>
      </c>
      <c r="B227" s="1">
        <v>9</v>
      </c>
      <c r="C227" s="1" t="s">
        <v>59</v>
      </c>
      <c r="D227" s="1" t="e">
        <f t="array" aca="1" ref="D227" ca="1">_xludf.XLOOKUP(C227,'country region mapping'!$A$2:$A$250, 'country region mapping'!$E$2:$E$250)</f>
        <v>#NAME?</v>
      </c>
      <c r="E227" s="1" t="e">
        <f t="array" aca="1" ref="E227" ca="1">_xludf.XLOOKUP(C227,'country region mapping'!$A$2:$A$267,'country region mapping'!$F$2:$F$267)</f>
        <v>#NAME?</v>
      </c>
      <c r="F227" s="1" t="e">
        <f t="array" aca="1" ref="F227" ca="1">_xludf.XLOOKUP(C227,'country region mapping'!$A$2:$A$267,'country region mapping'!$G$2:$G$267)</f>
        <v>#NAME?</v>
      </c>
      <c r="G227" s="1">
        <v>7.1219999999999999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>
      <c r="A228" s="1">
        <v>2024</v>
      </c>
      <c r="B228" s="1">
        <v>130</v>
      </c>
      <c r="C228" s="1" t="s">
        <v>235</v>
      </c>
      <c r="D228" s="1" t="e">
        <f t="array" aca="1" ref="D228" ca="1">_xludf.XLOOKUP(C228,'country region mapping'!$A$2:$A$250, 'country region mapping'!$E$2:$E$250)</f>
        <v>#NAME?</v>
      </c>
      <c r="E228" s="1" t="e">
        <f t="array" aca="1" ref="E228" ca="1">_xludf.XLOOKUP(C228,'country region mapping'!$A$2:$A$267,'country region mapping'!$F$2:$F$267)</f>
        <v>#NAME?</v>
      </c>
      <c r="F228" s="1" t="e">
        <f t="array" aca="1" ref="F228" ca="1">_xludf.XLOOKUP(C228,'country region mapping'!$A$2:$A$267,'country region mapping'!$G$2:$G$267)</f>
        <v>#NAME?</v>
      </c>
      <c r="G228" s="1">
        <v>4.157</v>
      </c>
      <c r="H228" s="1">
        <v>92</v>
      </c>
      <c r="I228" s="1">
        <v>129</v>
      </c>
      <c r="J228" s="1">
        <v>129</v>
      </c>
      <c r="K228" s="1"/>
      <c r="L228" s="1">
        <v>139</v>
      </c>
      <c r="M228" s="1">
        <v>109</v>
      </c>
      <c r="N228" s="1">
        <v>62</v>
      </c>
      <c r="O228" s="1">
        <v>72</v>
      </c>
      <c r="P228" s="1">
        <v>119</v>
      </c>
      <c r="Q228" s="1">
        <v>109</v>
      </c>
      <c r="R228" s="1">
        <v>7</v>
      </c>
      <c r="S228" s="1">
        <v>93</v>
      </c>
    </row>
    <row r="229" spans="1:19">
      <c r="A229" s="1">
        <v>2024</v>
      </c>
      <c r="B229" s="1">
        <v>144</v>
      </c>
      <c r="C229" s="1" t="s">
        <v>210</v>
      </c>
      <c r="D229" s="1" t="e">
        <f t="array" aca="1" ref="D229" ca="1">_xludf.XLOOKUP(C229,'country region mapping'!$A$2:$A$250, 'country region mapping'!$E$2:$E$250)</f>
        <v>#NAME?</v>
      </c>
      <c r="E229" s="1" t="e">
        <f t="array" aca="1" ref="E229" ca="1">_xludf.XLOOKUP(C229,'country region mapping'!$A$2:$A$267,'country region mapping'!$F$2:$F$267)</f>
        <v>#NAME?</v>
      </c>
      <c r="F229" s="1" t="e">
        <f t="array" aca="1" ref="F229" ca="1">_xludf.XLOOKUP(C229,'country region mapping'!$A$2:$A$267,'country region mapping'!$G$2:$G$267)</f>
        <v>#NAME?</v>
      </c>
      <c r="G229" s="1">
        <v>3.26</v>
      </c>
      <c r="H229" s="1">
        <v>132</v>
      </c>
      <c r="I229" s="1">
        <v>140</v>
      </c>
      <c r="J229" s="1">
        <v>132</v>
      </c>
      <c r="K229" s="1">
        <v>106</v>
      </c>
      <c r="L229" s="1">
        <v>105</v>
      </c>
      <c r="M229" s="1">
        <v>103</v>
      </c>
      <c r="N229" s="1">
        <v>47</v>
      </c>
      <c r="O229" s="1">
        <v>123</v>
      </c>
      <c r="P229" s="1">
        <v>95</v>
      </c>
      <c r="Q229" s="1">
        <v>103</v>
      </c>
      <c r="R229" s="1">
        <v>26</v>
      </c>
      <c r="S229" s="1">
        <v>12</v>
      </c>
    </row>
    <row r="230" spans="1:19">
      <c r="A230" s="1">
        <v>2024</v>
      </c>
      <c r="B230" s="1">
        <v>64</v>
      </c>
      <c r="C230" s="1" t="s">
        <v>97</v>
      </c>
      <c r="D230" s="1" t="e">
        <f t="array" aca="1" ref="D230" ca="1">_xludf.XLOOKUP(C230,'country region mapping'!$A$2:$A$250, 'country region mapping'!$E$2:$E$250)</f>
        <v>#NAME?</v>
      </c>
      <c r="E230" s="1" t="e">
        <f t="array" aca="1" ref="E230" ca="1">_xludf.XLOOKUP(C230,'country region mapping'!$A$2:$A$267,'country region mapping'!$F$2:$F$267)</f>
        <v>#NAME?</v>
      </c>
      <c r="F230" s="1" t="e">
        <f t="array" aca="1" ref="F230" ca="1">_xludf.XLOOKUP(C230,'country region mapping'!$A$2:$A$267,'country region mapping'!$G$2:$G$267)</f>
        <v>#NAME?</v>
      </c>
      <c r="G230" s="1">
        <v>5.9550000000000001</v>
      </c>
      <c r="H230" s="1">
        <v>76</v>
      </c>
      <c r="I230" s="1">
        <v>91</v>
      </c>
      <c r="J230" s="1">
        <v>45</v>
      </c>
      <c r="K230" s="1">
        <v>55</v>
      </c>
      <c r="L230" s="1">
        <v>9</v>
      </c>
      <c r="M230" s="1">
        <v>11</v>
      </c>
      <c r="N230" s="1">
        <v>72</v>
      </c>
      <c r="O230" s="1">
        <v>36</v>
      </c>
      <c r="P230" s="1">
        <v>54</v>
      </c>
      <c r="Q230" s="1">
        <v>11</v>
      </c>
      <c r="R230" s="1">
        <v>23</v>
      </c>
      <c r="S230" s="1">
        <v>62</v>
      </c>
    </row>
    <row r="231" spans="1:19">
      <c r="A231" s="1">
        <v>2024</v>
      </c>
      <c r="B231" s="1">
        <v>123</v>
      </c>
      <c r="C231" s="1" t="s">
        <v>311</v>
      </c>
      <c r="D231" s="1" t="e">
        <f t="array" aca="1" ref="D231" ca="1">_xludf.XLOOKUP(C231,'country region mapping'!$A$2:$A$250, 'country region mapping'!$E$2:$E$250)</f>
        <v>#NAME?</v>
      </c>
      <c r="E231" s="1" t="e">
        <f t="array" aca="1" ref="E231" ca="1">_xludf.XLOOKUP(C231,'country region mapping'!$A$2:$A$267,'country region mapping'!$F$2:$F$267)</f>
        <v>#NAME?</v>
      </c>
      <c r="F231" s="1" t="e">
        <f t="array" aca="1" ref="F231" ca="1">_xludf.XLOOKUP(C231,'country region mapping'!$A$2:$A$267,'country region mapping'!$G$2:$G$267)</f>
        <v>#NAME?</v>
      </c>
      <c r="G231" s="1">
        <v>4.3449999999999998</v>
      </c>
      <c r="H231" s="1">
        <v>123</v>
      </c>
      <c r="I231" s="1">
        <v>126</v>
      </c>
      <c r="J231" s="1">
        <v>127</v>
      </c>
      <c r="K231" s="1">
        <v>109</v>
      </c>
      <c r="L231" s="1">
        <v>69</v>
      </c>
      <c r="M231" s="1">
        <v>120</v>
      </c>
      <c r="N231" s="1">
        <v>68</v>
      </c>
      <c r="O231" s="1">
        <v>63</v>
      </c>
      <c r="P231" s="1">
        <v>128</v>
      </c>
      <c r="Q231" s="1">
        <v>120</v>
      </c>
      <c r="R231" s="1">
        <v>39</v>
      </c>
      <c r="S231" s="1">
        <v>66</v>
      </c>
    </row>
    <row r="232" spans="1:19">
      <c r="A232" s="1">
        <v>2024</v>
      </c>
      <c r="B232" s="1">
        <v>67</v>
      </c>
      <c r="C232" s="1" t="s">
        <v>124</v>
      </c>
      <c r="D232" s="1" t="e">
        <f t="array" aca="1" ref="D232" ca="1">_xludf.XLOOKUP(C232,'country region mapping'!$A$2:$A$250, 'country region mapping'!$E$2:$E$250)</f>
        <v>#NAME?</v>
      </c>
      <c r="E232" s="1" t="e">
        <f t="array" aca="1" ref="E232" ca="1">_xludf.XLOOKUP(C232,'country region mapping'!$A$2:$A$267,'country region mapping'!$F$2:$F$267)</f>
        <v>#NAME?</v>
      </c>
      <c r="F232" s="1" t="e">
        <f t="array" aca="1" ref="F232" ca="1">_xludf.XLOOKUP(C232,'country region mapping'!$A$2:$A$267,'country region mapping'!$G$2:$G$267)</f>
        <v>#NAME?</v>
      </c>
      <c r="G232" s="1">
        <v>5.9420000000000002</v>
      </c>
      <c r="H232" s="1">
        <v>55</v>
      </c>
      <c r="I232" s="1">
        <v>88</v>
      </c>
      <c r="K232" s="1">
        <v>10</v>
      </c>
      <c r="L232" s="1">
        <v>122</v>
      </c>
      <c r="M232" s="1">
        <v>67</v>
      </c>
      <c r="N232" s="1">
        <v>128</v>
      </c>
      <c r="O232" s="14">
        <v>87</v>
      </c>
      <c r="P232" s="14">
        <v>97</v>
      </c>
      <c r="Q232" s="14">
        <v>67</v>
      </c>
      <c r="R232" s="14">
        <v>65</v>
      </c>
      <c r="S232" s="14">
        <v>79</v>
      </c>
    </row>
    <row r="233" spans="1:19">
      <c r="A233" s="1">
        <v>2024</v>
      </c>
      <c r="B233" s="1">
        <v>114</v>
      </c>
      <c r="C233" s="1" t="s">
        <v>206</v>
      </c>
      <c r="D233" s="1" t="e">
        <f t="array" aca="1" ref="D233" ca="1">_xludf.XLOOKUP(C233,'country region mapping'!$A$2:$A$250, 'country region mapping'!$E$2:$E$250)</f>
        <v>#NAME?</v>
      </c>
      <c r="E233" s="1" t="e">
        <f t="array" aca="1" ref="E233" ca="1">_xludf.XLOOKUP(C233,'country region mapping'!$A$2:$A$267,'country region mapping'!$F$2:$F$267)</f>
        <v>#NAME?</v>
      </c>
      <c r="F233" s="1" t="e">
        <f t="array" aca="1" ref="F233" ca="1">_xludf.XLOOKUP(C233,'country region mapping'!$A$2:$A$267,'country region mapping'!$G$2:$G$267)</f>
        <v>#NAME?</v>
      </c>
      <c r="G233" s="1">
        <v>4.5419999999999998</v>
      </c>
      <c r="H233" s="1">
        <v>117</v>
      </c>
      <c r="I233" s="1">
        <v>116</v>
      </c>
      <c r="J233" s="1">
        <v>104</v>
      </c>
      <c r="K233" s="1"/>
      <c r="L233" s="1">
        <v>131</v>
      </c>
      <c r="M233" s="1">
        <v>74</v>
      </c>
      <c r="N233" s="1">
        <v>26</v>
      </c>
      <c r="O233" s="1">
        <v>57</v>
      </c>
      <c r="P233" s="1">
        <v>107</v>
      </c>
      <c r="Q233" s="1">
        <v>74</v>
      </c>
      <c r="R233" s="1">
        <v>54</v>
      </c>
      <c r="S233" s="1">
        <v>18</v>
      </c>
    </row>
    <row r="234" spans="1:19">
      <c r="A234" s="1">
        <v>2024</v>
      </c>
      <c r="B234" s="1">
        <v>78</v>
      </c>
      <c r="C234" s="1" t="s">
        <v>121</v>
      </c>
      <c r="D234" s="1" t="e">
        <f t="array" aca="1" ref="D234" ca="1">_xludf.XLOOKUP(C234,'country region mapping'!$A$2:$A$250, 'country region mapping'!$E$2:$E$250)</f>
        <v>#NAME?</v>
      </c>
      <c r="E234" s="1" t="e">
        <f t="array" aca="1" ref="E234" ca="1">_xludf.XLOOKUP(C234,'country region mapping'!$A$2:$A$267,'country region mapping'!$F$2:$F$267)</f>
        <v>#NAME?</v>
      </c>
      <c r="F234" s="1" t="e">
        <f t="array" aca="1" ref="F234" ca="1">_xludf.XLOOKUP(C234,'country region mapping'!$A$2:$A$267,'country region mapping'!$G$2:$G$267)</f>
        <v>#NAME?</v>
      </c>
      <c r="G234" s="1">
        <v>5.8319999999999999</v>
      </c>
      <c r="H234" s="1">
        <v>81</v>
      </c>
      <c r="I234" s="1">
        <v>62</v>
      </c>
      <c r="J234" s="1">
        <v>49</v>
      </c>
      <c r="K234" s="1">
        <v>61</v>
      </c>
      <c r="L234" s="1">
        <v>71</v>
      </c>
      <c r="M234" s="1">
        <v>70</v>
      </c>
      <c r="N234" s="1">
        <v>46</v>
      </c>
      <c r="O234" s="1">
        <v>55</v>
      </c>
      <c r="P234" s="1">
        <v>6</v>
      </c>
      <c r="Q234" s="1">
        <v>70</v>
      </c>
      <c r="R234" s="1">
        <v>35</v>
      </c>
      <c r="S234" s="1">
        <v>99</v>
      </c>
    </row>
    <row r="235" spans="1:19">
      <c r="A235" s="1">
        <v>2024</v>
      </c>
      <c r="B235" s="1">
        <v>10</v>
      </c>
      <c r="C235" s="1" t="s">
        <v>61</v>
      </c>
      <c r="D235" s="1" t="e">
        <f t="array" aca="1" ref="D235" ca="1">_xludf.XLOOKUP(C235,'country region mapping'!$A$2:$A$250, 'country region mapping'!$E$2:$E$250)</f>
        <v>#NAME?</v>
      </c>
      <c r="E235" s="1" t="e">
        <f t="array" aca="1" ref="E235" ca="1">_xludf.XLOOKUP(C235,'country region mapping'!$A$2:$A$267,'country region mapping'!$F$2:$F$267)</f>
        <v>#NAME?</v>
      </c>
      <c r="F235" s="1" t="e">
        <f t="array" aca="1" ref="F235" ca="1">_xludf.XLOOKUP(C235,'country region mapping'!$A$2:$A$267,'country region mapping'!$G$2:$G$267)</f>
        <v>#NAME?</v>
      </c>
      <c r="G235" s="1">
        <v>6.9790000000000001</v>
      </c>
      <c r="H235" s="1">
        <v>71</v>
      </c>
      <c r="I235" s="1">
        <v>61</v>
      </c>
      <c r="J235" s="1">
        <v>57</v>
      </c>
      <c r="K235" s="1">
        <v>79</v>
      </c>
      <c r="L235" s="1">
        <v>27</v>
      </c>
      <c r="M235" s="1">
        <v>104</v>
      </c>
      <c r="N235" s="1">
        <v>59</v>
      </c>
      <c r="O235" s="1">
        <v>6</v>
      </c>
      <c r="P235" s="1">
        <v>14</v>
      </c>
      <c r="Q235" s="1">
        <v>104</v>
      </c>
      <c r="R235" s="1">
        <v>81</v>
      </c>
      <c r="S235" s="1">
        <v>44</v>
      </c>
    </row>
    <row r="236" spans="1:19">
      <c r="A236" s="1">
        <v>2024</v>
      </c>
      <c r="B236" s="1">
        <v>77</v>
      </c>
      <c r="C236" s="1" t="s">
        <v>163</v>
      </c>
      <c r="D236" s="1" t="e">
        <f t="array" aca="1" ref="D236" ca="1">_xludf.XLOOKUP(C236,'country region mapping'!$A$2:$A$250, 'country region mapping'!$E$2:$E$250)</f>
        <v>#NAME?</v>
      </c>
      <c r="E236" s="1" t="e">
        <f t="array" aca="1" ref="E236" ca="1">_xludf.XLOOKUP(C236,'country region mapping'!$A$2:$A$267,'country region mapping'!$F$2:$F$267)</f>
        <v>#NAME?</v>
      </c>
      <c r="F236" s="1" t="e">
        <f t="array" aca="1" ref="F236" ca="1">_xludf.XLOOKUP(C236,'country region mapping'!$A$2:$A$267,'country region mapping'!$G$2:$G$267)</f>
        <v>#NAME?</v>
      </c>
      <c r="G236" s="1">
        <v>5.8330000000000002</v>
      </c>
      <c r="H236" s="1">
        <v>54</v>
      </c>
      <c r="I236" s="1">
        <v>11</v>
      </c>
      <c r="J236" s="1">
        <v>69</v>
      </c>
      <c r="K236" s="1">
        <v>80</v>
      </c>
      <c r="L236" s="1">
        <v>113</v>
      </c>
      <c r="M236" s="1">
        <v>26</v>
      </c>
      <c r="N236" s="1">
        <v>107</v>
      </c>
      <c r="O236" s="1">
        <v>110</v>
      </c>
      <c r="P236" s="1">
        <v>10</v>
      </c>
      <c r="Q236" s="1">
        <v>26</v>
      </c>
      <c r="R236" s="1">
        <v>21</v>
      </c>
      <c r="S236" s="1">
        <v>135</v>
      </c>
    </row>
    <row r="237" spans="1:19">
      <c r="A237" s="1">
        <v>2024</v>
      </c>
      <c r="B237" s="1">
        <v>71</v>
      </c>
      <c r="C237" s="1" t="s">
        <v>147</v>
      </c>
      <c r="D237" s="1" t="e">
        <f t="array" aca="1" ref="D237" ca="1">_xludf.XLOOKUP(C237,'country region mapping'!$A$2:$A$250, 'country region mapping'!$E$2:$E$250)</f>
        <v>#NAME?</v>
      </c>
      <c r="E237" s="1" t="e">
        <f t="array" aca="1" ref="E237" ca="1">_xludf.XLOOKUP(C237,'country region mapping'!$A$2:$A$267,'country region mapping'!$F$2:$F$267)</f>
        <v>#NAME?</v>
      </c>
      <c r="F237" s="1" t="e">
        <f t="array" aca="1" ref="F237" ca="1">_xludf.XLOOKUP(C237,'country region mapping'!$A$2:$A$267,'country region mapping'!$G$2:$G$267)</f>
        <v>#NAME?</v>
      </c>
      <c r="G237" s="1">
        <v>5.8769999999999998</v>
      </c>
      <c r="H237" s="1">
        <v>26</v>
      </c>
      <c r="I237" s="1">
        <v>39</v>
      </c>
      <c r="J237" s="1">
        <v>48</v>
      </c>
      <c r="K237" s="1"/>
      <c r="L237" s="1">
        <v>61</v>
      </c>
      <c r="M237" s="1">
        <v>99</v>
      </c>
      <c r="N237" s="1">
        <v>44</v>
      </c>
      <c r="O237" s="1">
        <v>124</v>
      </c>
      <c r="P237" s="1">
        <v>65</v>
      </c>
      <c r="Q237" s="1">
        <v>99</v>
      </c>
      <c r="R237" s="1">
        <v>138</v>
      </c>
      <c r="S237" s="1">
        <v>137</v>
      </c>
    </row>
    <row r="238" spans="1:19">
      <c r="A238" s="1">
        <v>2024</v>
      </c>
      <c r="B238" s="1">
        <v>112</v>
      </c>
      <c r="C238" s="1" t="s">
        <v>150</v>
      </c>
      <c r="D238" s="1" t="e">
        <f t="array" aca="1" ref="D238" ca="1">_xludf.XLOOKUP(C238,'country region mapping'!$A$2:$A$250, 'country region mapping'!$E$2:$E$250)</f>
        <v>#NAME?</v>
      </c>
      <c r="E238" s="1" t="e">
        <f t="array" aca="1" ref="E238" ca="1">_xludf.XLOOKUP(C238,'country region mapping'!$A$2:$A$267,'country region mapping'!$F$2:$F$267)</f>
        <v>#NAME?</v>
      </c>
      <c r="F238" s="1" t="e">
        <f t="array" aca="1" ref="F238" ca="1">_xludf.XLOOKUP(C238,'country region mapping'!$A$2:$A$267,'country region mapping'!$G$2:$G$267)</f>
        <v>#NAME?</v>
      </c>
      <c r="G238" s="1">
        <v>4.6219999999999999</v>
      </c>
      <c r="H238" s="1">
        <v>130</v>
      </c>
      <c r="I238" s="1">
        <v>138</v>
      </c>
      <c r="J238" s="1">
        <v>95</v>
      </c>
      <c r="K238" s="1">
        <v>72</v>
      </c>
      <c r="L238" s="1">
        <v>94</v>
      </c>
      <c r="M238" s="1">
        <v>142</v>
      </c>
      <c r="N238" s="1">
        <v>60</v>
      </c>
      <c r="O238" s="1">
        <v>134</v>
      </c>
      <c r="P238" s="1">
        <v>118</v>
      </c>
      <c r="Q238" s="1">
        <v>142</v>
      </c>
      <c r="R238" s="1">
        <v>124</v>
      </c>
      <c r="S238" s="1">
        <v>52</v>
      </c>
    </row>
    <row r="239" spans="1:19">
      <c r="A239" s="1">
        <v>2024</v>
      </c>
      <c r="B239" s="1">
        <v>96</v>
      </c>
      <c r="C239" s="1" t="s">
        <v>252</v>
      </c>
      <c r="D239" s="1" t="e">
        <f t="array" aca="1" ref="D239" ca="1">_xludf.XLOOKUP(C239,'country region mapping'!$A$2:$A$250, 'country region mapping'!$E$2:$E$250)</f>
        <v>#NAME?</v>
      </c>
      <c r="E239" s="1" t="e">
        <f t="array" aca="1" ref="E239" ca="1">_xludf.XLOOKUP(C239,'country region mapping'!$A$2:$A$267,'country region mapping'!$F$2:$F$267)</f>
        <v>#NAME?</v>
      </c>
      <c r="F239" s="1" t="e">
        <f t="array" aca="1" ref="F239" ca="1">_xludf.XLOOKUP(C239,'country region mapping'!$A$2:$A$267,'country region mapping'!$G$2:$G$267)</f>
        <v>#NAME?</v>
      </c>
      <c r="G239" s="1">
        <v>5.19</v>
      </c>
      <c r="H239" s="1">
        <v>140</v>
      </c>
      <c r="I239" s="1">
        <v>102</v>
      </c>
      <c r="J239" s="1">
        <v>133</v>
      </c>
      <c r="K239" s="1">
        <v>117</v>
      </c>
      <c r="L239" s="1">
        <v>100</v>
      </c>
      <c r="M239" s="1">
        <v>97</v>
      </c>
      <c r="N239" s="1">
        <v>38</v>
      </c>
      <c r="O239" s="1">
        <v>99</v>
      </c>
      <c r="P239" s="1">
        <v>127</v>
      </c>
      <c r="Q239" s="1">
        <v>97</v>
      </c>
      <c r="R239" s="1">
        <v>34</v>
      </c>
      <c r="S239" s="1">
        <v>81</v>
      </c>
    </row>
    <row r="240" spans="1:19">
      <c r="A240" s="1">
        <v>2024</v>
      </c>
      <c r="B240" s="1">
        <v>126</v>
      </c>
      <c r="C240" s="1" t="s">
        <v>190</v>
      </c>
      <c r="D240" s="1" t="e">
        <f t="array" aca="1" ref="D240" ca="1">_xludf.XLOOKUP(C240,'country region mapping'!$A$2:$A$250, 'country region mapping'!$E$2:$E$250)</f>
        <v>#NAME?</v>
      </c>
      <c r="E240" s="1" t="e">
        <f t="array" aca="1" ref="E240" ca="1">_xludf.XLOOKUP(C240,'country region mapping'!$A$2:$A$267,'country region mapping'!$F$2:$F$267)</f>
        <v>#NAME?</v>
      </c>
      <c r="F240" s="1" t="e">
        <f t="array" aca="1" ref="F240" ca="1">_xludf.XLOOKUP(C240,'country region mapping'!$A$2:$A$267,'country region mapping'!$G$2:$G$267)</f>
        <v>#NAME?</v>
      </c>
      <c r="G240" s="1">
        <v>4.3209999999999997</v>
      </c>
      <c r="H240" s="1">
        <v>102</v>
      </c>
      <c r="I240" s="1">
        <v>101</v>
      </c>
      <c r="J240" s="1">
        <v>109</v>
      </c>
      <c r="K240" s="1">
        <v>91</v>
      </c>
      <c r="L240" s="1">
        <v>123</v>
      </c>
      <c r="M240" s="1">
        <v>2</v>
      </c>
      <c r="N240" s="1">
        <v>35</v>
      </c>
      <c r="O240" s="1">
        <v>86</v>
      </c>
      <c r="P240" s="1">
        <v>99</v>
      </c>
      <c r="Q240" s="1">
        <v>2</v>
      </c>
      <c r="R240" s="1">
        <v>32</v>
      </c>
      <c r="S240" s="1">
        <v>89</v>
      </c>
    </row>
    <row r="241" spans="1:19">
      <c r="A241" s="1">
        <v>2024</v>
      </c>
      <c r="B241" s="1">
        <v>103</v>
      </c>
      <c r="C241" s="1" t="s">
        <v>181</v>
      </c>
      <c r="D241" s="1" t="e">
        <f t="array" aca="1" ref="D241" ca="1">_xludf.XLOOKUP(C241,'country region mapping'!$A$2:$A$250, 'country region mapping'!$E$2:$E$250)</f>
        <v>#NAME?</v>
      </c>
      <c r="E241" s="1" t="e">
        <f t="array" aca="1" ref="E241" ca="1">_xludf.XLOOKUP(C241,'country region mapping'!$A$2:$A$267,'country region mapping'!$F$2:$F$267)</f>
        <v>#NAME?</v>
      </c>
      <c r="F241" s="1" t="e">
        <f t="array" aca="1" ref="F241" ca="1">_xludf.XLOOKUP(C241,'country region mapping'!$A$2:$A$267,'country region mapping'!$G$2:$G$267)</f>
        <v>#NAME?</v>
      </c>
      <c r="G241" s="1">
        <v>4.9109999999999996</v>
      </c>
      <c r="H241" s="1">
        <v>42</v>
      </c>
      <c r="I241" s="1">
        <v>45</v>
      </c>
      <c r="J241" s="1">
        <v>91</v>
      </c>
      <c r="K241" s="1">
        <v>129</v>
      </c>
      <c r="L241" s="1">
        <v>113</v>
      </c>
      <c r="M241" s="1">
        <v>135</v>
      </c>
      <c r="N241" s="1">
        <v>99</v>
      </c>
      <c r="O241" s="1">
        <v>98</v>
      </c>
      <c r="P241" s="1">
        <v>22</v>
      </c>
      <c r="Q241" s="1">
        <v>135</v>
      </c>
      <c r="R241" s="1">
        <v>56</v>
      </c>
      <c r="S241" s="1">
        <v>88</v>
      </c>
    </row>
    <row r="242" spans="1:19">
      <c r="A242" s="1">
        <v>2024</v>
      </c>
      <c r="B242" s="1">
        <v>92</v>
      </c>
      <c r="C242" s="1" t="s">
        <v>172</v>
      </c>
      <c r="D242" s="1" t="e">
        <f t="array" aca="1" ref="D242" ca="1">_xludf.XLOOKUP(C242,'country region mapping'!$A$2:$A$250, 'country region mapping'!$E$2:$E$250)</f>
        <v>#NAME?</v>
      </c>
      <c r="E242" s="1" t="e">
        <f t="array" aca="1" ref="E242" ca="1">_xludf.XLOOKUP(C242,'country region mapping'!$A$2:$A$267,'country region mapping'!$F$2:$F$267)</f>
        <v>#NAME?</v>
      </c>
      <c r="F242" s="1" t="e">
        <f t="array" aca="1" ref="F242" ca="1">_xludf.XLOOKUP(C242,'country region mapping'!$A$2:$A$267,'country region mapping'!$G$2:$G$267)</f>
        <v>#NAME?</v>
      </c>
      <c r="G242" s="1">
        <v>5.3109999999999999</v>
      </c>
      <c r="H242" s="1">
        <v>116</v>
      </c>
      <c r="I242" s="1">
        <v>105</v>
      </c>
      <c r="J242" s="1">
        <v>110</v>
      </c>
      <c r="K242" s="1">
        <v>89</v>
      </c>
      <c r="L242" s="1">
        <v>78</v>
      </c>
      <c r="M242" s="1">
        <v>76</v>
      </c>
      <c r="N242" s="1">
        <v>93</v>
      </c>
      <c r="O242" s="1">
        <v>138</v>
      </c>
      <c r="P242" s="1">
        <v>100</v>
      </c>
      <c r="Q242" s="1">
        <v>76</v>
      </c>
      <c r="R242" s="1">
        <v>55</v>
      </c>
      <c r="S242" s="1">
        <v>100</v>
      </c>
    </row>
    <row r="243" spans="1:19">
      <c r="A243" s="1">
        <v>2024</v>
      </c>
      <c r="B243" s="1">
        <v>5</v>
      </c>
      <c r="C243" s="1" t="s">
        <v>40</v>
      </c>
      <c r="D243" s="1" t="e">
        <f t="array" aca="1" ref="D243" ca="1">_xludf.XLOOKUP(C243,'country region mapping'!$A$2:$A$267,'country region mapping'!$E$2:$E$267)</f>
        <v>#NAME?</v>
      </c>
      <c r="E243" s="1" t="e">
        <f t="array" aca="1" ref="E243" ca="1">_xludf.XLOOKUP(C243,'country region mapping'!$A$2:$A$267,'country region mapping'!$F$2:$F$267)</f>
        <v>#NAME?</v>
      </c>
      <c r="F243" s="1" t="e">
        <f t="array" aca="1" ref="F243" ca="1">_xludf.XLOOKUP(C243,'country region mapping'!$A$2:$A$267,'country region mapping'!$G$2:$G$267)</f>
        <v>#NAME?</v>
      </c>
      <c r="G243" s="1">
        <v>7.306</v>
      </c>
      <c r="H243" s="1">
        <v>1</v>
      </c>
      <c r="I243" s="1">
        <v>28</v>
      </c>
      <c r="J243" s="1">
        <v>6</v>
      </c>
      <c r="K243" s="1"/>
      <c r="L243" s="1">
        <v>41</v>
      </c>
      <c r="M243" s="1">
        <v>9</v>
      </c>
      <c r="N243" s="1">
        <v>11</v>
      </c>
      <c r="O243" s="1">
        <v>41</v>
      </c>
      <c r="P243" s="1">
        <v>34</v>
      </c>
      <c r="Q243" s="1">
        <v>9</v>
      </c>
      <c r="R243" s="1">
        <v>46</v>
      </c>
      <c r="S243" s="1">
        <v>128</v>
      </c>
    </row>
    <row r="244" spans="1:19">
      <c r="A244" s="1">
        <v>2024</v>
      </c>
      <c r="B244" s="1">
        <v>12</v>
      </c>
      <c r="C244" s="1" t="s">
        <v>42</v>
      </c>
      <c r="D244" s="1" t="e">
        <f t="array" aca="1" ref="D244" ca="1">_xludf.XLOOKUP(C244,'country region mapping'!$A$2:$A$250, 'country region mapping'!$E$2:$E$250)</f>
        <v>#NAME?</v>
      </c>
      <c r="E244" s="1" t="e">
        <f t="array" aca="1" ref="E244" ca="1">_xludf.XLOOKUP(C244,'country region mapping'!$A$2:$A$267,'country region mapping'!$F$2:$F$267)</f>
        <v>#NAME?</v>
      </c>
      <c r="F244" s="1" t="e">
        <f t="array" aca="1" ref="F244" ca="1">_xludf.XLOOKUP(C244,'country region mapping'!$A$2:$A$267,'country region mapping'!$G$2:$G$267)</f>
        <v>#NAME?</v>
      </c>
      <c r="G244" s="1">
        <v>6.952</v>
      </c>
      <c r="H244" s="1">
        <v>32</v>
      </c>
      <c r="I244" s="1">
        <v>24</v>
      </c>
      <c r="J244" s="1">
        <v>24</v>
      </c>
      <c r="K244" s="1">
        <v>17</v>
      </c>
      <c r="L244" s="1">
        <v>32</v>
      </c>
      <c r="M244" s="1">
        <v>25</v>
      </c>
      <c r="N244" s="1">
        <v>6</v>
      </c>
      <c r="O244" s="1">
        <v>26</v>
      </c>
      <c r="P244" s="1">
        <v>45</v>
      </c>
      <c r="Q244" s="1">
        <v>25</v>
      </c>
      <c r="R244" s="1">
        <v>27</v>
      </c>
      <c r="S244" s="1">
        <v>41</v>
      </c>
    </row>
    <row r="245" spans="1:19">
      <c r="A245" s="1">
        <v>2024</v>
      </c>
      <c r="B245" s="1">
        <v>47</v>
      </c>
      <c r="C245" s="1" t="s">
        <v>98</v>
      </c>
      <c r="D245" s="1" t="e">
        <f t="array" aca="1" ref="D245" ca="1">_xludf.XLOOKUP(C245,'country region mapping'!$A$2:$A$250, 'country region mapping'!$E$2:$E$250)</f>
        <v>#NAME?</v>
      </c>
      <c r="E245" s="1" t="e">
        <f t="array" aca="1" ref="E245" ca="1">_xludf.XLOOKUP(C245,'country region mapping'!$A$2:$A$267,'country region mapping'!$F$2:$F$267)</f>
        <v>#NAME?</v>
      </c>
      <c r="F245" s="1" t="e">
        <f t="array" aca="1" ref="F245" ca="1">_xludf.XLOOKUP(C245,'country region mapping'!$A$2:$A$267,'country region mapping'!$G$2:$G$267)</f>
        <v>#NAME?</v>
      </c>
      <c r="G245" s="1">
        <v>6.33</v>
      </c>
      <c r="H245" s="1">
        <v>112</v>
      </c>
      <c r="I245" s="1">
        <v>60</v>
      </c>
      <c r="J245" s="1">
        <v>98</v>
      </c>
      <c r="K245" s="1">
        <v>50</v>
      </c>
      <c r="L245" s="1">
        <v>39</v>
      </c>
      <c r="M245" s="1">
        <v>82</v>
      </c>
      <c r="N245" s="1">
        <v>17</v>
      </c>
      <c r="O245" s="1">
        <v>14</v>
      </c>
      <c r="P245" s="1">
        <v>91</v>
      </c>
      <c r="Q245" s="1">
        <v>82</v>
      </c>
      <c r="R245" s="1">
        <v>51</v>
      </c>
      <c r="S245" s="1">
        <v>82</v>
      </c>
    </row>
    <row r="246" spans="1:19">
      <c r="A246" s="1">
        <v>2024</v>
      </c>
      <c r="B246" s="1">
        <v>68</v>
      </c>
      <c r="C246" s="1" t="s">
        <v>142</v>
      </c>
      <c r="D246" s="1" t="e">
        <f t="array" aca="1" ref="D246" ca="1">_xludf.XLOOKUP(C246,'country region mapping'!$A$2:$A$250, 'country region mapping'!$E$2:$E$250)</f>
        <v>#NAME?</v>
      </c>
      <c r="E246" s="1" t="e">
        <f t="array" aca="1" ref="E246" ca="1">_xludf.XLOOKUP(C246,'country region mapping'!$A$2:$A$267,'country region mapping'!$F$2:$F$267)</f>
        <v>#NAME?</v>
      </c>
      <c r="F246" s="1" t="e">
        <f t="array" aca="1" ref="F246" ca="1">_xludf.XLOOKUP(C246,'country region mapping'!$A$2:$A$267,'country region mapping'!$G$2:$G$267)</f>
        <v>#NAME?</v>
      </c>
      <c r="G246" s="1">
        <v>5.9210000000000003</v>
      </c>
      <c r="H246" s="1">
        <v>85</v>
      </c>
      <c r="I246" s="1">
        <v>98</v>
      </c>
      <c r="J246" s="1">
        <v>56</v>
      </c>
      <c r="K246" s="1">
        <v>26</v>
      </c>
      <c r="L246" s="1">
        <v>65</v>
      </c>
      <c r="M246" s="1">
        <v>105</v>
      </c>
      <c r="O246" s="1">
        <v>68</v>
      </c>
      <c r="P246" s="1">
        <v>27</v>
      </c>
      <c r="Q246" s="1">
        <v>105</v>
      </c>
      <c r="R246" s="1">
        <v>80</v>
      </c>
      <c r="S246" s="1">
        <v>131</v>
      </c>
    </row>
    <row r="247" spans="1:19">
      <c r="A247" s="1">
        <v>2024</v>
      </c>
      <c r="B247" s="1">
        <v>105</v>
      </c>
      <c r="C247" s="1" t="s">
        <v>165</v>
      </c>
      <c r="D247" s="1" t="e">
        <f t="array" aca="1" ref="D247" ca="1">_xludf.XLOOKUP(C247,'country region mapping'!$A$2:$A$250, 'country region mapping'!$E$2:$E$250)</f>
        <v>#NAME?</v>
      </c>
      <c r="E247" s="1" t="e">
        <f t="array" aca="1" ref="E247" ca="1">_xludf.XLOOKUP(C247,'country region mapping'!$A$2:$A$267,'country region mapping'!$F$2:$F$267)</f>
        <v>#NAME?</v>
      </c>
      <c r="F247" s="1" t="e">
        <f t="array" aca="1" ref="F247" ca="1">_xludf.XLOOKUP(C247,'country region mapping'!$A$2:$A$267,'country region mapping'!$G$2:$G$267)</f>
        <v>#NAME?</v>
      </c>
      <c r="G247" s="1">
        <v>4.8849999999999998</v>
      </c>
      <c r="H247" s="1">
        <v>74</v>
      </c>
      <c r="I247" s="1">
        <v>112</v>
      </c>
      <c r="J247" s="1">
        <v>107</v>
      </c>
      <c r="K247" s="1">
        <v>104</v>
      </c>
      <c r="L247" s="1">
        <v>127</v>
      </c>
      <c r="M247" s="1">
        <v>47</v>
      </c>
      <c r="N247" s="1">
        <v>121</v>
      </c>
      <c r="O247" s="1">
        <v>77</v>
      </c>
      <c r="P247" s="1">
        <v>68</v>
      </c>
      <c r="Q247" s="1">
        <v>47</v>
      </c>
      <c r="R247" s="1">
        <v>8</v>
      </c>
      <c r="S247" s="1">
        <v>13</v>
      </c>
    </row>
    <row r="248" spans="1:19">
      <c r="A248" s="1">
        <v>2024</v>
      </c>
      <c r="B248" s="1">
        <v>86</v>
      </c>
      <c r="C248" s="1" t="s">
        <v>156</v>
      </c>
      <c r="D248" s="1" t="e">
        <f t="array" aca="1" ref="D248" ca="1">_xludf.XLOOKUP(C248,'country region mapping'!$A$2:$A$250, 'country region mapping'!$E$2:$E$250)</f>
        <v>#NAME?</v>
      </c>
      <c r="E248" s="1" t="e">
        <f t="array" aca="1" ref="E248" ca="1">_xludf.XLOOKUP(C248,'country region mapping'!$A$2:$A$267,'country region mapping'!$F$2:$F$267)</f>
        <v>#NAME?</v>
      </c>
      <c r="F248" s="1" t="e">
        <f t="array" aca="1" ref="F248" ca="1">_xludf.XLOOKUP(C248,'country region mapping'!$A$2:$A$267,'country region mapping'!$G$2:$G$267)</f>
        <v>#NAME?</v>
      </c>
      <c r="G248" s="1">
        <v>5.5030000000000001</v>
      </c>
      <c r="H248" s="1">
        <v>51</v>
      </c>
      <c r="I248" s="1">
        <v>54</v>
      </c>
      <c r="J248" s="1">
        <v>54</v>
      </c>
      <c r="K248" s="1">
        <v>60</v>
      </c>
      <c r="L248" s="1">
        <v>119</v>
      </c>
      <c r="M248" s="1">
        <v>46</v>
      </c>
      <c r="N248" s="1">
        <v>131</v>
      </c>
      <c r="O248" s="1">
        <v>135</v>
      </c>
      <c r="P248" s="1">
        <v>61</v>
      </c>
      <c r="Q248" s="1">
        <v>46</v>
      </c>
      <c r="R248" s="1">
        <v>133</v>
      </c>
      <c r="S248" s="1">
        <v>132</v>
      </c>
    </row>
    <row r="249" spans="1:19">
      <c r="A249" s="1">
        <v>2024</v>
      </c>
      <c r="B249" s="1">
        <v>7</v>
      </c>
      <c r="C249" s="1" t="s">
        <v>35</v>
      </c>
      <c r="D249" s="1" t="e">
        <f t="array" aca="1" ref="D249" ca="1">_xludf.XLOOKUP(C249,'country region mapping'!$A$2:$A$250, 'country region mapping'!$E$2:$E$250)</f>
        <v>#NAME?</v>
      </c>
      <c r="E249" s="1" t="e">
        <f t="array" aca="1" ref="E249" ca="1">_xludf.XLOOKUP(C249,'country region mapping'!$A$2:$A$267,'country region mapping'!$F$2:$F$267)</f>
        <v>#NAME?</v>
      </c>
      <c r="F249" s="1" t="e">
        <f t="array" aca="1" ref="F249" ca="1">_xludf.XLOOKUP(C249,'country region mapping'!$A$2:$A$267,'country region mapping'!$G$2:$G$267)</f>
        <v>#NAME?</v>
      </c>
      <c r="G249" s="1">
        <v>7.2619999999999996</v>
      </c>
      <c r="H249" s="1">
        <v>17</v>
      </c>
      <c r="I249" s="1">
        <v>19</v>
      </c>
      <c r="J249" s="1">
        <v>2</v>
      </c>
      <c r="K249" s="1">
        <v>5</v>
      </c>
      <c r="L249" s="1">
        <v>17</v>
      </c>
      <c r="M249" s="1">
        <v>18</v>
      </c>
      <c r="N249" s="1">
        <v>8</v>
      </c>
      <c r="O249" s="1">
        <v>29</v>
      </c>
      <c r="P249" s="1">
        <v>46</v>
      </c>
      <c r="Q249" s="1">
        <v>18</v>
      </c>
      <c r="R249" s="1">
        <v>25</v>
      </c>
      <c r="S249" s="1">
        <v>92</v>
      </c>
    </row>
    <row r="250" spans="1:19">
      <c r="A250" s="1">
        <v>2024</v>
      </c>
      <c r="B250" s="1">
        <v>70</v>
      </c>
      <c r="C250" s="1" t="s">
        <v>91</v>
      </c>
      <c r="D250" s="1" t="e">
        <f t="array" aca="1" ref="D250" ca="1">_xludf.XLOOKUP(C250,'country region mapping'!$A$2:$A$250, 'country region mapping'!$E$2:$E$250)</f>
        <v>#NAME?</v>
      </c>
      <c r="E250" s="1" t="e">
        <f t="array" aca="1" ref="E250" ca="1">_xludf.XLOOKUP(C250,'country region mapping'!$A$2:$A$267,'country region mapping'!$F$2:$F$267)</f>
        <v>#NAME?</v>
      </c>
      <c r="F250" s="1" t="e">
        <f t="array" aca="1" ref="F250" ca="1">_xludf.XLOOKUP(C250,'country region mapping'!$A$2:$A$267,'country region mapping'!$G$2:$G$267)</f>
        <v>#NAME?</v>
      </c>
      <c r="G250" s="1">
        <v>5.9050000000000002</v>
      </c>
      <c r="H250" s="1">
        <v>82</v>
      </c>
      <c r="I250" s="1">
        <v>58</v>
      </c>
      <c r="K250" s="1"/>
      <c r="L250" s="1">
        <v>82</v>
      </c>
      <c r="M250" s="1">
        <v>38</v>
      </c>
      <c r="N250" s="1">
        <v>133</v>
      </c>
      <c r="O250" s="1">
        <v>24</v>
      </c>
      <c r="P250" s="1">
        <v>104</v>
      </c>
      <c r="Q250" s="1">
        <v>38</v>
      </c>
      <c r="R250" s="1">
        <v>31</v>
      </c>
      <c r="S250" s="1">
        <v>5</v>
      </c>
    </row>
    <row r="251" spans="1:19">
      <c r="A251" s="1">
        <v>2024</v>
      </c>
      <c r="B251" s="1">
        <v>109</v>
      </c>
      <c r="C251" s="1" t="s">
        <v>152</v>
      </c>
      <c r="D251" s="1" t="e">
        <f t="array" aca="1" ref="D251" ca="1">_xludf.XLOOKUP(C251,'country region mapping'!$A$2:$A$250, 'country region mapping'!$E$2:$E$250)</f>
        <v>#NAME?</v>
      </c>
      <c r="E251" s="1" t="e">
        <f t="array" aca="1" ref="E251" ca="1">_xludf.XLOOKUP(C251,'country region mapping'!$A$2:$A$267,'country region mapping'!$F$2:$F$267)</f>
        <v>#NAME?</v>
      </c>
      <c r="F251" s="1" t="e">
        <f t="array" aca="1" ref="F251" ca="1">_xludf.XLOOKUP(C251,'country region mapping'!$A$2:$A$267,'country region mapping'!$G$2:$G$267)</f>
        <v>#NAME?</v>
      </c>
      <c r="G251" s="1">
        <v>4.7679999999999998</v>
      </c>
      <c r="H251" s="1">
        <v>101</v>
      </c>
      <c r="I251" s="1">
        <v>131</v>
      </c>
      <c r="J251" s="1">
        <v>108</v>
      </c>
      <c r="K251" s="1">
        <v>100</v>
      </c>
      <c r="L251" s="1">
        <v>135</v>
      </c>
      <c r="M251" s="1">
        <v>37</v>
      </c>
      <c r="N251" s="1">
        <v>104</v>
      </c>
      <c r="O251" s="1">
        <v>139</v>
      </c>
      <c r="P251" s="1">
        <v>114</v>
      </c>
      <c r="Q251" s="1">
        <v>37</v>
      </c>
      <c r="R251" s="1">
        <v>93</v>
      </c>
      <c r="S251" s="1">
        <v>101</v>
      </c>
    </row>
    <row r="252" spans="1:19">
      <c r="A252" s="1">
        <v>2024</v>
      </c>
      <c r="B252" s="1">
        <v>41</v>
      </c>
      <c r="C252" s="1" t="s">
        <v>67</v>
      </c>
      <c r="D252" s="1" t="e">
        <f t="array" aca="1" ref="D252" ca="1">_xludf.XLOOKUP(C252,'country region mapping'!$A$2:$A$250, 'country region mapping'!$E$2:$E$250)</f>
        <v>#NAME?</v>
      </c>
      <c r="E252" s="1" t="e">
        <f t="array" aca="1" ref="E252" ca="1">_xludf.XLOOKUP(C252,'country region mapping'!$A$2:$A$267,'country region mapping'!$F$2:$F$267)</f>
        <v>#NAME?</v>
      </c>
      <c r="F252" s="1" t="e">
        <f t="array" aca="1" ref="F252" ca="1">_xludf.XLOOKUP(C252,'country region mapping'!$A$2:$A$267,'country region mapping'!$G$2:$G$267)</f>
        <v>#NAME?</v>
      </c>
      <c r="G252" s="1">
        <v>6.407</v>
      </c>
      <c r="H252" s="1">
        <v>93</v>
      </c>
      <c r="I252" s="1">
        <v>38</v>
      </c>
      <c r="J252" s="1">
        <v>41</v>
      </c>
      <c r="K252" s="1">
        <v>33</v>
      </c>
      <c r="L252" s="1">
        <v>44</v>
      </c>
      <c r="M252" s="1">
        <v>124</v>
      </c>
      <c r="N252" s="1">
        <v>116</v>
      </c>
      <c r="O252" s="1">
        <v>3</v>
      </c>
      <c r="P252" s="1">
        <v>48</v>
      </c>
      <c r="Q252" s="1">
        <v>124</v>
      </c>
      <c r="R252" s="1">
        <v>102</v>
      </c>
      <c r="S252" s="1">
        <v>111</v>
      </c>
    </row>
    <row r="253" spans="1:19">
      <c r="A253" s="1">
        <v>2024</v>
      </c>
      <c r="B253" s="1">
        <v>54</v>
      </c>
      <c r="C253" s="1" t="s">
        <v>126</v>
      </c>
      <c r="D253" s="1" t="e">
        <f t="array" aca="1" ref="D253" ca="1">_xludf.XLOOKUP(C253,'country region mapping'!$A$2:$A$250, 'country region mapping'!$E$2:$E$250)</f>
        <v>#NAME?</v>
      </c>
      <c r="E253" s="1" t="e">
        <f t="array" aca="1" ref="E253" ca="1">_xludf.XLOOKUP(C253,'country region mapping'!$A$2:$A$267,'country region mapping'!$F$2:$F$267)</f>
        <v>#NAME?</v>
      </c>
      <c r="F253" s="1" t="e">
        <f t="array" aca="1" ref="F253" ca="1">_xludf.XLOOKUP(C253,'country region mapping'!$A$2:$A$267,'country region mapping'!$G$2:$G$267)</f>
        <v>#NAME?</v>
      </c>
      <c r="G253" s="1">
        <v>6.1719999999999997</v>
      </c>
      <c r="H253" s="1">
        <v>110</v>
      </c>
      <c r="I253" s="1">
        <v>32</v>
      </c>
      <c r="J253" s="1">
        <v>72</v>
      </c>
      <c r="K253" s="1">
        <v>84</v>
      </c>
      <c r="L253" s="1">
        <v>30</v>
      </c>
      <c r="M253" s="1">
        <v>84</v>
      </c>
      <c r="N253" s="1">
        <v>108</v>
      </c>
      <c r="O253" s="1">
        <v>5</v>
      </c>
      <c r="P253" s="1">
        <v>41</v>
      </c>
      <c r="Q253" s="1">
        <v>84</v>
      </c>
      <c r="R253" s="1">
        <v>29</v>
      </c>
      <c r="S253" s="1">
        <v>53</v>
      </c>
    </row>
    <row r="254" spans="1:19">
      <c r="A254" s="1">
        <v>2024</v>
      </c>
      <c r="B254" s="1">
        <v>65</v>
      </c>
      <c r="C254" s="1" t="s">
        <v>118</v>
      </c>
      <c r="D254" s="1" t="e">
        <f t="array" aca="1" ref="D254" ca="1">_xludf.XLOOKUP(C254,'country region mapping'!$A$2:$A$250, 'country region mapping'!$E$2:$E$250)</f>
        <v>#NAME?</v>
      </c>
      <c r="E254" s="1" t="e">
        <f t="array" aca="1" ref="E254" ca="1">_xludf.XLOOKUP(C254,'country region mapping'!$A$2:$A$267,'country region mapping'!$F$2:$F$267)</f>
        <v>#NAME?</v>
      </c>
      <c r="F254" s="1" t="e">
        <f t="array" aca="1" ref="F254" ca="1">_xludf.XLOOKUP(C254,'country region mapping'!$A$2:$A$267,'country region mapping'!$G$2:$G$267)</f>
        <v>#NAME?</v>
      </c>
      <c r="G254" s="1">
        <v>5.9470000000000001</v>
      </c>
      <c r="H254" s="1">
        <v>89</v>
      </c>
      <c r="I254" s="1">
        <v>78</v>
      </c>
      <c r="J254" s="1">
        <v>73</v>
      </c>
      <c r="K254" s="1">
        <v>69</v>
      </c>
      <c r="L254" s="1">
        <v>91</v>
      </c>
      <c r="M254" s="1">
        <v>128</v>
      </c>
      <c r="N254" s="1">
        <v>129</v>
      </c>
      <c r="O254" s="1">
        <v>20</v>
      </c>
      <c r="P254" s="1">
        <v>112</v>
      </c>
      <c r="Q254" s="1">
        <v>128</v>
      </c>
      <c r="R254" s="1">
        <v>101</v>
      </c>
      <c r="S254" s="1">
        <v>113</v>
      </c>
    </row>
    <row r="255" spans="1:19">
      <c r="A255" s="1">
        <v>2024</v>
      </c>
      <c r="B255" s="1">
        <v>57</v>
      </c>
      <c r="C255" s="1" t="s">
        <v>141</v>
      </c>
      <c r="D255" s="1" t="e">
        <f t="array" aca="1" ref="D255" ca="1">_xludf.XLOOKUP(C255,'country region mapping'!$A$2:$A$250, 'country region mapping'!$E$2:$E$250)</f>
        <v>#NAME?</v>
      </c>
      <c r="E255" s="1" t="e">
        <f t="array" aca="1" ref="E255" ca="1">_xludf.XLOOKUP(C255,'country region mapping'!$A$2:$A$267,'country region mapping'!$F$2:$F$267)</f>
        <v>#NAME?</v>
      </c>
      <c r="F255" s="1" t="e">
        <f t="array" aca="1" ref="F255" ca="1">_xludf.XLOOKUP(C255,'country region mapping'!$A$2:$A$267,'country region mapping'!$G$2:$G$267)</f>
        <v>#NAME?</v>
      </c>
      <c r="G255" s="1">
        <v>6.1070000000000002</v>
      </c>
      <c r="H255" s="1">
        <v>104</v>
      </c>
      <c r="I255" s="1">
        <v>68</v>
      </c>
      <c r="J255" s="1">
        <v>89</v>
      </c>
      <c r="K255" s="1">
        <v>93</v>
      </c>
      <c r="L255" s="1">
        <v>19</v>
      </c>
      <c r="M255" s="1">
        <v>91</v>
      </c>
      <c r="N255" s="1">
        <v>78</v>
      </c>
      <c r="O255" s="1">
        <v>7</v>
      </c>
      <c r="P255" s="1">
        <v>103</v>
      </c>
      <c r="Q255" s="1">
        <v>91</v>
      </c>
      <c r="R255" s="1">
        <v>4</v>
      </c>
      <c r="S255" s="1">
        <v>20</v>
      </c>
    </row>
    <row r="256" spans="1:19">
      <c r="A256" s="1">
        <v>2024</v>
      </c>
      <c r="B256" s="1">
        <v>26</v>
      </c>
      <c r="C256" s="1" t="s">
        <v>109</v>
      </c>
      <c r="D256" s="1" t="e">
        <f t="array" aca="1" ref="D256" ca="1">_xludf.XLOOKUP(C256,'country region mapping'!$A$2:$A$250, 'country region mapping'!$E$2:$E$250)</f>
        <v>#NAME?</v>
      </c>
      <c r="E256" s="1" t="e">
        <f t="array" aca="1" ref="E256" ca="1">_xludf.XLOOKUP(C256,'country region mapping'!$A$2:$A$267,'country region mapping'!$F$2:$F$267)</f>
        <v>#NAME?</v>
      </c>
      <c r="F256" s="1" t="e">
        <f t="array" aca="1" ref="F256" ca="1">_xludf.XLOOKUP(C256,'country region mapping'!$A$2:$A$267,'country region mapping'!$G$2:$G$267)</f>
        <v>#NAME?</v>
      </c>
      <c r="G256" s="1">
        <v>6.673</v>
      </c>
      <c r="H256" s="1">
        <v>6</v>
      </c>
      <c r="I256" s="1">
        <v>34</v>
      </c>
      <c r="J256" s="1">
        <v>30</v>
      </c>
      <c r="K256" s="1">
        <v>40</v>
      </c>
      <c r="L256" s="1">
        <v>37</v>
      </c>
      <c r="M256" s="1">
        <v>114</v>
      </c>
      <c r="N256" s="1">
        <v>52</v>
      </c>
      <c r="O256" s="1">
        <v>113</v>
      </c>
      <c r="P256" s="1">
        <v>5</v>
      </c>
      <c r="Q256" s="1">
        <v>114</v>
      </c>
      <c r="R256" s="1">
        <v>126</v>
      </c>
      <c r="S256" s="1">
        <v>141</v>
      </c>
    </row>
    <row r="257" spans="1:19">
      <c r="A257" s="1">
        <v>2024</v>
      </c>
      <c r="B257" s="1">
        <v>60</v>
      </c>
      <c r="C257" s="1" t="s">
        <v>155</v>
      </c>
      <c r="D257" s="1" t="e">
        <f t="array" aca="1" ref="D257" ca="1">_xludf.XLOOKUP(C257,'country region mapping'!$A$2:$A$250, 'country region mapping'!$E$2:$E$250)</f>
        <v>#NAME?</v>
      </c>
      <c r="E257" s="1" t="e">
        <f t="array" aca="1" ref="E257" ca="1">_xludf.XLOOKUP(C257,'country region mapping'!$A$2:$A$267,'country region mapping'!$F$2:$F$267)</f>
        <v>#NAME?</v>
      </c>
      <c r="F257" s="1" t="e">
        <f t="array" aca="1" ref="F257" ca="1">_xludf.XLOOKUP(C257,'country region mapping'!$A$2:$A$267,'country region mapping'!$G$2:$G$267)</f>
        <v>#NAME?</v>
      </c>
      <c r="G257" s="1">
        <v>6.0129999999999999</v>
      </c>
      <c r="H257" s="1">
        <v>57</v>
      </c>
      <c r="I257" s="1">
        <v>51</v>
      </c>
      <c r="J257" s="1">
        <v>32</v>
      </c>
      <c r="K257" s="1">
        <v>22</v>
      </c>
      <c r="L257" s="1">
        <v>40</v>
      </c>
      <c r="M257" s="1">
        <v>111</v>
      </c>
      <c r="N257" s="1">
        <v>122</v>
      </c>
      <c r="O257" s="1">
        <v>82</v>
      </c>
      <c r="P257" s="1">
        <v>83</v>
      </c>
      <c r="Q257" s="1">
        <v>111</v>
      </c>
      <c r="R257" s="1">
        <v>118</v>
      </c>
      <c r="S257" s="1">
        <v>112</v>
      </c>
    </row>
    <row r="258" spans="1:19">
      <c r="A258" s="1">
        <v>2024</v>
      </c>
      <c r="B258" s="1">
        <v>58</v>
      </c>
      <c r="C258" s="1" t="s">
        <v>110</v>
      </c>
      <c r="D258" s="1" t="e">
        <f t="array" aca="1" ref="D258" ca="1">_xludf.XLOOKUP(C258,'country region mapping'!$A$2:$A$267,'country region mapping'!$E$2:$E$267)</f>
        <v>#NAME?</v>
      </c>
      <c r="E258" s="1" t="e">
        <f t="array" aca="1" ref="E258" ca="1">_xludf.XLOOKUP(C258,'country region mapping'!$A$2:$A$267,'country region mapping'!$F$2:$F$267)</f>
        <v>#NAME?</v>
      </c>
      <c r="F258" s="1" t="e">
        <f t="array" aca="1" ref="F258" ca="1">_xludf.XLOOKUP(C258,'country region mapping'!$A$2:$A$267,'country region mapping'!$G$2:$G$267)</f>
        <v>#NAME?</v>
      </c>
      <c r="G258" s="1">
        <v>6.0380000000000003</v>
      </c>
      <c r="H258" s="1">
        <v>69</v>
      </c>
      <c r="I258" s="1">
        <v>84</v>
      </c>
      <c r="J258" s="1">
        <v>21</v>
      </c>
      <c r="K258" s="1">
        <v>3</v>
      </c>
      <c r="L258" s="1">
        <v>104</v>
      </c>
      <c r="M258" s="1">
        <v>55</v>
      </c>
      <c r="N258" s="1">
        <v>54</v>
      </c>
      <c r="O258" s="1">
        <v>111</v>
      </c>
      <c r="P258" s="1">
        <v>70</v>
      </c>
      <c r="Q258" s="1">
        <v>55</v>
      </c>
      <c r="R258" s="1">
        <v>83</v>
      </c>
      <c r="S258" s="1">
        <v>108</v>
      </c>
    </row>
    <row r="259" spans="1:19">
      <c r="A259" s="1">
        <v>2024</v>
      </c>
      <c r="B259" s="1">
        <v>80</v>
      </c>
      <c r="C259" s="1" t="s">
        <v>285</v>
      </c>
      <c r="D259" s="1" t="e">
        <f t="array" aca="1" ref="D259" ca="1">_xludf.XLOOKUP(C259,'country region mapping'!$A$2:$A$267,'country region mapping'!$E$2:$E$267)</f>
        <v>#NAME?</v>
      </c>
      <c r="E259" s="1" t="e">
        <f t="array" aca="1" ref="E259" ca="1">_xludf.XLOOKUP(C259,'country region mapping'!$A$2:$A$267,'country region mapping'!$F$2:$F$267)</f>
        <v>#NAME?</v>
      </c>
      <c r="F259" s="1" t="e">
        <f t="array" aca="1" ref="F259" ca="1">_xludf.XLOOKUP(C259,'country region mapping'!$A$2:$A$267,'country region mapping'!$G$2:$G$267)</f>
        <v>#NAME?</v>
      </c>
      <c r="G259" s="1">
        <v>5.819</v>
      </c>
      <c r="H259" s="1">
        <v>60</v>
      </c>
      <c r="I259" s="1">
        <v>72</v>
      </c>
      <c r="J259" s="1">
        <v>70</v>
      </c>
      <c r="K259" s="1">
        <v>81</v>
      </c>
      <c r="L259" s="1">
        <v>51</v>
      </c>
      <c r="M259" s="1">
        <v>116</v>
      </c>
      <c r="N259" s="1">
        <v>125</v>
      </c>
      <c r="O259" s="1">
        <v>93</v>
      </c>
      <c r="P259" s="1">
        <v>78</v>
      </c>
      <c r="Q259" s="1">
        <v>116</v>
      </c>
      <c r="R259" s="1">
        <v>121</v>
      </c>
      <c r="S259" s="1">
        <v>78</v>
      </c>
    </row>
    <row r="260" spans="1:19">
      <c r="A260" s="1">
        <v>2024</v>
      </c>
      <c r="B260" s="1">
        <v>35</v>
      </c>
      <c r="C260" s="1" t="s">
        <v>128</v>
      </c>
      <c r="D260" s="1" t="e">
        <f t="array" aca="1" ref="D260" ca="1">_xludf.XLOOKUP(C260,'country region mapping'!$A$2:$A$250, 'country region mapping'!$E$2:$E$250)</f>
        <v>#NAME?</v>
      </c>
      <c r="E260" s="1" t="e">
        <f t="array" aca="1" ref="E260" ca="1">_xludf.XLOOKUP(C260,'country region mapping'!$A$2:$A$267,'country region mapping'!$F$2:$F$267)</f>
        <v>#NAME?</v>
      </c>
      <c r="F260" s="1" t="e">
        <f t="array" aca="1" ref="F260" ca="1">_xludf.XLOOKUP(C260,'country region mapping'!$A$2:$A$267,'country region mapping'!$G$2:$G$267)</f>
        <v>#NAME?</v>
      </c>
      <c r="G260" s="1">
        <v>6.5629999999999997</v>
      </c>
      <c r="H260" s="1">
        <v>46</v>
      </c>
      <c r="I260" s="1">
        <v>81</v>
      </c>
      <c r="J260" s="1">
        <v>34</v>
      </c>
      <c r="K260" s="1">
        <v>58</v>
      </c>
      <c r="L260" s="1">
        <v>38</v>
      </c>
      <c r="M260" s="1">
        <v>117</v>
      </c>
      <c r="N260" s="1">
        <v>126</v>
      </c>
      <c r="O260" s="1">
        <v>70</v>
      </c>
      <c r="P260" s="1">
        <v>55</v>
      </c>
      <c r="Q260" s="1">
        <v>117</v>
      </c>
      <c r="R260" s="1">
        <v>135</v>
      </c>
      <c r="S260" s="1">
        <v>107</v>
      </c>
    </row>
    <row r="261" spans="1:19">
      <c r="A261" s="1">
        <v>2024</v>
      </c>
      <c r="B261" s="1">
        <v>66</v>
      </c>
      <c r="C261" s="1" t="s">
        <v>108</v>
      </c>
      <c r="D261" s="1" t="e">
        <f t="array" aca="1" ref="D261" ca="1">_xludf.XLOOKUP(C261,'country region mapping'!$A$2:$A$250, 'country region mapping'!$E$2:$E$250)</f>
        <v>#NAME?</v>
      </c>
      <c r="E261" s="1" t="e">
        <f t="array" aca="1" ref="E261" ca="1">_xludf.XLOOKUP(C261,'country region mapping'!$A$2:$A$267,'country region mapping'!$F$2:$F$267)</f>
        <v>#NAME?</v>
      </c>
      <c r="F261" s="1" t="e">
        <f t="array" aca="1" ref="F261" ca="1">_xludf.XLOOKUP(C261,'country region mapping'!$A$2:$A$267,'country region mapping'!$G$2:$G$267)</f>
        <v>#NAME?</v>
      </c>
      <c r="G261" s="1">
        <v>5.9450000000000003</v>
      </c>
      <c r="H261" s="1">
        <v>75</v>
      </c>
      <c r="I261" s="1">
        <v>65</v>
      </c>
      <c r="J261" s="1">
        <v>33</v>
      </c>
      <c r="K261" s="1">
        <v>83</v>
      </c>
      <c r="L261" s="1">
        <v>101</v>
      </c>
      <c r="M261" s="1">
        <v>58</v>
      </c>
      <c r="N261" s="1">
        <v>65</v>
      </c>
      <c r="O261" s="1">
        <v>112</v>
      </c>
      <c r="P261" s="1">
        <v>19</v>
      </c>
      <c r="Q261" s="1">
        <v>58</v>
      </c>
      <c r="R261" s="1">
        <v>85</v>
      </c>
      <c r="S261" s="1">
        <v>72</v>
      </c>
    </row>
    <row r="262" spans="1:19">
      <c r="A262" s="1">
        <v>2024</v>
      </c>
      <c r="B262" s="1">
        <v>82</v>
      </c>
      <c r="C262" s="1" t="s">
        <v>93</v>
      </c>
      <c r="D262" s="1" t="e">
        <f t="array" aca="1" ref="D262" ca="1">_xludf.XLOOKUP(C262,'country region mapping'!$A$2:$A$267,'country region mapping'!$E$2:$E$267)</f>
        <v>#NAME?</v>
      </c>
      <c r="E262" s="1" t="e">
        <f t="array" aca="1" ref="E262" ca="1">_xludf.XLOOKUP(C262,'country region mapping'!$A$2:$A$267,'country region mapping'!$F$2:$F$267)</f>
        <v>#NAME?</v>
      </c>
      <c r="F262" s="1" t="e">
        <f t="array" aca="1" ref="F262" ca="1">_xludf.XLOOKUP(C262,'country region mapping'!$A$2:$A$267,'country region mapping'!$G$2:$G$267)</f>
        <v>#NAME?</v>
      </c>
      <c r="G262" s="1">
        <v>5.6829999999999998</v>
      </c>
      <c r="H262" s="1">
        <v>97</v>
      </c>
      <c r="I262" s="1">
        <v>89</v>
      </c>
      <c r="K262" s="1">
        <v>74</v>
      </c>
      <c r="L262" s="1">
        <v>102</v>
      </c>
      <c r="M262" s="1">
        <v>88</v>
      </c>
      <c r="N262" s="1">
        <v>36</v>
      </c>
      <c r="O262" s="1">
        <v>35</v>
      </c>
      <c r="P262" s="1">
        <v>108</v>
      </c>
      <c r="Q262" s="1">
        <v>88</v>
      </c>
      <c r="R262" s="1">
        <v>9</v>
      </c>
      <c r="S262" s="1">
        <v>2</v>
      </c>
    </row>
    <row r="263" spans="1:19">
      <c r="A263" s="1">
        <v>2024</v>
      </c>
      <c r="B263" s="1">
        <v>107</v>
      </c>
      <c r="C263" s="1" t="s">
        <v>204</v>
      </c>
      <c r="D263" s="1" t="e">
        <f t="array" aca="1" ref="D263" ca="1">_xludf.XLOOKUP(C263,'country region mapping'!$A$2:$A$250, 'country region mapping'!$E$2:$E$250)</f>
        <v>#NAME?</v>
      </c>
      <c r="E263" s="1" t="e">
        <f t="array" aca="1" ref="E263" ca="1">_xludf.XLOOKUP(C263,'country region mapping'!$A$2:$A$267,'country region mapping'!$F$2:$F$267)</f>
        <v>#NAME?</v>
      </c>
      <c r="F263" s="1" t="e">
        <f t="array" aca="1" ref="F263" ca="1">_xludf.XLOOKUP(C263,'country region mapping'!$A$2:$A$267,'country region mapping'!$G$2:$G$267)</f>
        <v>#NAME?</v>
      </c>
      <c r="G263" s="1">
        <v>4.8559999999999999</v>
      </c>
      <c r="H263" s="1">
        <v>107</v>
      </c>
      <c r="I263" s="1">
        <v>113</v>
      </c>
      <c r="J263" s="1">
        <v>113</v>
      </c>
      <c r="K263" s="1">
        <v>92</v>
      </c>
      <c r="L263" s="1">
        <v>53</v>
      </c>
      <c r="M263" s="1">
        <v>68</v>
      </c>
      <c r="N263" s="1">
        <v>53</v>
      </c>
      <c r="O263" s="1">
        <v>1</v>
      </c>
      <c r="P263" s="1">
        <v>79</v>
      </c>
      <c r="Q263" s="1">
        <v>68</v>
      </c>
      <c r="R263" s="1">
        <v>19</v>
      </c>
      <c r="S263" s="1">
        <v>7</v>
      </c>
    </row>
    <row r="264" spans="1:19">
      <c r="A264" s="1">
        <v>2024</v>
      </c>
      <c r="B264" s="1">
        <v>31</v>
      </c>
      <c r="C264" s="1" t="s">
        <v>145</v>
      </c>
      <c r="D264" s="1" t="e">
        <f t="array" aca="1" ref="D264" ca="1">_xludf.XLOOKUP(C264,'country region mapping'!$A$2:$A$250, 'country region mapping'!$E$2:$E$250)</f>
        <v>#NAME?</v>
      </c>
      <c r="E264" s="1" t="e">
        <f t="array" aca="1" ref="E264" ca="1">_xludf.XLOOKUP(C264,'country region mapping'!$A$2:$A$267,'country region mapping'!$F$2:$F$267)</f>
        <v>#NAME?</v>
      </c>
      <c r="F264" s="1" t="e">
        <f t="array" aca="1" ref="F264" ca="1">_xludf.XLOOKUP(C264,'country region mapping'!$A$2:$A$267,'country region mapping'!$G$2:$G$267)</f>
        <v>#NAME?</v>
      </c>
      <c r="G264" s="1">
        <v>6.6059999999999999</v>
      </c>
      <c r="H264" s="1">
        <v>45</v>
      </c>
      <c r="I264" s="1">
        <v>29</v>
      </c>
      <c r="J264" s="1">
        <v>51</v>
      </c>
      <c r="K264" s="1">
        <v>57</v>
      </c>
      <c r="L264" s="1">
        <v>66</v>
      </c>
      <c r="M264" s="1">
        <v>36</v>
      </c>
      <c r="N264" s="1">
        <v>61</v>
      </c>
      <c r="O264" s="1">
        <v>117</v>
      </c>
      <c r="P264" s="1">
        <v>26</v>
      </c>
      <c r="Q264" s="1">
        <v>36</v>
      </c>
      <c r="R264" s="1">
        <v>137</v>
      </c>
      <c r="S264" s="1">
        <v>129</v>
      </c>
    </row>
    <row r="265" spans="1:19">
      <c r="A265" s="1">
        <v>2024</v>
      </c>
      <c r="B265" s="1">
        <v>146</v>
      </c>
      <c r="C265" s="1" t="s">
        <v>178</v>
      </c>
      <c r="D265" s="1" t="e">
        <f t="array" aca="1" ref="D265" ca="1">_xludf.XLOOKUP(C265,'country region mapping'!$A$2:$A$250, 'country region mapping'!$E$2:$E$250)</f>
        <v>#NAME?</v>
      </c>
      <c r="E265" s="1" t="e">
        <f t="array" aca="1" ref="E265" ca="1">_xludf.XLOOKUP(C265,'country region mapping'!$A$2:$A$267,'country region mapping'!$F$2:$F$267)</f>
        <v>#NAME?</v>
      </c>
      <c r="F265" s="1" t="e">
        <f t="array" aca="1" ref="F265" ca="1">_xludf.XLOOKUP(C265,'country region mapping'!$A$2:$A$267,'country region mapping'!$G$2:$G$267)</f>
        <v>#NAME?</v>
      </c>
      <c r="G265" s="1">
        <v>2.9980000000000002</v>
      </c>
      <c r="H265" s="1">
        <v>103</v>
      </c>
      <c r="I265" s="1">
        <v>136</v>
      </c>
      <c r="J265" s="1">
        <v>120</v>
      </c>
      <c r="K265" s="1">
        <v>111</v>
      </c>
      <c r="L265" s="1">
        <v>106</v>
      </c>
      <c r="M265" s="1">
        <v>64</v>
      </c>
      <c r="N265" s="1">
        <v>109</v>
      </c>
      <c r="O265" s="1">
        <v>132</v>
      </c>
      <c r="P265" s="1">
        <v>142</v>
      </c>
      <c r="Q265" s="1">
        <v>64</v>
      </c>
      <c r="R265" s="1">
        <v>17</v>
      </c>
      <c r="S265" s="1">
        <v>4</v>
      </c>
    </row>
    <row r="266" spans="1:19">
      <c r="A266" s="1">
        <v>2024</v>
      </c>
      <c r="B266" s="1">
        <v>84</v>
      </c>
      <c r="C266" s="1" t="s">
        <v>85</v>
      </c>
      <c r="D266" s="1" t="e">
        <f t="array" aca="1" ref="D266" ca="1">_xludf.XLOOKUP(C266,'country region mapping'!$A$2:$A$250, 'country region mapping'!$E$2:$E$250)</f>
        <v>#NAME?</v>
      </c>
      <c r="E266" s="1" t="e">
        <f t="array" aca="1" ref="E266" ca="1">_xludf.XLOOKUP(C266,'country region mapping'!$A$2:$A$267,'country region mapping'!$F$2:$F$267)</f>
        <v>#NAME?</v>
      </c>
      <c r="F266" s="1" t="e">
        <f t="array" aca="1" ref="F266" ca="1">_xludf.XLOOKUP(C266,'country region mapping'!$A$2:$A$267,'country region mapping'!$G$2:$G$267)</f>
        <v>#NAME?</v>
      </c>
      <c r="G266" s="1">
        <v>5.5709999999999997</v>
      </c>
      <c r="H266" s="1">
        <v>22</v>
      </c>
      <c r="I266" s="1">
        <v>69</v>
      </c>
      <c r="J266" s="1">
        <v>74</v>
      </c>
      <c r="K266" s="1">
        <v>39</v>
      </c>
      <c r="L266" s="1">
        <v>75</v>
      </c>
      <c r="M266" s="1">
        <v>123</v>
      </c>
      <c r="O266" s="1">
        <v>131</v>
      </c>
      <c r="P266" s="1">
        <v>30</v>
      </c>
      <c r="Q266" s="1">
        <v>123</v>
      </c>
      <c r="R266" s="1">
        <v>127</v>
      </c>
      <c r="S266" s="1">
        <v>69</v>
      </c>
    </row>
    <row r="267" spans="1:19">
      <c r="A267" s="1">
        <v>2024</v>
      </c>
      <c r="B267" s="1">
        <v>50</v>
      </c>
      <c r="C267" s="1" t="s">
        <v>95</v>
      </c>
      <c r="D267" s="1" t="e">
        <f t="array" aca="1" ref="D267" ca="1">_xludf.XLOOKUP(C267,'country region mapping'!$A$2:$A$250, 'country region mapping'!$E$2:$E$250)</f>
        <v>#NAME?</v>
      </c>
      <c r="E267" s="1" t="e">
        <f t="array" aca="1" ref="E267" ca="1">_xludf.XLOOKUP(C267,'country region mapping'!$A$2:$A$267,'country region mapping'!$F$2:$F$267)</f>
        <v>#NAME?</v>
      </c>
      <c r="F267" s="1" t="e">
        <f t="array" aca="1" ref="F267" ca="1">_xludf.XLOOKUP(C267,'country region mapping'!$A$2:$A$267,'country region mapping'!$G$2:$G$267)</f>
        <v>#NAME?</v>
      </c>
      <c r="G267" s="1">
        <v>6.2210000000000001</v>
      </c>
      <c r="H267" s="1">
        <v>12</v>
      </c>
      <c r="I267" s="1">
        <v>5</v>
      </c>
      <c r="J267" s="1">
        <v>37</v>
      </c>
      <c r="K267" s="1">
        <v>47</v>
      </c>
      <c r="L267" s="1">
        <v>80</v>
      </c>
      <c r="M267" s="1">
        <v>80</v>
      </c>
      <c r="N267" s="1">
        <v>95</v>
      </c>
      <c r="O267" s="1">
        <v>83</v>
      </c>
      <c r="P267" s="1">
        <v>33</v>
      </c>
      <c r="Q267" s="1">
        <v>80</v>
      </c>
      <c r="R267" s="1">
        <v>97</v>
      </c>
      <c r="S267" s="1">
        <v>133</v>
      </c>
    </row>
    <row r="268" spans="1:19">
      <c r="A268" s="1">
        <v>2024</v>
      </c>
      <c r="B268" s="1">
        <v>19</v>
      </c>
      <c r="C268" s="1" t="s">
        <v>116</v>
      </c>
      <c r="D268" s="1" t="e">
        <f t="array" aca="1" ref="D268" ca="1">_xludf.XLOOKUP(C268,'country region mapping'!$A$2:$A$250, 'country region mapping'!$E$2:$E$250)</f>
        <v>#NAME?</v>
      </c>
      <c r="E268" s="1" t="e">
        <f t="array" aca="1" ref="E268" ca="1">_xludf.XLOOKUP(C268,'country region mapping'!$A$2:$A$267,'country region mapping'!$F$2:$F$267)</f>
        <v>#NAME?</v>
      </c>
      <c r="F268" s="1" t="e">
        <f t="array" aca="1" ref="F268" ca="1">_xludf.XLOOKUP(C268,'country region mapping'!$A$2:$A$267,'country region mapping'!$G$2:$G$267)</f>
        <v>#NAME?</v>
      </c>
      <c r="G268" s="1">
        <v>6.7919999999999998</v>
      </c>
      <c r="H268" s="1">
        <v>29</v>
      </c>
      <c r="I268" s="1">
        <v>6</v>
      </c>
      <c r="J268" s="1">
        <v>23</v>
      </c>
      <c r="K268" s="1">
        <v>23</v>
      </c>
      <c r="L268" s="1">
        <v>8</v>
      </c>
      <c r="M268" s="1">
        <v>40</v>
      </c>
      <c r="N268" s="1">
        <v>79</v>
      </c>
      <c r="O268" s="1">
        <v>95</v>
      </c>
      <c r="P268" s="1">
        <v>57</v>
      </c>
      <c r="Q268" s="1">
        <v>40</v>
      </c>
      <c r="R268" s="1">
        <v>33</v>
      </c>
      <c r="S268" s="1">
        <v>123</v>
      </c>
    </row>
    <row r="269" spans="1:19">
      <c r="A269" s="1">
        <v>2024</v>
      </c>
      <c r="B269" s="1">
        <v>122</v>
      </c>
      <c r="C269" s="1" t="s">
        <v>134</v>
      </c>
      <c r="D269" s="1" t="e">
        <f t="array" aca="1" ref="D269" ca="1">_xludf.XLOOKUP(C269,'country region mapping'!$A$2:$A$250, 'country region mapping'!$E$2:$E$250)</f>
        <v>#NAME?</v>
      </c>
      <c r="E269" s="1" t="e">
        <f t="array" aca="1" ref="E269" ca="1">_xludf.XLOOKUP(C269,'country region mapping'!$A$2:$A$267,'country region mapping'!$F$2:$F$267)</f>
        <v>#NAME?</v>
      </c>
      <c r="F269" s="1" t="e">
        <f t="array" aca="1" ref="F269" ca="1">_xludf.XLOOKUP(C269,'country region mapping'!$A$2:$A$267,'country region mapping'!$G$2:$G$267)</f>
        <v>#NAME?</v>
      </c>
      <c r="G269" s="1">
        <v>4.3470000000000004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>
      <c r="A270" s="1">
        <v>2024</v>
      </c>
      <c r="B270" s="1">
        <v>95</v>
      </c>
      <c r="C270" s="1" t="s">
        <v>185</v>
      </c>
      <c r="D270" s="1" t="e">
        <f t="array" aca="1" ref="D270" ca="1">_xludf.XLOOKUP(C270,'country region mapping'!$A$2:$A$250, 'country region mapping'!$E$2:$E$250)</f>
        <v>#NAME?</v>
      </c>
      <c r="E270" s="1" t="e">
        <f t="array" aca="1" ref="E270" ca="1">_xludf.XLOOKUP(C270,'country region mapping'!$A$2:$A$267,'country region mapping'!$F$2:$F$267)</f>
        <v>#NAME?</v>
      </c>
      <c r="F270" s="1" t="e">
        <f t="array" aca="1" ref="F270" ca="1">_xludf.XLOOKUP(C270,'country region mapping'!$A$2:$A$267,'country region mapping'!$G$2:$G$267)</f>
        <v>#NAME?</v>
      </c>
      <c r="G270" s="1">
        <v>5.2130000000000001</v>
      </c>
      <c r="H270" s="1">
        <v>127</v>
      </c>
      <c r="I270" s="1">
        <v>80</v>
      </c>
      <c r="J270" s="1">
        <v>79</v>
      </c>
      <c r="K270" s="1">
        <v>114</v>
      </c>
      <c r="L270" s="1">
        <v>96</v>
      </c>
      <c r="M270" s="1">
        <v>121</v>
      </c>
      <c r="N270" s="1">
        <v>106</v>
      </c>
      <c r="O270" s="1">
        <v>46</v>
      </c>
      <c r="P270" s="1">
        <v>56</v>
      </c>
      <c r="Q270" s="1">
        <v>121</v>
      </c>
      <c r="R270" s="1">
        <v>76</v>
      </c>
      <c r="S270" s="1">
        <v>74</v>
      </c>
    </row>
    <row r="271" spans="1:19">
      <c r="A271" s="1">
        <v>2024</v>
      </c>
      <c r="B271" s="1">
        <v>38</v>
      </c>
      <c r="C271" s="1" t="s">
        <v>274</v>
      </c>
      <c r="D271" s="1" t="e">
        <f t="array" aca="1" ref="D271" ca="1">_xludf.XLOOKUP(C271,'country region mapping'!$A$2:$A$250, 'country region mapping'!$E$2:$E$250)</f>
        <v>#NAME?</v>
      </c>
      <c r="E271" s="1" t="e">
        <f t="array" aca="1" ref="E271" ca="1">_xludf.XLOOKUP(C271,'country region mapping'!$A$2:$A$267,'country region mapping'!$F$2:$F$267)</f>
        <v>#NAME?</v>
      </c>
      <c r="F271" s="1" t="e">
        <f t="array" aca="1" ref="F271" ca="1">_xludf.XLOOKUP(C271,'country region mapping'!$A$2:$A$267,'country region mapping'!$G$2:$G$267)</f>
        <v>#NAME?</v>
      </c>
      <c r="G271" s="1">
        <v>6.4660000000000002</v>
      </c>
      <c r="H271" s="1">
        <v>9</v>
      </c>
      <c r="I271" s="1">
        <v>16</v>
      </c>
      <c r="J271" s="1">
        <v>22</v>
      </c>
      <c r="K271" s="1">
        <v>8</v>
      </c>
      <c r="L271" s="1">
        <v>88</v>
      </c>
      <c r="M271" s="1">
        <v>32</v>
      </c>
      <c r="N271" s="1">
        <v>33</v>
      </c>
      <c r="O271" s="1">
        <v>78</v>
      </c>
      <c r="P271" s="1">
        <v>89</v>
      </c>
      <c r="Q271" s="1">
        <v>32</v>
      </c>
      <c r="R271" s="1">
        <v>79</v>
      </c>
      <c r="S271" s="1">
        <v>48</v>
      </c>
    </row>
    <row r="272" spans="1:19">
      <c r="A272" s="1">
        <v>2024</v>
      </c>
      <c r="B272" s="1">
        <v>133</v>
      </c>
      <c r="C272" s="1" t="s">
        <v>187</v>
      </c>
      <c r="D272" s="1" t="e">
        <f t="array" aca="1" ref="D272" ca="1">_xludf.XLOOKUP(C272,'country region mapping'!$A$2:$A$250, 'country region mapping'!$E$2:$E$250)</f>
        <v>#NAME?</v>
      </c>
      <c r="E272" s="1" t="e">
        <f t="array" aca="1" ref="E272" ca="1">_xludf.XLOOKUP(C272,'country region mapping'!$A$2:$A$267,'country region mapping'!$F$2:$F$267)</f>
        <v>#NAME?</v>
      </c>
      <c r="F272" s="1" t="e">
        <f t="array" aca="1" ref="F272" ca="1">_xludf.XLOOKUP(C272,'country region mapping'!$A$2:$A$267,'country region mapping'!$G$2:$G$267)</f>
        <v>#NAME?</v>
      </c>
      <c r="G272" s="1">
        <v>3.891</v>
      </c>
      <c r="H272" s="1">
        <v>88</v>
      </c>
      <c r="I272" s="1">
        <v>104</v>
      </c>
      <c r="J272" s="1">
        <v>80</v>
      </c>
      <c r="K272" s="1">
        <v>34</v>
      </c>
      <c r="L272" s="1">
        <v>92</v>
      </c>
      <c r="M272" s="1">
        <v>60</v>
      </c>
      <c r="N272" s="1">
        <v>118</v>
      </c>
      <c r="O272" s="1">
        <v>52</v>
      </c>
      <c r="P272" s="1">
        <v>93</v>
      </c>
      <c r="Q272" s="1">
        <v>60</v>
      </c>
      <c r="R272" s="1">
        <v>13</v>
      </c>
      <c r="S272" s="1">
        <v>39</v>
      </c>
    </row>
    <row r="273" spans="1:19">
      <c r="A273" s="1">
        <v>2024</v>
      </c>
      <c r="B273" s="1">
        <v>108</v>
      </c>
      <c r="C273" s="1" t="s">
        <v>173</v>
      </c>
      <c r="D273" s="1" t="e">
        <f t="array" aca="1" ref="D273" ca="1">_xludf.XLOOKUP(C273,'country region mapping'!$A$2:$A$267,'country region mapping'!$E$2:$E$267)</f>
        <v>#NAME?</v>
      </c>
      <c r="E273" s="1" t="e">
        <f t="array" aca="1" ref="E273" ca="1">_xludf.XLOOKUP(C273,'country region mapping'!$A$2:$A$267,'country region mapping'!$F$2:$F$267)</f>
        <v>#NAME?</v>
      </c>
      <c r="F273" s="1" t="e">
        <f t="array" aca="1" ref="F273" ca="1">_xludf.XLOOKUP(C273,'country region mapping'!$A$2:$A$267,'country region mapping'!$G$2:$G$267)</f>
        <v>#NAME?</v>
      </c>
      <c r="G273" s="1">
        <v>4.78</v>
      </c>
      <c r="H273" s="1">
        <v>115</v>
      </c>
      <c r="I273" s="1">
        <v>66</v>
      </c>
      <c r="K273" s="1"/>
      <c r="L273" s="1">
        <v>114</v>
      </c>
      <c r="M273" s="1">
        <v>137</v>
      </c>
      <c r="N273" s="1">
        <v>90</v>
      </c>
      <c r="O273" s="1">
        <v>118</v>
      </c>
      <c r="Q273" s="1">
        <v>137</v>
      </c>
      <c r="R273" s="1">
        <v>125</v>
      </c>
      <c r="S273" s="1">
        <v>125</v>
      </c>
    </row>
    <row r="274" spans="1:19">
      <c r="A274" s="1">
        <v>2024</v>
      </c>
      <c r="B274" s="1">
        <v>4</v>
      </c>
      <c r="C274" s="1" t="s">
        <v>45</v>
      </c>
      <c r="D274" s="1" t="e">
        <f t="array" aca="1" ref="D274" ca="1">_xludf.XLOOKUP(C274,'country region mapping'!$A$2:$A$250, 'country region mapping'!$E$2:$E$250)</f>
        <v>#NAME?</v>
      </c>
      <c r="E274" s="1" t="e">
        <f t="array" aca="1" ref="E274" ca="1">_xludf.XLOOKUP(C274,'country region mapping'!$A$2:$A$267,'country region mapping'!$F$2:$F$267)</f>
        <v>#NAME?</v>
      </c>
      <c r="F274" s="1" t="e">
        <f t="array" aca="1" ref="F274" ca="1">_xludf.XLOOKUP(C274,'country region mapping'!$A$2:$A$267,'country region mapping'!$G$2:$G$267)</f>
        <v>#NAME?</v>
      </c>
      <c r="G274" s="1">
        <v>7.3449999999999998</v>
      </c>
      <c r="H274" s="1">
        <v>11</v>
      </c>
      <c r="I274" s="1">
        <v>27</v>
      </c>
      <c r="J274" s="1">
        <v>12</v>
      </c>
      <c r="K274" s="1">
        <v>7</v>
      </c>
      <c r="L274" s="1">
        <v>21</v>
      </c>
      <c r="M274" s="1">
        <v>20</v>
      </c>
      <c r="N274" s="1">
        <v>5</v>
      </c>
      <c r="O274" s="1">
        <v>23</v>
      </c>
      <c r="P274" s="1">
        <v>24</v>
      </c>
      <c r="Q274" s="1">
        <v>20</v>
      </c>
      <c r="R274" s="1">
        <v>78</v>
      </c>
      <c r="S274" s="1">
        <v>71</v>
      </c>
    </row>
    <row r="275" spans="1:19">
      <c r="A275" s="1">
        <v>2024</v>
      </c>
      <c r="B275" s="1">
        <v>13</v>
      </c>
      <c r="C275" s="1" t="s">
        <v>32</v>
      </c>
      <c r="D275" s="1" t="e">
        <f t="array" aca="1" ref="D275" ca="1">_xludf.XLOOKUP(C275,'country region mapping'!$A$2:$A$250, 'country region mapping'!$E$2:$E$250)</f>
        <v>#NAME?</v>
      </c>
      <c r="E275" s="1" t="e">
        <f t="array" aca="1" ref="E275" ca="1">_xludf.XLOOKUP(C275,'country region mapping'!$A$2:$A$267,'country region mapping'!$F$2:$F$267)</f>
        <v>#NAME?</v>
      </c>
      <c r="F275" s="1" t="e">
        <f t="array" aca="1" ref="F275" ca="1">_xludf.XLOOKUP(C275,'country region mapping'!$A$2:$A$267,'country region mapping'!$G$2:$G$267)</f>
        <v>#NAME?</v>
      </c>
      <c r="G275" s="1">
        <v>6.9349999999999996</v>
      </c>
      <c r="H275" s="1">
        <v>3</v>
      </c>
      <c r="I275" s="1">
        <v>20</v>
      </c>
      <c r="J275" s="1">
        <v>3</v>
      </c>
      <c r="K275" s="1">
        <v>6</v>
      </c>
      <c r="L275" s="1">
        <v>20</v>
      </c>
      <c r="M275" s="1">
        <v>12</v>
      </c>
      <c r="N275" s="1">
        <v>3</v>
      </c>
      <c r="O275" s="1">
        <v>54</v>
      </c>
      <c r="P275" s="1">
        <v>13</v>
      </c>
      <c r="Q275" s="1">
        <v>12</v>
      </c>
      <c r="R275" s="1">
        <v>52</v>
      </c>
      <c r="S275" s="1">
        <v>126</v>
      </c>
    </row>
    <row r="276" spans="1:19">
      <c r="A276" s="1">
        <v>2024</v>
      </c>
      <c r="B276" s="1">
        <v>27</v>
      </c>
      <c r="C276" s="1" t="s">
        <v>81</v>
      </c>
      <c r="D276" s="1" t="e">
        <f t="array" aca="1" ref="D276" ca="1">_xludf.XLOOKUP(C276,'country region mapping'!$A$2:$A$267,'country region mapping'!$E$2:$E$267)</f>
        <v>#NAME?</v>
      </c>
      <c r="E276" s="1" t="e">
        <f t="array" aca="1" ref="E276" ca="1">_xludf.XLOOKUP(C276,'country region mapping'!$A$2:$A$267,'country region mapping'!$F$2:$F$267)</f>
        <v>#NAME?</v>
      </c>
      <c r="F276" s="1" t="e">
        <f t="array" aca="1" ref="F276" ca="1">_xludf.XLOOKUP(C276,'country region mapping'!$A$2:$A$267,'country region mapping'!$G$2:$G$267)</f>
        <v>#NAME?</v>
      </c>
      <c r="G276" s="1">
        <v>6.6689999999999996</v>
      </c>
      <c r="H276" s="1">
        <v>33</v>
      </c>
      <c r="I276" s="1">
        <v>33</v>
      </c>
      <c r="K276" s="1"/>
      <c r="L276" s="1">
        <v>74</v>
      </c>
      <c r="M276" s="1">
        <v>34</v>
      </c>
      <c r="N276" s="1">
        <v>42</v>
      </c>
      <c r="O276" s="1">
        <v>53</v>
      </c>
      <c r="P276" s="1">
        <v>4</v>
      </c>
      <c r="Q276" s="1">
        <v>34</v>
      </c>
      <c r="R276" s="1">
        <v>106</v>
      </c>
      <c r="S276" s="1">
        <v>86</v>
      </c>
    </row>
    <row r="277" spans="1:19">
      <c r="A277" s="1">
        <v>2024</v>
      </c>
      <c r="B277" s="1">
        <v>88</v>
      </c>
      <c r="C277" s="1" t="s">
        <v>132</v>
      </c>
      <c r="D277" s="1" t="e">
        <f t="array" aca="1" ref="D277" ca="1">_xludf.XLOOKUP(C277,'country region mapping'!$A$2:$A$267,'country region mapping'!$E$2:$E$267)</f>
        <v>#NAME?</v>
      </c>
      <c r="E277" s="1" t="e">
        <f t="array" aca="1" ref="E277" ca="1">_xludf.XLOOKUP(C277,'country region mapping'!$A$2:$A$267,'country region mapping'!$F$2:$F$267)</f>
        <v>#NAME?</v>
      </c>
      <c r="F277" s="1" t="e">
        <f t="array" aca="1" ref="F277" ca="1">_xludf.XLOOKUP(C277,'country region mapping'!$A$2:$A$267,'country region mapping'!$G$2:$G$267)</f>
        <v>#NAME?</v>
      </c>
      <c r="G277" s="1">
        <v>5.4909999999999997</v>
      </c>
      <c r="H277" s="1">
        <v>21</v>
      </c>
      <c r="I277" s="1">
        <v>64</v>
      </c>
      <c r="K277" s="1"/>
      <c r="L277" s="1">
        <v>90</v>
      </c>
      <c r="M277" s="1">
        <v>54</v>
      </c>
      <c r="N277" s="1">
        <v>7</v>
      </c>
      <c r="O277" s="1">
        <v>120</v>
      </c>
      <c r="P277" s="1">
        <v>18</v>
      </c>
      <c r="Q277" s="1">
        <v>54</v>
      </c>
      <c r="R277" s="1">
        <v>89</v>
      </c>
      <c r="S277" s="1">
        <v>115</v>
      </c>
    </row>
    <row r="278" spans="1:19">
      <c r="A278" s="1">
        <v>2024</v>
      </c>
      <c r="B278" s="1">
        <v>136</v>
      </c>
      <c r="C278" s="1" t="s">
        <v>236</v>
      </c>
      <c r="D278" s="1" t="e">
        <f t="array" aca="1" ref="D278" ca="1">_xludf.XLOOKUP(C278,'country region mapping'!$A$2:$A$267,'country region mapping'!$E$2:$E$267)</f>
        <v>#NAME?</v>
      </c>
      <c r="E278" s="1" t="e">
        <f t="array" aca="1" ref="E278" ca="1">_xludf.XLOOKUP(C278,'country region mapping'!$A$2:$A$267,'country region mapping'!$F$2:$F$267)</f>
        <v>#NAME?</v>
      </c>
      <c r="F278" s="1" t="e">
        <f t="array" aca="1" ref="F278" ca="1">_xludf.XLOOKUP(C278,'country region mapping'!$A$2:$A$267,'country region mapping'!$G$2:$G$267)</f>
        <v>#NAME?</v>
      </c>
      <c r="G278" s="1">
        <v>3.8</v>
      </c>
      <c r="H278" s="1">
        <v>137</v>
      </c>
      <c r="I278" s="1">
        <v>122</v>
      </c>
      <c r="J278" s="1">
        <v>116</v>
      </c>
      <c r="K278" s="1">
        <v>96</v>
      </c>
      <c r="L278" s="1">
        <v>46</v>
      </c>
      <c r="M278" s="1">
        <v>52</v>
      </c>
      <c r="N278" s="1">
        <v>21</v>
      </c>
      <c r="O278" s="1">
        <v>61</v>
      </c>
      <c r="P278" s="1">
        <v>21</v>
      </c>
      <c r="Q278" s="1">
        <v>52</v>
      </c>
      <c r="R278" s="1">
        <v>87</v>
      </c>
      <c r="S278" s="1">
        <v>75</v>
      </c>
    </row>
    <row r="279" spans="1:19">
      <c r="A279" s="1">
        <v>2024</v>
      </c>
      <c r="B279" s="1">
        <v>49</v>
      </c>
      <c r="C279" s="1" t="s">
        <v>78</v>
      </c>
      <c r="D279" s="1" t="e">
        <f t="array" aca="1" ref="D279" ca="1">_xludf.XLOOKUP(C279,'country region mapping'!$A$2:$A$250, 'country region mapping'!$E$2:$E$250)</f>
        <v>#NAME?</v>
      </c>
      <c r="E279" s="1" t="e">
        <f t="array" aca="1" ref="E279" ca="1">_xludf.XLOOKUP(C279,'country region mapping'!$A$2:$A$267,'country region mapping'!$F$2:$F$267)</f>
        <v>#NAME?</v>
      </c>
      <c r="F279" s="1" t="e">
        <f t="array" aca="1" ref="F279" ca="1">_xludf.XLOOKUP(C279,'country region mapping'!$A$2:$A$267,'country region mapping'!$G$2:$G$267)</f>
        <v>#NAME?</v>
      </c>
      <c r="G279" s="1">
        <v>6.2220000000000004</v>
      </c>
      <c r="H279" s="1">
        <v>67</v>
      </c>
      <c r="I279" s="1">
        <v>50</v>
      </c>
      <c r="J279" s="1">
        <v>59</v>
      </c>
      <c r="K279" s="1">
        <v>37</v>
      </c>
      <c r="L279" s="1">
        <v>16</v>
      </c>
      <c r="M279" s="1">
        <v>8</v>
      </c>
      <c r="N279" s="1">
        <v>120</v>
      </c>
      <c r="O279" s="1">
        <v>12</v>
      </c>
      <c r="P279" s="1">
        <v>36</v>
      </c>
      <c r="Q279" s="1">
        <v>8</v>
      </c>
      <c r="R279" s="1">
        <v>74</v>
      </c>
      <c r="S279" s="1">
        <v>87</v>
      </c>
    </row>
    <row r="280" spans="1:19">
      <c r="A280" s="1">
        <v>2024</v>
      </c>
      <c r="B280" s="1">
        <v>127</v>
      </c>
      <c r="C280" s="1" t="s">
        <v>247</v>
      </c>
      <c r="D280" s="1" t="e">
        <f t="array" aca="1" ref="D280" ca="1">_xludf.XLOOKUP(C280,'country region mapping'!$A$2:$A$250, 'country region mapping'!$E$2:$E$250)</f>
        <v>#NAME?</v>
      </c>
      <c r="E280" s="1" t="e">
        <f t="array" aca="1" ref="E280" ca="1">_xludf.XLOOKUP(C280,'country region mapping'!$A$2:$A$267,'country region mapping'!$F$2:$F$267)</f>
        <v>#NAME?</v>
      </c>
      <c r="F280" s="1" t="e">
        <f t="array" aca="1" ref="F280" ca="1">_xludf.XLOOKUP(C280,'country region mapping'!$A$2:$A$267,'country region mapping'!$G$2:$G$267)</f>
        <v>#NAME?</v>
      </c>
      <c r="G280" s="1">
        <v>4.3150000000000004</v>
      </c>
      <c r="H280" s="1">
        <v>72</v>
      </c>
      <c r="I280" s="1">
        <v>132</v>
      </c>
      <c r="J280" s="1">
        <v>124</v>
      </c>
      <c r="K280" s="1">
        <v>102</v>
      </c>
      <c r="L280" s="1">
        <v>125</v>
      </c>
      <c r="M280" s="1">
        <v>102</v>
      </c>
      <c r="N280" s="1">
        <v>55</v>
      </c>
      <c r="O280" s="1">
        <v>125</v>
      </c>
      <c r="P280" s="1">
        <v>116</v>
      </c>
      <c r="Q280" s="1">
        <v>102</v>
      </c>
      <c r="R280" s="1">
        <v>62</v>
      </c>
      <c r="S280" s="1">
        <v>94</v>
      </c>
    </row>
    <row r="281" spans="1:19">
      <c r="A281" s="1">
        <v>2024</v>
      </c>
      <c r="B281" s="1">
        <v>90</v>
      </c>
      <c r="C281" s="1" t="s">
        <v>162</v>
      </c>
      <c r="D281" s="1" t="e">
        <f t="array" aca="1" ref="D281" ca="1">_xludf.XLOOKUP(C281,'country region mapping'!$A$2:$A$250, 'country region mapping'!$E$2:$E$250)</f>
        <v>#NAME?</v>
      </c>
      <c r="E281" s="1" t="e">
        <f t="array" aca="1" ref="E281" ca="1">_xludf.XLOOKUP(C281,'country region mapping'!$A$2:$A$267,'country region mapping'!$F$2:$F$267)</f>
        <v>#NAME?</v>
      </c>
      <c r="F281" s="1" t="e">
        <f t="array" aca="1" ref="F281" ca="1">_xludf.XLOOKUP(C281,'country region mapping'!$A$2:$A$267,'country region mapping'!$G$2:$G$267)</f>
        <v>#NAME?</v>
      </c>
      <c r="G281" s="1">
        <v>5.4109999999999996</v>
      </c>
      <c r="H281" s="1">
        <v>14</v>
      </c>
      <c r="I281" s="1">
        <v>40</v>
      </c>
      <c r="J281" s="1">
        <v>112</v>
      </c>
      <c r="K281" s="1">
        <v>67</v>
      </c>
      <c r="M281" s="1">
        <v>134</v>
      </c>
      <c r="N281" s="1">
        <v>12</v>
      </c>
      <c r="O281" s="1">
        <v>39</v>
      </c>
      <c r="P281" s="1">
        <v>23</v>
      </c>
      <c r="Q281" s="1">
        <v>134</v>
      </c>
      <c r="R281" s="1">
        <v>11</v>
      </c>
      <c r="S281" s="1">
        <v>58</v>
      </c>
    </row>
    <row r="282" spans="1:19">
      <c r="A282" s="1">
        <v>2024</v>
      </c>
      <c r="B282" s="1">
        <v>113</v>
      </c>
      <c r="C282" s="1" t="s">
        <v>159</v>
      </c>
      <c r="D282" s="1" t="e">
        <f t="array" aca="1" ref="D282" ca="1">_xludf.XLOOKUP(C282,'country region mapping'!$A$2:$A$250, 'country region mapping'!$E$2:$E$250)</f>
        <v>#NAME?</v>
      </c>
      <c r="E282" s="1" t="e">
        <f t="array" aca="1" ref="E282" ca="1">_xludf.XLOOKUP(C282,'country region mapping'!$A$2:$A$267,'country region mapping'!$F$2:$F$267)</f>
        <v>#NAME?</v>
      </c>
      <c r="F282" s="1" t="e">
        <f t="array" aca="1" ref="F282" ca="1">_xludf.XLOOKUP(C282,'country region mapping'!$A$2:$A$267,'country region mapping'!$G$2:$G$267)</f>
        <v>#NAME?</v>
      </c>
      <c r="G282" s="1">
        <v>4.5519999999999996</v>
      </c>
      <c r="H282" s="1">
        <v>61</v>
      </c>
      <c r="I282" s="1">
        <v>79</v>
      </c>
      <c r="J282" s="1">
        <v>82</v>
      </c>
      <c r="K282" s="1">
        <v>62</v>
      </c>
      <c r="L282" s="1">
        <v>118</v>
      </c>
      <c r="M282" s="1">
        <v>108</v>
      </c>
      <c r="N282" s="1">
        <v>80</v>
      </c>
      <c r="O282" s="1">
        <v>107</v>
      </c>
      <c r="P282" s="1">
        <v>98</v>
      </c>
      <c r="Q282" s="1">
        <v>108</v>
      </c>
      <c r="R282" s="1">
        <v>71</v>
      </c>
      <c r="S282" s="1">
        <v>29</v>
      </c>
    </row>
    <row r="283" spans="1:19">
      <c r="A283" s="1">
        <v>2024</v>
      </c>
      <c r="B283" s="1">
        <v>94</v>
      </c>
      <c r="C283" s="1" t="s">
        <v>136</v>
      </c>
      <c r="D283" s="1" t="e">
        <f t="array" aca="1" ref="D283" ca="1">_xludf.XLOOKUP(C283,'country region mapping'!$A$2:$A$250, 'country region mapping'!$E$2:$E$250)</f>
        <v>#NAME?</v>
      </c>
      <c r="E283" s="1" t="e">
        <f t="array" aca="1" ref="E283" ca="1">_xludf.XLOOKUP(C283,'country region mapping'!$A$2:$A$267,'country region mapping'!$F$2:$F$267)</f>
        <v>#NAME?</v>
      </c>
      <c r="F283" s="1" t="e">
        <f t="array" aca="1" ref="F283" ca="1">_xludf.XLOOKUP(C283,'country region mapping'!$A$2:$A$267,'country region mapping'!$G$2:$G$267)</f>
        <v>#NAME?</v>
      </c>
      <c r="G283" s="1">
        <v>5.2619999999999996</v>
      </c>
      <c r="H283" s="1">
        <v>37</v>
      </c>
      <c r="I283" s="1">
        <v>73</v>
      </c>
      <c r="J283" s="1">
        <v>43</v>
      </c>
      <c r="K283" s="1">
        <v>42</v>
      </c>
      <c r="L283" s="1">
        <v>140</v>
      </c>
      <c r="M283" s="1">
        <v>107</v>
      </c>
      <c r="N283" s="1">
        <v>94</v>
      </c>
      <c r="O283" s="1">
        <v>142</v>
      </c>
      <c r="P283" s="1">
        <v>101</v>
      </c>
      <c r="Q283" s="1">
        <v>107</v>
      </c>
      <c r="R283" s="1">
        <v>128</v>
      </c>
      <c r="S283" s="1">
        <v>120</v>
      </c>
    </row>
    <row r="284" spans="1:19">
      <c r="A284" s="1">
        <v>2024</v>
      </c>
      <c r="B284" s="1">
        <v>116</v>
      </c>
      <c r="C284" s="1" t="s">
        <v>231</v>
      </c>
      <c r="D284" s="1" t="e">
        <f t="array" aca="1" ref="D284" ca="1">_xludf.XLOOKUP(C284,'country region mapping'!$A$2:$A$250, 'country region mapping'!$E$2:$E$250)</f>
        <v>#NAME?</v>
      </c>
      <c r="E284" s="1" t="e">
        <f t="array" aca="1" ref="E284" ca="1">_xludf.XLOOKUP(C284,'country region mapping'!$A$2:$A$267,'country region mapping'!$F$2:$F$267)</f>
        <v>#NAME?</v>
      </c>
      <c r="F284" s="1" t="e">
        <f t="array" aca="1" ref="F284" ca="1">_xludf.XLOOKUP(C284,'country region mapping'!$A$2:$A$267,'country region mapping'!$G$2:$G$267)</f>
        <v>#NAME?</v>
      </c>
      <c r="G284" s="1">
        <v>4.4610000000000003</v>
      </c>
      <c r="H284" s="1">
        <v>114</v>
      </c>
      <c r="I284" s="1">
        <v>83</v>
      </c>
      <c r="J284" s="1">
        <v>122</v>
      </c>
      <c r="K284" s="1">
        <v>99</v>
      </c>
      <c r="L284" s="1">
        <v>72</v>
      </c>
      <c r="M284" s="1">
        <v>59</v>
      </c>
      <c r="N284" s="1">
        <v>102</v>
      </c>
      <c r="O284" s="1">
        <v>47</v>
      </c>
      <c r="P284" s="1">
        <v>125</v>
      </c>
      <c r="Q284" s="1">
        <v>59</v>
      </c>
      <c r="R284" s="1">
        <v>12</v>
      </c>
      <c r="S284" s="1">
        <v>9</v>
      </c>
    </row>
    <row r="285" spans="1:19">
      <c r="A285" s="1">
        <v>2024</v>
      </c>
      <c r="B285" s="1">
        <v>111</v>
      </c>
      <c r="C285" s="1" t="s">
        <v>195</v>
      </c>
      <c r="D285" s="1" t="e">
        <f t="array" aca="1" ref="D285" ca="1">_xludf.XLOOKUP(C285,'country region mapping'!$A$2:$A$250, 'country region mapping'!$E$2:$E$250)</f>
        <v>#NAME?</v>
      </c>
      <c r="E285" s="1" t="e">
        <f t="array" aca="1" ref="E285" ca="1">_xludf.XLOOKUP(C285,'country region mapping'!$A$2:$A$267,'country region mapping'!$F$2:$F$267)</f>
        <v>#NAME?</v>
      </c>
      <c r="F285" s="1" t="e">
        <f t="array" aca="1" ref="F285" ca="1">_xludf.XLOOKUP(C285,'country region mapping'!$A$2:$A$267,'country region mapping'!$G$2:$G$267)</f>
        <v>#NAME?</v>
      </c>
      <c r="G285" s="1">
        <v>4.68</v>
      </c>
      <c r="H285" s="1">
        <v>77</v>
      </c>
      <c r="I285" s="1">
        <v>67</v>
      </c>
      <c r="J285" s="1">
        <v>67</v>
      </c>
      <c r="K285" s="1">
        <v>78</v>
      </c>
      <c r="L285" s="1">
        <v>128</v>
      </c>
      <c r="M285" s="1">
        <v>4</v>
      </c>
      <c r="N285" s="1">
        <v>132</v>
      </c>
      <c r="O285" s="1">
        <v>129</v>
      </c>
      <c r="P285" s="1">
        <v>113</v>
      </c>
      <c r="Q285" s="1">
        <v>4</v>
      </c>
      <c r="R285" s="1">
        <v>68</v>
      </c>
      <c r="S285" s="1">
        <v>24</v>
      </c>
    </row>
    <row r="286" spans="1:19">
      <c r="A286" s="1">
        <v>2024</v>
      </c>
      <c r="B286" s="1">
        <v>110</v>
      </c>
      <c r="C286" s="1" t="s">
        <v>224</v>
      </c>
      <c r="D286" s="1" t="e">
        <f t="array" aca="1" ref="D286" ca="1">_xludf.XLOOKUP(C286,'country region mapping'!$A$2:$A$250, 'country region mapping'!$E$2:$E$250)</f>
        <v>#NAME?</v>
      </c>
      <c r="E286" s="1" t="e">
        <f t="array" aca="1" ref="E286" ca="1">_xludf.XLOOKUP(C286,'country region mapping'!$A$2:$A$267,'country region mapping'!$F$2:$F$267)</f>
        <v>#NAME?</v>
      </c>
      <c r="F286" s="1" t="e">
        <f t="array" aca="1" ref="F286" ca="1">_xludf.XLOOKUP(C286,'country region mapping'!$A$2:$A$267,'country region mapping'!$G$2:$G$267)</f>
        <v>#NAME?</v>
      </c>
      <c r="G286" s="1">
        <v>4.7249999999999996</v>
      </c>
      <c r="H286" s="1">
        <v>138</v>
      </c>
      <c r="I286" s="1">
        <v>137</v>
      </c>
      <c r="J286" s="1">
        <v>128</v>
      </c>
      <c r="K286" s="1"/>
      <c r="L286" s="1">
        <v>58</v>
      </c>
      <c r="M286" s="1">
        <v>86</v>
      </c>
      <c r="O286" s="1">
        <v>18</v>
      </c>
      <c r="P286" s="1">
        <v>129</v>
      </c>
      <c r="Q286" s="1">
        <v>86</v>
      </c>
      <c r="R286" s="1">
        <v>44</v>
      </c>
      <c r="S286" s="1">
        <v>8</v>
      </c>
    </row>
    <row r="287" spans="1:19">
      <c r="A287" s="1">
        <v>2024</v>
      </c>
      <c r="B287" s="1">
        <v>23</v>
      </c>
      <c r="C287" s="1" t="s">
        <v>64</v>
      </c>
      <c r="D287" s="1" t="e">
        <f t="array" aca="1" ref="D287" ca="1">_xludf.XLOOKUP(C287,'country region mapping'!$A$2:$A$267,'country region mapping'!$E$2:$E$267)</f>
        <v>#NAME?</v>
      </c>
      <c r="E287" s="1" t="e">
        <f t="array" aca="1" ref="E287" ca="1">_xludf.XLOOKUP(C287,'country region mapping'!$A$2:$A$267,'country region mapping'!$F$2:$F$267)</f>
        <v>#NAME?</v>
      </c>
      <c r="F287" s="1" t="e">
        <f t="array" aca="1" ref="F287" ca="1">_xludf.XLOOKUP(C287,'country region mapping'!$A$2:$A$267,'country region mapping'!$G$2:$G$267)</f>
        <v>#NAME?</v>
      </c>
      <c r="G287" s="1">
        <v>6.7279999999999998</v>
      </c>
      <c r="H287" s="1">
        <v>7</v>
      </c>
      <c r="I287" s="1">
        <v>44</v>
      </c>
      <c r="J287" s="1">
        <v>20</v>
      </c>
      <c r="K287" s="1">
        <v>25</v>
      </c>
      <c r="L287" s="1">
        <v>35</v>
      </c>
      <c r="M287" s="1">
        <v>6</v>
      </c>
      <c r="N287" s="1">
        <v>16</v>
      </c>
      <c r="O287" s="1">
        <v>45</v>
      </c>
      <c r="P287" s="1">
        <v>49</v>
      </c>
      <c r="Q287" s="1">
        <v>6</v>
      </c>
      <c r="R287" s="1">
        <v>36</v>
      </c>
      <c r="S287" s="1">
        <v>91</v>
      </c>
    </row>
    <row r="288" spans="1:19">
      <c r="A288" s="1">
        <v>2024</v>
      </c>
      <c r="B288" s="1">
        <v>24</v>
      </c>
      <c r="C288" s="1" t="s">
        <v>51</v>
      </c>
      <c r="D288" s="1" t="e">
        <f t="array" aca="1" ref="D288" ca="1">_xludf.XLOOKUP(C288,'country region mapping'!$A$2:$A$267,'country region mapping'!$E$2:$E$267)</f>
        <v>#NAME?</v>
      </c>
      <c r="E288" s="1" t="e">
        <f t="array" aca="1" ref="E288" ca="1">_xludf.XLOOKUP(C288,'country region mapping'!$A$2:$A$267,'country region mapping'!$F$2:$F$267)</f>
        <v>#NAME?</v>
      </c>
      <c r="F288" s="1" t="e">
        <f t="array" aca="1" ref="F288" ca="1">_xludf.XLOOKUP(C288,'country region mapping'!$A$2:$A$267,'country region mapping'!$G$2:$G$267)</f>
        <v>#NAME?</v>
      </c>
      <c r="G288" s="1">
        <v>6.7240000000000002</v>
      </c>
      <c r="H288" s="1">
        <v>13</v>
      </c>
      <c r="I288" s="1">
        <v>12</v>
      </c>
      <c r="J288" s="1">
        <v>4</v>
      </c>
      <c r="K288" s="1">
        <v>56</v>
      </c>
      <c r="L288" s="1">
        <v>115</v>
      </c>
      <c r="M288" s="1">
        <v>16</v>
      </c>
      <c r="N288" s="1">
        <v>37</v>
      </c>
      <c r="O288" s="1">
        <v>30</v>
      </c>
      <c r="P288" s="1">
        <v>51</v>
      </c>
      <c r="Q288" s="1">
        <v>16</v>
      </c>
      <c r="R288" s="1">
        <v>15</v>
      </c>
      <c r="S288" s="1">
        <v>22</v>
      </c>
    </row>
    <row r="289" spans="1:19">
      <c r="A289" s="1">
        <v>2024</v>
      </c>
      <c r="B289" s="1">
        <v>28</v>
      </c>
      <c r="C289" s="1" t="s">
        <v>73</v>
      </c>
      <c r="D289" s="1" t="e">
        <f t="array" aca="1" ref="D289" ca="1">_xludf.XLOOKUP(C289,'country region mapping'!$A$2:$A$250, 'country region mapping'!$E$2:$E$250)</f>
        <v>#NAME?</v>
      </c>
      <c r="E289" s="1" t="e">
        <f t="array" aca="1" ref="E289" ca="1">_xludf.XLOOKUP(C289,'country region mapping'!$A$2:$A$267,'country region mapping'!$F$2:$F$267)</f>
        <v>#NAME?</v>
      </c>
      <c r="F289" s="1" t="e">
        <f t="array" aca="1" ref="F289" ca="1">_xludf.XLOOKUP(C289,'country region mapping'!$A$2:$A$267,'country region mapping'!$G$2:$G$267)</f>
        <v>#NAME?</v>
      </c>
      <c r="G289" s="1">
        <v>6.6609999999999996</v>
      </c>
      <c r="H289" s="1">
        <v>48</v>
      </c>
      <c r="I289" s="1">
        <v>17</v>
      </c>
      <c r="J289" s="1">
        <v>46</v>
      </c>
      <c r="K289" s="1">
        <v>45</v>
      </c>
      <c r="L289" s="1">
        <v>18</v>
      </c>
      <c r="M289" s="1">
        <v>83</v>
      </c>
      <c r="N289" s="1">
        <v>29</v>
      </c>
      <c r="O289" s="1">
        <v>27</v>
      </c>
      <c r="P289" s="1">
        <v>60</v>
      </c>
      <c r="Q289" s="1">
        <v>83</v>
      </c>
      <c r="R289" s="1">
        <v>105</v>
      </c>
      <c r="S289" s="1">
        <v>40</v>
      </c>
    </row>
    <row r="290" spans="1:19">
      <c r="A290" s="1">
        <v>2024</v>
      </c>
      <c r="B290" s="1">
        <v>53</v>
      </c>
      <c r="C290" s="1" t="s">
        <v>99</v>
      </c>
      <c r="D290" s="1" t="e">
        <f t="array" aca="1" ref="D290" ca="1">_xludf.XLOOKUP(C290,'country region mapping'!$A$2:$A$250, 'country region mapping'!$E$2:$E$250)</f>
        <v>#NAME?</v>
      </c>
      <c r="E290" s="1" t="e">
        <f t="array" aca="1" ref="E290" ca="1">_xludf.XLOOKUP(C290,'country region mapping'!$A$2:$A$267,'country region mapping'!$F$2:$F$267)</f>
        <v>#NAME?</v>
      </c>
      <c r="F290" s="1" t="e">
        <f t="array" aca="1" ref="F290" ca="1">_xludf.XLOOKUP(C290,'country region mapping'!$A$2:$A$267,'country region mapping'!$G$2:$G$267)</f>
        <v>#NAME?</v>
      </c>
      <c r="G290" s="1">
        <v>6.1929999999999996</v>
      </c>
      <c r="H290" s="1">
        <v>87</v>
      </c>
      <c r="I290" s="1">
        <v>30</v>
      </c>
      <c r="J290" s="1">
        <v>90</v>
      </c>
      <c r="K290" s="1">
        <v>65</v>
      </c>
      <c r="L290" s="1">
        <v>6</v>
      </c>
      <c r="M290" s="1">
        <v>33</v>
      </c>
      <c r="N290" s="1">
        <v>27</v>
      </c>
      <c r="O290" s="1">
        <v>22</v>
      </c>
      <c r="P290" s="1">
        <v>42</v>
      </c>
      <c r="Q290" s="1">
        <v>33</v>
      </c>
      <c r="R290" s="1">
        <v>113</v>
      </c>
      <c r="S290" s="1">
        <v>109</v>
      </c>
    </row>
    <row r="291" spans="1:19">
      <c r="A291" s="1">
        <v>2024</v>
      </c>
      <c r="B291" s="1">
        <v>135</v>
      </c>
      <c r="C291" s="1" t="s">
        <v>191</v>
      </c>
      <c r="D291" s="1" t="e">
        <f t="array" aca="1" ref="D291" ca="1">_xludf.XLOOKUP(C291,'country region mapping'!$A$2:$A$250, 'country region mapping'!$E$2:$E$250)</f>
        <v>#NAME?</v>
      </c>
      <c r="E291" s="1" t="e">
        <f t="array" aca="1" ref="E291" ca="1">_xludf.XLOOKUP(C291,'country region mapping'!$A$2:$A$267,'country region mapping'!$F$2:$F$267)</f>
        <v>#NAME?</v>
      </c>
      <c r="F291" s="1" t="e">
        <f t="array" aca="1" ref="F291" ca="1">_xludf.XLOOKUP(C291,'country region mapping'!$A$2:$A$267,'country region mapping'!$G$2:$G$267)</f>
        <v>#NAME?</v>
      </c>
      <c r="G291" s="1">
        <v>3.8170000000000002</v>
      </c>
      <c r="H291" s="1">
        <v>68</v>
      </c>
      <c r="I291" s="1">
        <v>130</v>
      </c>
      <c r="J291" s="1">
        <v>68</v>
      </c>
      <c r="K291" s="1">
        <v>88</v>
      </c>
      <c r="L291" s="1">
        <v>116</v>
      </c>
      <c r="M291" s="1">
        <v>140</v>
      </c>
      <c r="O291" s="1">
        <v>140</v>
      </c>
      <c r="P291" s="1">
        <v>124</v>
      </c>
      <c r="Q291" s="1">
        <v>140</v>
      </c>
      <c r="R291" s="1">
        <v>142</v>
      </c>
      <c r="S291" s="1">
        <v>33</v>
      </c>
    </row>
    <row r="292" spans="1:19">
      <c r="A292" s="1">
        <v>2024</v>
      </c>
      <c r="B292" s="1">
        <v>46</v>
      </c>
      <c r="C292" s="1" t="s">
        <v>157</v>
      </c>
      <c r="D292" s="1" t="e">
        <f t="array" aca="1" ref="D292" ca="1">_xludf.XLOOKUP(C292,'country region mapping'!$A$2:$A$250, 'country region mapping'!$E$2:$E$250)</f>
        <v>#NAME?</v>
      </c>
      <c r="E292" s="1" t="e">
        <f t="array" aca="1" ref="E292" ca="1">_xludf.XLOOKUP(C292,'country region mapping'!$A$2:$A$267,'country region mapping'!$F$2:$F$267)</f>
        <v>#NAME?</v>
      </c>
      <c r="F292" s="1" t="e">
        <f t="array" aca="1" ref="F292" ca="1">_xludf.XLOOKUP(C292,'country region mapping'!$A$2:$A$267,'country region mapping'!$G$2:$G$267)</f>
        <v>#NAME?</v>
      </c>
      <c r="G292" s="1">
        <v>6.3520000000000003</v>
      </c>
      <c r="H292" s="1">
        <v>20</v>
      </c>
      <c r="I292" s="1">
        <v>49</v>
      </c>
      <c r="J292" s="1">
        <v>78</v>
      </c>
      <c r="K292" s="1">
        <v>41</v>
      </c>
      <c r="L292" s="1">
        <v>2</v>
      </c>
      <c r="M292" s="1">
        <v>129</v>
      </c>
      <c r="N292" s="1">
        <v>39</v>
      </c>
      <c r="O292" s="1">
        <v>48</v>
      </c>
      <c r="P292" s="1">
        <v>2</v>
      </c>
      <c r="Q292" s="1">
        <v>129</v>
      </c>
      <c r="R292" s="1">
        <v>123</v>
      </c>
      <c r="S292" s="1">
        <v>98</v>
      </c>
    </row>
    <row r="293" spans="1:19">
      <c r="A293" s="1">
        <v>2024</v>
      </c>
      <c r="B293" s="1">
        <v>140</v>
      </c>
      <c r="C293" s="1" t="s">
        <v>233</v>
      </c>
      <c r="D293" s="1" t="e">
        <f t="array" aca="1" ref="D293" ca="1">_xludf.XLOOKUP(C293,'country region mapping'!$A$2:$A$250, 'country region mapping'!$E$2:$E$250)</f>
        <v>#NAME?</v>
      </c>
      <c r="E293" s="1" t="e">
        <f t="array" aca="1" ref="E293" ca="1">_xludf.XLOOKUP(C293,'country region mapping'!$A$2:$A$267,'country region mapping'!$F$2:$F$267)</f>
        <v>#NAME?</v>
      </c>
      <c r="F293" s="1" t="e">
        <f t="array" aca="1" ref="F293" ca="1">_xludf.XLOOKUP(C293,'country region mapping'!$A$2:$A$267,'country region mapping'!$G$2:$G$267)</f>
        <v>#NAME?</v>
      </c>
      <c r="G293" s="1">
        <v>3.5609999999999999</v>
      </c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>
      <c r="A294" s="1">
        <v>2024</v>
      </c>
      <c r="B294" s="1">
        <v>131</v>
      </c>
      <c r="C294" s="1" t="s">
        <v>170</v>
      </c>
      <c r="D294" s="1" t="e">
        <f t="array" aca="1" ref="D294" ca="1">_xludf.XLOOKUP(C294,'country region mapping'!$A$2:$A$250, 'country region mapping'!$E$2:$E$250)</f>
        <v>#NAME?</v>
      </c>
      <c r="E294" s="1" t="e">
        <f t="array" aca="1" ref="E294" ca="1">_xludf.XLOOKUP(C294,'country region mapping'!$A$2:$A$267,'country region mapping'!$F$2:$F$267)</f>
        <v>#NAME?</v>
      </c>
      <c r="F294" s="1" t="e">
        <f t="array" aca="1" ref="F294" ca="1">_xludf.XLOOKUP(C294,'country region mapping'!$A$2:$A$267,'country region mapping'!$G$2:$G$267)</f>
        <v>#NAME?</v>
      </c>
      <c r="G294" s="1">
        <v>3.9119999999999999</v>
      </c>
      <c r="H294" s="1">
        <v>136</v>
      </c>
      <c r="I294" s="1">
        <v>121</v>
      </c>
      <c r="J294" s="1">
        <v>117</v>
      </c>
      <c r="K294" s="1">
        <v>112</v>
      </c>
      <c r="L294" s="1">
        <v>43</v>
      </c>
      <c r="M294" s="1">
        <v>65</v>
      </c>
      <c r="N294" s="1">
        <v>86</v>
      </c>
      <c r="O294" s="1">
        <v>94</v>
      </c>
      <c r="P294" s="1">
        <v>111</v>
      </c>
      <c r="Q294" s="1">
        <v>65</v>
      </c>
      <c r="R294" s="1">
        <v>28</v>
      </c>
      <c r="S294" s="1">
        <v>3</v>
      </c>
    </row>
    <row r="295" spans="1:19">
      <c r="A295" s="1">
        <v>2024</v>
      </c>
      <c r="B295" s="1">
        <v>143</v>
      </c>
      <c r="C295" s="1" t="s">
        <v>208</v>
      </c>
      <c r="D295" s="1" t="e">
        <f t="array" aca="1" ref="D295" ca="1">_xludf.XLOOKUP(C295,'country region mapping'!$A$2:$A$250, 'country region mapping'!$E$2:$E$250)</f>
        <v>#NAME?</v>
      </c>
      <c r="E295" s="1" t="e">
        <f t="array" aca="1" ref="E295" ca="1">_xludf.XLOOKUP(C295,'country region mapping'!$A$2:$A$267,'country region mapping'!$F$2:$F$267)</f>
        <v>#NAME?</v>
      </c>
      <c r="F295" s="1" t="e">
        <f t="array" aca="1" ref="F295" ca="1">_xludf.XLOOKUP(C295,'country region mapping'!$A$2:$A$267,'country region mapping'!$G$2:$G$267)</f>
        <v>#NAME?</v>
      </c>
      <c r="G295" s="1">
        <v>3.3959999999999999</v>
      </c>
      <c r="H295" s="1">
        <v>94</v>
      </c>
      <c r="I295" s="1">
        <v>127</v>
      </c>
      <c r="J295" s="1">
        <v>119</v>
      </c>
      <c r="K295" s="1">
        <v>115</v>
      </c>
      <c r="L295" s="1">
        <v>120</v>
      </c>
      <c r="M295" s="1">
        <v>139</v>
      </c>
      <c r="N295" s="1">
        <v>49</v>
      </c>
      <c r="O295" s="1">
        <v>101</v>
      </c>
      <c r="P295" s="1">
        <v>29</v>
      </c>
      <c r="Q295" s="1">
        <v>139</v>
      </c>
      <c r="R295" s="1">
        <v>92</v>
      </c>
      <c r="S295" s="1">
        <v>106</v>
      </c>
    </row>
    <row r="296" spans="1:19">
      <c r="A296" s="1">
        <v>2023</v>
      </c>
      <c r="B296" s="1"/>
      <c r="C296" s="1" t="s">
        <v>134</v>
      </c>
      <c r="D296" s="1" t="e">
        <f t="array" aca="1" ref="D296" ca="1">_xludf.XLOOKUP(C296,'country region mapping'!$A$2:$A$250, 'country region mapping'!$E$2:$E$250)</f>
        <v>#NAME?</v>
      </c>
      <c r="E296" s="1" t="e">
        <f t="array" aca="1" ref="E296" ca="1">_xludf.XLOOKUP(C296,'country region mapping'!$A$2:$A$267,'country region mapping'!$F$2:$F$267)</f>
        <v>#NAME?</v>
      </c>
      <c r="F296" s="1" t="e">
        <f t="array" aca="1" ref="F296" ca="1">_xludf.XLOOKUP(C296,'country region mapping'!$A$2:$A$267,'country region mapping'!$G$2:$G$267)</f>
        <v>#NAME?</v>
      </c>
      <c r="G296" s="1"/>
      <c r="H296" s="1">
        <v>52</v>
      </c>
      <c r="I296" s="1">
        <v>125</v>
      </c>
      <c r="J296" s="1">
        <v>137</v>
      </c>
      <c r="K296" s="1"/>
      <c r="L296" s="1">
        <v>24</v>
      </c>
      <c r="M296" s="1">
        <v>50</v>
      </c>
      <c r="N296" s="1">
        <v>32</v>
      </c>
      <c r="O296" s="1">
        <v>44</v>
      </c>
      <c r="P296" s="1">
        <v>43</v>
      </c>
      <c r="Q296" s="1">
        <v>50</v>
      </c>
      <c r="R296" s="1">
        <v>69</v>
      </c>
      <c r="S296" s="1">
        <v>52</v>
      </c>
    </row>
    <row r="297" spans="1:19">
      <c r="A297" s="1">
        <v>2023</v>
      </c>
      <c r="B297" s="1">
        <v>1</v>
      </c>
      <c r="C297" s="1" t="s">
        <v>37</v>
      </c>
      <c r="D297" s="1" t="e">
        <f t="array" aca="1" ref="D297" ca="1">_xludf.XLOOKUP(C297,'country region mapping'!$A$2:$A$250, 'country region mapping'!$E$2:$E$250)</f>
        <v>#NAME?</v>
      </c>
      <c r="E297" s="1" t="e">
        <f t="array" aca="1" ref="E297" ca="1">_xludf.XLOOKUP(C297,'country region mapping'!$A$2:$A$267,'country region mapping'!$F$2:$F$267)</f>
        <v>#NAME?</v>
      </c>
      <c r="F297" s="1" t="e">
        <f t="array" aca="1" ref="F297" ca="1">_xludf.XLOOKUP(C297,'country region mapping'!$A$2:$A$267,'country region mapping'!$G$2:$G$267)</f>
        <v>#NAME?</v>
      </c>
      <c r="G297" s="1">
        <v>7.7409999999999997</v>
      </c>
      <c r="H297" s="1">
        <v>4</v>
      </c>
      <c r="I297" s="1">
        <v>6</v>
      </c>
      <c r="J297" s="1">
        <v>20</v>
      </c>
      <c r="K297" s="1">
        <v>18</v>
      </c>
      <c r="L297" s="1">
        <v>4</v>
      </c>
      <c r="M297" s="1">
        <v>49</v>
      </c>
      <c r="N297" s="1">
        <v>3</v>
      </c>
      <c r="O297" s="1">
        <v>48</v>
      </c>
      <c r="P297" s="1">
        <v>8</v>
      </c>
      <c r="Q297" s="1">
        <v>49</v>
      </c>
      <c r="R297" s="1">
        <v>72</v>
      </c>
      <c r="S297" s="1">
        <v>99</v>
      </c>
    </row>
    <row r="298" spans="1:19">
      <c r="A298" s="1">
        <v>2023</v>
      </c>
      <c r="B298" s="1">
        <v>2</v>
      </c>
      <c r="C298" s="1" t="s">
        <v>30</v>
      </c>
      <c r="D298" s="1" t="e">
        <f t="array" aca="1" ref="D298" ca="1">_xludf.XLOOKUP(C298,'country region mapping'!$A$2:$A$250, 'country region mapping'!$E$2:$E$250)</f>
        <v>#NAME?</v>
      </c>
      <c r="E298" s="1" t="e">
        <f t="array" aca="1" ref="E298" ca="1">_xludf.XLOOKUP(C298,'country region mapping'!$A$2:$A$267,'country region mapping'!$F$2:$F$267)</f>
        <v>#NAME?</v>
      </c>
      <c r="F298" s="1" t="e">
        <f t="array" aca="1" ref="F298" ca="1">_xludf.XLOOKUP(C298,'country region mapping'!$A$2:$A$267,'country region mapping'!$G$2:$G$267)</f>
        <v>#NAME?</v>
      </c>
      <c r="G298" s="1">
        <v>7.5830000000000002</v>
      </c>
      <c r="H298" s="1">
        <v>12</v>
      </c>
      <c r="I298" s="1">
        <v>18</v>
      </c>
      <c r="J298" s="1">
        <v>7</v>
      </c>
      <c r="K298" s="1">
        <v>15</v>
      </c>
      <c r="L298" s="1">
        <v>14</v>
      </c>
      <c r="M298" s="1">
        <v>32</v>
      </c>
      <c r="N298" s="1">
        <v>2</v>
      </c>
      <c r="O298" s="1">
        <v>20</v>
      </c>
      <c r="P298" s="1">
        <v>36</v>
      </c>
      <c r="Q298" s="1">
        <v>32</v>
      </c>
      <c r="R298" s="1">
        <v>65</v>
      </c>
      <c r="S298" s="1">
        <v>84</v>
      </c>
    </row>
    <row r="299" spans="1:19">
      <c r="A299" s="1">
        <v>2023</v>
      </c>
      <c r="B299" s="1">
        <v>3</v>
      </c>
      <c r="C299" s="1" t="s">
        <v>34</v>
      </c>
      <c r="D299" s="1" t="e">
        <f t="array" aca="1" ref="D299" ca="1">_xludf.XLOOKUP(C299,'country region mapping'!$A$2:$A$250, 'country region mapping'!$E$2:$E$250)</f>
        <v>#NAME?</v>
      </c>
      <c r="E299" s="1" t="e">
        <f t="array" aca="1" ref="E299" ca="1">_xludf.XLOOKUP(C299,'country region mapping'!$A$2:$A$267,'country region mapping'!$F$2:$F$267)</f>
        <v>#NAME?</v>
      </c>
      <c r="F299" s="1" t="e">
        <f t="array" aca="1" ref="F299" ca="1">_xludf.XLOOKUP(C299,'country region mapping'!$A$2:$A$267,'country region mapping'!$G$2:$G$267)</f>
        <v>#NAME?</v>
      </c>
      <c r="G299" s="1">
        <v>7.5250000000000004</v>
      </c>
      <c r="H299" s="1">
        <v>3</v>
      </c>
      <c r="I299" s="1">
        <v>1</v>
      </c>
      <c r="J299" s="1">
        <v>10</v>
      </c>
      <c r="K299" s="1">
        <v>4</v>
      </c>
      <c r="L299" s="1">
        <v>16</v>
      </c>
      <c r="M299" s="1">
        <v>4</v>
      </c>
      <c r="N299" s="1">
        <v>45</v>
      </c>
      <c r="O299" s="1">
        <v>11</v>
      </c>
      <c r="P299" s="1">
        <v>14</v>
      </c>
      <c r="Q299" s="1">
        <v>4</v>
      </c>
      <c r="R299" s="1">
        <v>63</v>
      </c>
      <c r="S299" s="1">
        <v>127</v>
      </c>
    </row>
    <row r="300" spans="1:19">
      <c r="A300" s="1">
        <v>2023</v>
      </c>
      <c r="B300" s="1">
        <v>4</v>
      </c>
      <c r="C300" s="1" t="s">
        <v>45</v>
      </c>
      <c r="D300" s="1" t="e">
        <f t="array" aca="1" ref="D300" ca="1">_xludf.XLOOKUP(C300,'country region mapping'!$A$2:$A$250, 'country region mapping'!$E$2:$E$250)</f>
        <v>#NAME?</v>
      </c>
      <c r="E300" s="1" t="e">
        <f t="array" aca="1" ref="E300" ca="1">_xludf.XLOOKUP(C300,'country region mapping'!$A$2:$A$267,'country region mapping'!$F$2:$F$267)</f>
        <v>#NAME?</v>
      </c>
      <c r="F300" s="1" t="e">
        <f t="array" aca="1" ref="F300" ca="1">_xludf.XLOOKUP(C300,'country region mapping'!$A$2:$A$267,'country region mapping'!$G$2:$G$267)</f>
        <v>#NAME?</v>
      </c>
      <c r="G300" s="1">
        <v>7.3440000000000003</v>
      </c>
      <c r="H300" s="1">
        <v>19</v>
      </c>
      <c r="I300" s="1">
        <v>15</v>
      </c>
      <c r="J300" s="1">
        <v>15</v>
      </c>
      <c r="K300" s="1">
        <v>7</v>
      </c>
      <c r="L300" s="1">
        <v>12</v>
      </c>
      <c r="M300" s="1">
        <v>23</v>
      </c>
      <c r="N300" s="1">
        <v>6</v>
      </c>
      <c r="O300" s="1">
        <v>33</v>
      </c>
      <c r="P300" s="1">
        <v>19</v>
      </c>
      <c r="Q300" s="1">
        <v>23</v>
      </c>
      <c r="R300" s="1">
        <v>105</v>
      </c>
      <c r="S300" s="1">
        <v>89</v>
      </c>
    </row>
    <row r="301" spans="1:19">
      <c r="A301" s="1">
        <v>2023</v>
      </c>
      <c r="B301" s="1">
        <v>5</v>
      </c>
      <c r="C301" s="1" t="s">
        <v>47</v>
      </c>
      <c r="D301" s="1" t="e">
        <f t="array" aca="1" ref="D301" ca="1">_xludf.XLOOKUP(C301,'country region mapping'!$A$2:$A$250, 'country region mapping'!$E$2:$E$250)</f>
        <v>#NAME?</v>
      </c>
      <c r="E301" s="1" t="e">
        <f t="array" aca="1" ref="E301" ca="1">_xludf.XLOOKUP(C301,'country region mapping'!$A$2:$A$267,'country region mapping'!$F$2:$F$267)</f>
        <v>#NAME?</v>
      </c>
      <c r="F301" s="1" t="e">
        <f t="array" aca="1" ref="F301" ca="1">_xludf.XLOOKUP(C301,'country region mapping'!$A$2:$A$267,'country region mapping'!$G$2:$G$267)</f>
        <v>#NAME?</v>
      </c>
      <c r="G301" s="1">
        <v>7.3410000000000002</v>
      </c>
      <c r="H301" s="1">
        <v>37</v>
      </c>
      <c r="I301" s="1">
        <v>4</v>
      </c>
      <c r="J301" s="1">
        <v>28</v>
      </c>
      <c r="K301" s="1">
        <v>9</v>
      </c>
      <c r="L301" s="1">
        <v>72</v>
      </c>
      <c r="M301" s="1">
        <v>25</v>
      </c>
      <c r="N301" s="1">
        <v>27</v>
      </c>
      <c r="O301" s="1">
        <v>132</v>
      </c>
      <c r="P301" s="1">
        <v>141</v>
      </c>
      <c r="Q301" s="1">
        <v>25</v>
      </c>
      <c r="R301" s="1">
        <v>45</v>
      </c>
      <c r="S301" s="1">
        <v>74</v>
      </c>
    </row>
    <row r="302" spans="1:19">
      <c r="A302" s="1">
        <v>2023</v>
      </c>
      <c r="B302" s="1">
        <v>6</v>
      </c>
      <c r="C302" s="1" t="s">
        <v>40</v>
      </c>
      <c r="D302" s="1" t="e">
        <f t="array" aca="1" ref="D302" ca="1">_xludf.XLOOKUP(C302,'country region mapping'!$A$2:$A$267,'country region mapping'!$E$2:$E$267)</f>
        <v>#NAME?</v>
      </c>
      <c r="E302" s="1" t="e">
        <f t="array" aca="1" ref="E302" ca="1">_xludf.XLOOKUP(C302,'country region mapping'!$A$2:$A$267,'country region mapping'!$F$2:$F$267)</f>
        <v>#NAME?</v>
      </c>
      <c r="F302" s="1" t="e">
        <f t="array" aca="1" ref="F302" ca="1">_xludf.XLOOKUP(C302,'country region mapping'!$A$2:$A$267,'country region mapping'!$G$2:$G$267)</f>
        <v>#NAME?</v>
      </c>
      <c r="G302" s="1">
        <v>7.319</v>
      </c>
      <c r="H302" s="1">
        <v>2</v>
      </c>
      <c r="I302" s="1">
        <v>19</v>
      </c>
      <c r="J302" s="1">
        <v>8</v>
      </c>
      <c r="K302" s="1"/>
      <c r="L302" s="1">
        <v>54</v>
      </c>
      <c r="M302" s="1">
        <v>11</v>
      </c>
      <c r="N302" s="1">
        <v>12</v>
      </c>
      <c r="O302" s="1">
        <v>61</v>
      </c>
      <c r="P302" s="1">
        <v>24</v>
      </c>
      <c r="Q302" s="1">
        <v>11</v>
      </c>
      <c r="R302" s="1">
        <v>32</v>
      </c>
      <c r="S302" s="1">
        <v>128</v>
      </c>
    </row>
    <row r="303" spans="1:19">
      <c r="A303" s="1">
        <v>2023</v>
      </c>
      <c r="B303" s="1">
        <v>7</v>
      </c>
      <c r="C303" s="1" t="s">
        <v>35</v>
      </c>
      <c r="D303" s="1" t="e">
        <f t="array" aca="1" ref="D303" ca="1">_xludf.XLOOKUP(C303,'country region mapping'!$A$2:$A$250, 'country region mapping'!$E$2:$E$250)</f>
        <v>#NAME?</v>
      </c>
      <c r="E303" s="1" t="e">
        <f t="array" aca="1" ref="E303" ca="1">_xludf.XLOOKUP(C303,'country region mapping'!$A$2:$A$267,'country region mapping'!$F$2:$F$267)</f>
        <v>#NAME?</v>
      </c>
      <c r="F303" s="1" t="e">
        <f t="array" aca="1" ref="F303" ca="1">_xludf.XLOOKUP(C303,'country region mapping'!$A$2:$A$267,'country region mapping'!$G$2:$G$267)</f>
        <v>#NAME?</v>
      </c>
      <c r="G303" s="1">
        <v>7.3019999999999996</v>
      </c>
      <c r="H303" s="1">
        <v>8</v>
      </c>
      <c r="I303" s="1">
        <v>5</v>
      </c>
      <c r="J303" s="1">
        <v>4</v>
      </c>
      <c r="K303" s="1">
        <v>5</v>
      </c>
      <c r="L303" s="1">
        <v>7</v>
      </c>
      <c r="M303" s="1">
        <v>10</v>
      </c>
      <c r="N303" s="1">
        <v>4</v>
      </c>
      <c r="O303" s="1">
        <v>22</v>
      </c>
      <c r="P303" s="1">
        <v>34</v>
      </c>
      <c r="Q303" s="1">
        <v>10</v>
      </c>
      <c r="R303" s="1">
        <v>35</v>
      </c>
      <c r="S303" s="1">
        <v>113</v>
      </c>
    </row>
    <row r="304" spans="1:19">
      <c r="A304" s="1">
        <v>2023</v>
      </c>
      <c r="B304" s="1">
        <v>8</v>
      </c>
      <c r="C304" s="1" t="s">
        <v>59</v>
      </c>
      <c r="D304" s="1" t="e">
        <f t="array" aca="1" ref="D304" ca="1">_xludf.XLOOKUP(C304,'country region mapping'!$A$2:$A$250, 'country region mapping'!$E$2:$E$250)</f>
        <v>#NAME?</v>
      </c>
      <c r="E304" s="1" t="e">
        <f t="array" aca="1" ref="E304" ca="1">_xludf.XLOOKUP(C304,'country region mapping'!$A$2:$A$267,'country region mapping'!$F$2:$F$267)</f>
        <v>#NAME?</v>
      </c>
      <c r="F304" s="1" t="e">
        <f t="array" aca="1" ref="F304" ca="1">_xludf.XLOOKUP(C304,'country region mapping'!$A$2:$A$267,'country region mapping'!$G$2:$G$267)</f>
        <v>#NAME?</v>
      </c>
      <c r="G304" s="1">
        <v>7.1219999999999999</v>
      </c>
      <c r="H304" s="1">
        <v>6</v>
      </c>
      <c r="I304" s="1">
        <v>43</v>
      </c>
      <c r="J304" s="1">
        <v>1</v>
      </c>
      <c r="K304" s="1"/>
      <c r="L304" s="1">
        <v>18</v>
      </c>
      <c r="M304" s="1">
        <v>33</v>
      </c>
      <c r="N304" s="1">
        <v>9</v>
      </c>
      <c r="O304" s="1">
        <v>27</v>
      </c>
      <c r="P304" s="1">
        <v>20</v>
      </c>
      <c r="Q304" s="1">
        <v>33</v>
      </c>
      <c r="R304" s="1">
        <v>34</v>
      </c>
      <c r="S304" s="1">
        <v>126</v>
      </c>
    </row>
    <row r="305" spans="1:19">
      <c r="A305" s="1">
        <v>2023</v>
      </c>
      <c r="B305" s="1">
        <v>9</v>
      </c>
      <c r="C305" s="1" t="s">
        <v>32</v>
      </c>
      <c r="D305" s="1" t="e">
        <f t="array" aca="1" ref="D305" ca="1">_xludf.XLOOKUP(C305,'country region mapping'!$A$2:$A$250, 'country region mapping'!$E$2:$E$250)</f>
        <v>#NAME?</v>
      </c>
      <c r="E305" s="1" t="e">
        <f t="array" aca="1" ref="E305" ca="1">_xludf.XLOOKUP(C305,'country region mapping'!$A$2:$A$267,'country region mapping'!$F$2:$F$267)</f>
        <v>#NAME?</v>
      </c>
      <c r="F305" s="1" t="e">
        <f t="array" aca="1" ref="F305" ca="1">_xludf.XLOOKUP(C305,'country region mapping'!$A$2:$A$267,'country region mapping'!$G$2:$G$267)</f>
        <v>#NAME?</v>
      </c>
      <c r="G305" s="1">
        <v>7.06</v>
      </c>
      <c r="H305" s="1">
        <v>20</v>
      </c>
      <c r="I305" s="1">
        <v>26</v>
      </c>
      <c r="J305" s="1">
        <v>5</v>
      </c>
      <c r="K305" s="1">
        <v>6</v>
      </c>
      <c r="L305" s="1">
        <v>31</v>
      </c>
      <c r="M305" s="1">
        <v>27</v>
      </c>
      <c r="N305" s="1">
        <v>5</v>
      </c>
      <c r="O305" s="1">
        <v>31</v>
      </c>
      <c r="P305" s="1">
        <v>13</v>
      </c>
      <c r="Q305" s="1">
        <v>27</v>
      </c>
      <c r="R305" s="1">
        <v>53</v>
      </c>
      <c r="S305" s="1">
        <v>133</v>
      </c>
    </row>
    <row r="306" spans="1:19">
      <c r="A306" s="1">
        <v>2023</v>
      </c>
      <c r="B306" s="1">
        <v>10</v>
      </c>
      <c r="C306" s="1" t="s">
        <v>43</v>
      </c>
      <c r="D306" s="1" t="e">
        <f t="array" aca="1" ref="D306" ca="1">_xludf.XLOOKUP(C306,'country region mapping'!$A$2:$A$250, 'country region mapping'!$E$2:$E$250)</f>
        <v>#NAME?</v>
      </c>
      <c r="E306" s="1" t="e">
        <f t="array" aca="1" ref="E306" ca="1">_xludf.XLOOKUP(C306,'country region mapping'!$A$2:$A$267,'country region mapping'!$F$2:$F$267)</f>
        <v>#NAME?</v>
      </c>
      <c r="F306" s="1" t="e">
        <f t="array" aca="1" ref="F306" ca="1">_xludf.XLOOKUP(C306,'country region mapping'!$A$2:$A$267,'country region mapping'!$G$2:$G$267)</f>
        <v>#NAME?</v>
      </c>
      <c r="G306" s="1">
        <v>7.0570000000000004</v>
      </c>
      <c r="H306" s="1">
        <v>28</v>
      </c>
      <c r="I306" s="1">
        <v>28</v>
      </c>
      <c r="J306" s="1">
        <v>16</v>
      </c>
      <c r="K306" s="1">
        <v>12</v>
      </c>
      <c r="L306" s="1">
        <v>36</v>
      </c>
      <c r="M306" s="1">
        <v>16</v>
      </c>
      <c r="N306" s="1">
        <v>15</v>
      </c>
      <c r="O306" s="1">
        <v>36</v>
      </c>
      <c r="P306" s="1">
        <v>52</v>
      </c>
      <c r="Q306" s="1">
        <v>16</v>
      </c>
      <c r="R306" s="1">
        <v>27</v>
      </c>
      <c r="S306" s="1">
        <v>31</v>
      </c>
    </row>
    <row r="307" spans="1:19">
      <c r="A307" s="1">
        <v>2023</v>
      </c>
      <c r="B307" s="1">
        <v>11</v>
      </c>
      <c r="C307" s="1" t="s">
        <v>42</v>
      </c>
      <c r="D307" s="1" t="e">
        <f t="array" aca="1" ref="D307" ca="1">_xludf.XLOOKUP(C307,'country region mapping'!$A$2:$A$250, 'country region mapping'!$E$2:$E$250)</f>
        <v>#NAME?</v>
      </c>
      <c r="E307" s="1" t="e">
        <f t="array" aca="1" ref="E307" ca="1">_xludf.XLOOKUP(C307,'country region mapping'!$A$2:$A$267,'country region mapping'!$F$2:$F$267)</f>
        <v>#NAME?</v>
      </c>
      <c r="F307" s="1" t="e">
        <f t="array" aca="1" ref="F307" ca="1">_xludf.XLOOKUP(C307,'country region mapping'!$A$2:$A$267,'country region mapping'!$G$2:$G$267)</f>
        <v>#NAME?</v>
      </c>
      <c r="G307" s="1">
        <v>7.0289999999999999</v>
      </c>
      <c r="H307" s="1">
        <v>13</v>
      </c>
      <c r="I307" s="1">
        <v>11</v>
      </c>
      <c r="J307" s="1">
        <v>27</v>
      </c>
      <c r="K307" s="1">
        <v>17</v>
      </c>
      <c r="L307" s="1">
        <v>35</v>
      </c>
      <c r="M307" s="1">
        <v>19</v>
      </c>
      <c r="N307" s="1">
        <v>7</v>
      </c>
      <c r="O307" s="1">
        <v>34</v>
      </c>
      <c r="P307" s="1">
        <v>35</v>
      </c>
      <c r="Q307" s="1">
        <v>19</v>
      </c>
      <c r="R307" s="1">
        <v>26</v>
      </c>
      <c r="S307" s="1">
        <v>83</v>
      </c>
    </row>
    <row r="308" spans="1:19">
      <c r="A308" s="1">
        <v>2023</v>
      </c>
      <c r="B308" s="1">
        <v>12</v>
      </c>
      <c r="C308" s="1" t="s">
        <v>52</v>
      </c>
      <c r="D308" s="1" t="e">
        <f t="array" aca="1" ref="D308" ca="1">_xludf.XLOOKUP(C308,'country region mapping'!$A$2:$A$250, 'country region mapping'!$E$2:$E$250)</f>
        <v>#NAME?</v>
      </c>
      <c r="E308" s="1" t="e">
        <f t="array" aca="1" ref="E308" ca="1">_xludf.XLOOKUP(C308,'country region mapping'!$A$2:$A$267,'country region mapping'!$F$2:$F$267)</f>
        <v>#NAME?</v>
      </c>
      <c r="F308" s="1" t="e">
        <f t="array" aca="1" ref="F308" ca="1">_xludf.XLOOKUP(C308,'country region mapping'!$A$2:$A$267,'country region mapping'!$G$2:$G$267)</f>
        <v>#NAME?</v>
      </c>
      <c r="G308" s="1">
        <v>6.9550000000000001</v>
      </c>
      <c r="H308" s="1">
        <v>55</v>
      </c>
      <c r="I308" s="1">
        <v>45</v>
      </c>
      <c r="J308" s="1">
        <v>55</v>
      </c>
      <c r="K308" s="1">
        <v>29</v>
      </c>
      <c r="L308" s="1">
        <v>8</v>
      </c>
      <c r="M308" s="1">
        <v>80</v>
      </c>
      <c r="N308" s="1">
        <v>67</v>
      </c>
      <c r="O308" s="1">
        <v>9</v>
      </c>
      <c r="P308" s="1">
        <v>69</v>
      </c>
      <c r="Q308" s="1">
        <v>80</v>
      </c>
      <c r="R308" s="1">
        <v>77</v>
      </c>
      <c r="S308" s="1">
        <v>24</v>
      </c>
    </row>
    <row r="309" spans="1:19">
      <c r="A309" s="1">
        <v>2023</v>
      </c>
      <c r="B309" s="1">
        <v>13</v>
      </c>
      <c r="C309" s="1" t="s">
        <v>88</v>
      </c>
      <c r="D309" s="1" t="e">
        <f t="array" aca="1" ref="D309" ca="1">_xludf.XLOOKUP(C309,'country region mapping'!$A$2:$A$250, 'country region mapping'!$E$2:$E$250)</f>
        <v>#NAME?</v>
      </c>
      <c r="E309" s="1" t="e">
        <f t="array" aca="1" ref="E309" ca="1">_xludf.XLOOKUP(C309,'country region mapping'!$A$2:$A$267,'country region mapping'!$F$2:$F$267)</f>
        <v>#NAME?</v>
      </c>
      <c r="F309" s="1" t="e">
        <f t="array" aca="1" ref="F309" ca="1">_xludf.XLOOKUP(C309,'country region mapping'!$A$2:$A$267,'country region mapping'!$G$2:$G$267)</f>
        <v>#NAME?</v>
      </c>
      <c r="G309" s="1">
        <v>6.9509999999999996</v>
      </c>
      <c r="H309" s="1">
        <v>38</v>
      </c>
      <c r="I309" s="1">
        <v>35</v>
      </c>
      <c r="J309" s="1">
        <v>32</v>
      </c>
      <c r="K309" s="1"/>
      <c r="L309" s="1">
        <v>30</v>
      </c>
      <c r="M309" s="1">
        <v>26</v>
      </c>
      <c r="O309" s="1">
        <v>38</v>
      </c>
      <c r="P309" s="1">
        <v>27</v>
      </c>
      <c r="Q309" s="1">
        <v>26</v>
      </c>
      <c r="R309" s="1">
        <v>23</v>
      </c>
      <c r="S309" s="1">
        <v>70</v>
      </c>
    </row>
    <row r="310" spans="1:19">
      <c r="A310" s="1">
        <v>2023</v>
      </c>
      <c r="B310" s="1">
        <v>14</v>
      </c>
      <c r="C310" s="1" t="s">
        <v>49</v>
      </c>
      <c r="D310" s="1" t="e">
        <f t="array" aca="1" ref="D310" ca="1">_xludf.XLOOKUP(C310,'country region mapping'!$A$2:$A$250, 'country region mapping'!$E$2:$E$250)</f>
        <v>#NAME?</v>
      </c>
      <c r="E310" s="1" t="e">
        <f t="array" aca="1" ref="E310" ca="1">_xludf.XLOOKUP(C310,'country region mapping'!$A$2:$A$267,'country region mapping'!$F$2:$F$267)</f>
        <v>#NAME?</v>
      </c>
      <c r="F310" s="1" t="e">
        <f t="array" aca="1" ref="F310" ca="1">_xludf.XLOOKUP(C310,'country region mapping'!$A$2:$A$267,'country region mapping'!$G$2:$G$267)</f>
        <v>#NAME?</v>
      </c>
      <c r="G310" s="1">
        <v>6.9050000000000002</v>
      </c>
      <c r="H310" s="1">
        <v>15</v>
      </c>
      <c r="I310" s="1">
        <v>46</v>
      </c>
      <c r="J310" s="1">
        <v>12</v>
      </c>
      <c r="K310" s="1">
        <v>19</v>
      </c>
      <c r="L310" s="1">
        <v>38</v>
      </c>
      <c r="M310" s="1">
        <v>12</v>
      </c>
      <c r="N310" s="1">
        <v>20</v>
      </c>
      <c r="O310" s="1">
        <v>49</v>
      </c>
      <c r="P310" s="1">
        <v>44</v>
      </c>
      <c r="Q310" s="1">
        <v>12</v>
      </c>
      <c r="R310" s="1">
        <v>68</v>
      </c>
      <c r="S310" s="1">
        <v>117</v>
      </c>
    </row>
    <row r="311" spans="1:19">
      <c r="A311" s="1">
        <v>2023</v>
      </c>
      <c r="B311" s="1">
        <v>15</v>
      </c>
      <c r="C311" s="1" t="s">
        <v>38</v>
      </c>
      <c r="D311" s="1" t="e">
        <f t="array" aca="1" ref="D311" ca="1">_xludf.XLOOKUP(C311,'country region mapping'!$A$2:$A$250, 'country region mapping'!$E$2:$E$250)</f>
        <v>#NAME?</v>
      </c>
      <c r="E311" s="1" t="e">
        <f t="array" aca="1" ref="E311" ca="1">_xludf.XLOOKUP(C311,'country region mapping'!$A$2:$A$267,'country region mapping'!$F$2:$F$267)</f>
        <v>#NAME?</v>
      </c>
      <c r="F311" s="1" t="e">
        <f t="array" aca="1" ref="F311" ca="1">_xludf.XLOOKUP(C311,'country region mapping'!$A$2:$A$267,'country region mapping'!$G$2:$G$267)</f>
        <v>#NAME?</v>
      </c>
      <c r="G311" s="1">
        <v>6.9</v>
      </c>
      <c r="H311" s="1">
        <v>42</v>
      </c>
      <c r="I311" s="1">
        <v>27</v>
      </c>
      <c r="J311" s="1">
        <v>19</v>
      </c>
      <c r="K311" s="1">
        <v>21</v>
      </c>
      <c r="L311" s="1">
        <v>56</v>
      </c>
      <c r="M311" s="1">
        <v>15</v>
      </c>
      <c r="N311" s="1">
        <v>14</v>
      </c>
      <c r="O311" s="1">
        <v>40</v>
      </c>
      <c r="P311" s="1">
        <v>81</v>
      </c>
      <c r="Q311" s="1">
        <v>15</v>
      </c>
      <c r="R311" s="1">
        <v>25</v>
      </c>
      <c r="S311" s="1">
        <v>46</v>
      </c>
    </row>
    <row r="312" spans="1:19">
      <c r="A312" s="1">
        <v>2023</v>
      </c>
      <c r="B312" s="1">
        <v>16</v>
      </c>
      <c r="C312" s="1" t="s">
        <v>415</v>
      </c>
      <c r="D312" s="1" t="e">
        <f t="array" aca="1" ref="D312" ca="1">_xludf.XLOOKUP(C312,'country region mapping'!$A$2:$A$250, 'country region mapping'!$E$2:$E$250)</f>
        <v>#NAME?</v>
      </c>
      <c r="E312" s="1" t="e">
        <f t="array" aca="1" ref="E312" ca="1">_xludf.XLOOKUP(C312,'country region mapping'!$A$2:$A$267,'country region mapping'!$F$2:$F$267)</f>
        <v>#NAME?</v>
      </c>
      <c r="F312" s="1" t="e">
        <f t="array" aca="1" ref="F312" ca="1">_xludf.XLOOKUP(C312,'country region mapping'!$A$2:$A$267,'country region mapping'!$G$2:$G$267)</f>
        <v>#NAME?</v>
      </c>
      <c r="G312" s="1">
        <v>6.8940000000000001</v>
      </c>
      <c r="H312" s="1">
        <v>7</v>
      </c>
      <c r="I312" s="1">
        <v>29</v>
      </c>
      <c r="J312" s="1">
        <v>14</v>
      </c>
      <c r="K312" s="1">
        <v>20</v>
      </c>
      <c r="L312" s="1">
        <v>41</v>
      </c>
      <c r="M312" s="1">
        <v>34</v>
      </c>
      <c r="N312" s="1">
        <v>19</v>
      </c>
      <c r="O312" s="1">
        <v>41</v>
      </c>
      <c r="P312" s="1">
        <v>50</v>
      </c>
      <c r="Q312" s="1">
        <v>34</v>
      </c>
      <c r="R312" s="1">
        <v>59</v>
      </c>
      <c r="S312" s="1">
        <v>98</v>
      </c>
    </row>
    <row r="313" spans="1:19">
      <c r="A313" s="1">
        <v>2023</v>
      </c>
      <c r="B313" s="1">
        <v>17</v>
      </c>
      <c r="C313" s="1" t="s">
        <v>57</v>
      </c>
      <c r="D313" s="1" t="e">
        <f t="array" aca="1" ref="D313" ca="1">_xludf.XLOOKUP(C313,'country region mapping'!$A$2:$A$250, 'country region mapping'!$E$2:$E$250)</f>
        <v>#NAME?</v>
      </c>
      <c r="E313" s="1" t="e">
        <f t="array" aca="1" ref="E313" ca="1">_xludf.XLOOKUP(C313,'country region mapping'!$A$2:$A$267,'country region mapping'!$F$2:$F$267)</f>
        <v>#NAME?</v>
      </c>
      <c r="F313" s="1" t="e">
        <f t="array" aca="1" ref="F313" ca="1">_xludf.XLOOKUP(C313,'country region mapping'!$A$2:$A$267,'country region mapping'!$G$2:$G$267)</f>
        <v>#NAME?</v>
      </c>
      <c r="G313" s="1">
        <v>6.8380000000000001</v>
      </c>
      <c r="H313" s="1">
        <v>16</v>
      </c>
      <c r="I313" s="1">
        <v>16</v>
      </c>
      <c r="J313" s="1">
        <v>3</v>
      </c>
      <c r="K313" s="1">
        <v>16</v>
      </c>
      <c r="L313" s="1">
        <v>23</v>
      </c>
      <c r="M313" s="1">
        <v>9</v>
      </c>
      <c r="N313" s="1">
        <v>11</v>
      </c>
      <c r="O313" s="1">
        <v>32</v>
      </c>
      <c r="P313" s="1">
        <v>48</v>
      </c>
      <c r="Q313" s="1">
        <v>9</v>
      </c>
      <c r="R313" s="1">
        <v>42</v>
      </c>
      <c r="S313" s="1">
        <v>88</v>
      </c>
    </row>
    <row r="314" spans="1:19">
      <c r="A314" s="1">
        <v>2023</v>
      </c>
      <c r="B314" s="1">
        <v>18</v>
      </c>
      <c r="C314" s="1" t="s">
        <v>70</v>
      </c>
      <c r="D314" s="1" t="e">
        <f t="array" aca="1" ref="D314" ca="1">_xludf.XLOOKUP(C314,'country region mapping'!$A$2:$A$250, 'country region mapping'!$E$2:$E$250)</f>
        <v>#NAME?</v>
      </c>
      <c r="E314" s="1" t="e">
        <f t="array" aca="1" ref="E314" ca="1">_xludf.XLOOKUP(C314,'country region mapping'!$A$2:$A$267,'country region mapping'!$F$2:$F$267)</f>
        <v>#NAME?</v>
      </c>
      <c r="F314" s="1" t="e">
        <f t="array" aca="1" ref="F314" ca="1">_xludf.XLOOKUP(C314,'country region mapping'!$A$2:$A$267,'country region mapping'!$G$2:$G$267)</f>
        <v>#NAME?</v>
      </c>
      <c r="G314" s="1">
        <v>6.8220000000000001</v>
      </c>
      <c r="H314" s="1">
        <v>26</v>
      </c>
      <c r="I314" s="1">
        <v>14</v>
      </c>
      <c r="J314" s="1">
        <v>30</v>
      </c>
      <c r="K314" s="1">
        <v>36</v>
      </c>
      <c r="L314" s="1">
        <v>20</v>
      </c>
      <c r="M314" s="1">
        <v>43</v>
      </c>
      <c r="N314" s="1">
        <v>96</v>
      </c>
      <c r="O314" s="1">
        <v>28</v>
      </c>
      <c r="P314" s="1">
        <v>56</v>
      </c>
      <c r="Q314" s="1">
        <v>43</v>
      </c>
      <c r="R314" s="1">
        <v>67</v>
      </c>
      <c r="S314" s="1">
        <v>67</v>
      </c>
    </row>
    <row r="315" spans="1:19">
      <c r="A315" s="1">
        <v>2023</v>
      </c>
      <c r="B315" s="1">
        <v>19</v>
      </c>
      <c r="C315" s="1" t="s">
        <v>114</v>
      </c>
      <c r="D315" s="1" t="e">
        <f t="array" aca="1" ref="D315" ca="1">_xludf.XLOOKUP(C315,'country region mapping'!$A$2:$A$250, 'country region mapping'!$E$2:$E$250)</f>
        <v>#NAME?</v>
      </c>
      <c r="E315" s="1" t="e">
        <f t="array" aca="1" ref="E315" ca="1">_xludf.XLOOKUP(C315,'country region mapping'!$A$2:$A$267,'country region mapping'!$F$2:$F$267)</f>
        <v>#NAME?</v>
      </c>
      <c r="F315" s="1" t="e">
        <f t="array" aca="1" ref="F315" ca="1">_xludf.XLOOKUP(C315,'country region mapping'!$A$2:$A$267,'country region mapping'!$G$2:$G$267)</f>
        <v>#NAME?</v>
      </c>
      <c r="G315" s="1">
        <v>6.8179999999999996</v>
      </c>
      <c r="H315" s="1">
        <v>27</v>
      </c>
      <c r="I315" s="1">
        <v>42</v>
      </c>
      <c r="J315" s="1">
        <v>33</v>
      </c>
      <c r="K315" s="1">
        <v>52</v>
      </c>
      <c r="L315" s="1">
        <v>105</v>
      </c>
      <c r="M315" s="1">
        <v>124</v>
      </c>
      <c r="N315" s="1">
        <v>60</v>
      </c>
      <c r="O315" s="1">
        <v>130</v>
      </c>
      <c r="P315" s="1">
        <v>23</v>
      </c>
      <c r="Q315" s="1">
        <v>124</v>
      </c>
      <c r="R315" s="1">
        <v>126</v>
      </c>
      <c r="S315" s="1">
        <v>137</v>
      </c>
    </row>
    <row r="316" spans="1:19">
      <c r="A316" s="1">
        <v>2023</v>
      </c>
      <c r="B316" s="1">
        <v>20</v>
      </c>
      <c r="C316" s="1" t="s">
        <v>64</v>
      </c>
      <c r="D316" s="1" t="e">
        <f t="array" aca="1" ref="D316" ca="1">_xludf.XLOOKUP(C316,'country region mapping'!$A$2:$A$267,'country region mapping'!$E$2:$E$267)</f>
        <v>#NAME?</v>
      </c>
      <c r="E316" s="1" t="e">
        <f t="array" aca="1" ref="E316" ca="1">_xludf.XLOOKUP(C316,'country region mapping'!$A$2:$A$267,'country region mapping'!$F$2:$F$267)</f>
        <v>#NAME?</v>
      </c>
      <c r="F316" s="1" t="e">
        <f t="array" aca="1" ref="F316" ca="1">_xludf.XLOOKUP(C316,'country region mapping'!$A$2:$A$267,'country region mapping'!$G$2:$G$267)</f>
        <v>#NAME?</v>
      </c>
      <c r="G316" s="1">
        <v>6.7489999999999997</v>
      </c>
      <c r="H316" s="1">
        <v>23</v>
      </c>
      <c r="I316" s="1">
        <v>38</v>
      </c>
      <c r="J316" s="1">
        <v>23</v>
      </c>
      <c r="K316" s="1">
        <v>25</v>
      </c>
      <c r="L316" s="1">
        <v>37</v>
      </c>
      <c r="M316" s="1">
        <v>8</v>
      </c>
      <c r="N316" s="1">
        <v>17</v>
      </c>
      <c r="O316" s="1">
        <v>46</v>
      </c>
      <c r="P316" s="1">
        <v>68</v>
      </c>
      <c r="Q316" s="1">
        <v>8</v>
      </c>
      <c r="R316" s="1">
        <v>57</v>
      </c>
      <c r="S316" s="1">
        <v>102</v>
      </c>
    </row>
    <row r="317" spans="1:19">
      <c r="A317" s="1">
        <v>2023</v>
      </c>
      <c r="B317" s="1">
        <v>21</v>
      </c>
      <c r="C317" s="1" t="s">
        <v>116</v>
      </c>
      <c r="D317" s="1" t="e">
        <f t="array" aca="1" ref="D317" ca="1">_xludf.XLOOKUP(C317,'country region mapping'!$A$2:$A$250, 'country region mapping'!$E$2:$E$250)</f>
        <v>#NAME?</v>
      </c>
      <c r="E317" s="1" t="e">
        <f t="array" aca="1" ref="E317" ca="1">_xludf.XLOOKUP(C317,'country region mapping'!$A$2:$A$267,'country region mapping'!$F$2:$F$267)</f>
        <v>#NAME?</v>
      </c>
      <c r="F317" s="1" t="e">
        <f t="array" aca="1" ref="F317" ca="1">_xludf.XLOOKUP(C317,'country region mapping'!$A$2:$A$267,'country region mapping'!$G$2:$G$267)</f>
        <v>#NAME?</v>
      </c>
      <c r="G317" s="1">
        <v>6.7430000000000003</v>
      </c>
      <c r="H317" s="1">
        <v>33</v>
      </c>
      <c r="I317" s="1">
        <v>22</v>
      </c>
      <c r="J317" s="1">
        <v>29</v>
      </c>
      <c r="K317" s="1">
        <v>23</v>
      </c>
      <c r="L317" s="1">
        <v>10</v>
      </c>
      <c r="M317" s="1">
        <v>41</v>
      </c>
      <c r="N317" s="1">
        <v>59</v>
      </c>
      <c r="O317" s="1">
        <v>95</v>
      </c>
      <c r="P317" s="1">
        <v>59</v>
      </c>
      <c r="Q317" s="1">
        <v>41</v>
      </c>
      <c r="R317" s="1">
        <v>50</v>
      </c>
      <c r="S317" s="1">
        <v>123</v>
      </c>
    </row>
    <row r="318" spans="1:19">
      <c r="A318" s="1">
        <v>2023</v>
      </c>
      <c r="B318" s="1">
        <v>22</v>
      </c>
      <c r="C318" s="1" t="s">
        <v>71</v>
      </c>
      <c r="D318" s="1" t="e">
        <f t="array" aca="1" ref="D318" ca="1">_xludf.XLOOKUP(C318,'country region mapping'!$A$2:$A$250, 'country region mapping'!$E$2:$E$250)</f>
        <v>#NAME?</v>
      </c>
      <c r="E318" s="1" t="e">
        <f t="array" aca="1" ref="E318" ca="1">_xludf.XLOOKUP(C318,'country region mapping'!$A$2:$A$267,'country region mapping'!$F$2:$F$267)</f>
        <v>#NAME?</v>
      </c>
      <c r="F318" s="1" t="e">
        <f t="array" aca="1" ref="F318" ca="1">_xludf.XLOOKUP(C318,'country region mapping'!$A$2:$A$267,'country region mapping'!$G$2:$G$267)</f>
        <v>#NAME?</v>
      </c>
      <c r="G318" s="1">
        <v>6.7329999999999997</v>
      </c>
      <c r="H318" s="1">
        <v>47</v>
      </c>
      <c r="I318" s="1">
        <v>92</v>
      </c>
      <c r="J318" s="1">
        <v>9</v>
      </c>
      <c r="K318" s="1">
        <v>30</v>
      </c>
      <c r="L318" s="1">
        <v>32</v>
      </c>
      <c r="M318" s="1">
        <v>18</v>
      </c>
      <c r="O318" s="1">
        <v>77</v>
      </c>
      <c r="P318" s="1">
        <v>82</v>
      </c>
      <c r="Q318" s="1">
        <v>18</v>
      </c>
      <c r="R318" s="1">
        <v>19</v>
      </c>
      <c r="S318" s="1">
        <v>54</v>
      </c>
    </row>
    <row r="319" spans="1:19">
      <c r="A319" s="1">
        <v>2023</v>
      </c>
      <c r="B319" s="1">
        <v>23</v>
      </c>
      <c r="C319" s="1" t="s">
        <v>51</v>
      </c>
      <c r="D319" s="1" t="e">
        <f t="array" aca="1" ref="D319" ca="1">_xludf.XLOOKUP(C319,'country region mapping'!$A$2:$A$267,'country region mapping'!$E$2:$E$267)</f>
        <v>#NAME?</v>
      </c>
      <c r="E319" s="1" t="e">
        <f t="array" aca="1" ref="E319" ca="1">_xludf.XLOOKUP(C319,'country region mapping'!$A$2:$A$267,'country region mapping'!$F$2:$F$267)</f>
        <v>#NAME?</v>
      </c>
      <c r="F319" s="1" t="e">
        <f t="array" aca="1" ref="F319" ca="1">_xludf.XLOOKUP(C319,'country region mapping'!$A$2:$A$267,'country region mapping'!$G$2:$G$267)</f>
        <v>#NAME?</v>
      </c>
      <c r="G319" s="1">
        <v>6.7249999999999996</v>
      </c>
      <c r="H319" s="1">
        <v>60</v>
      </c>
      <c r="I319" s="1">
        <v>53</v>
      </c>
      <c r="J319" s="1">
        <v>6</v>
      </c>
      <c r="K319" s="1">
        <v>56</v>
      </c>
      <c r="L319" s="1">
        <v>110</v>
      </c>
      <c r="M319" s="1">
        <v>14</v>
      </c>
      <c r="N319" s="1">
        <v>50</v>
      </c>
      <c r="O319" s="1">
        <v>55</v>
      </c>
      <c r="P319" s="1">
        <v>70</v>
      </c>
      <c r="Q319" s="1">
        <v>14</v>
      </c>
      <c r="R319" s="1">
        <v>15</v>
      </c>
      <c r="S319" s="1">
        <v>11</v>
      </c>
    </row>
    <row r="320" spans="1:19">
      <c r="A320" s="1">
        <v>2023</v>
      </c>
      <c r="B320" s="1">
        <v>24</v>
      </c>
      <c r="C320" s="1" t="s">
        <v>539</v>
      </c>
      <c r="D320" s="1" t="e">
        <f t="array" aca="1" ref="D320" ca="1">_xludf.XLOOKUP(C320,'country region mapping'!$A$2:$A$250, 'country region mapping'!$E$2:$E$250)</f>
        <v>#NAME?</v>
      </c>
      <c r="E320" s="1" t="e">
        <f t="array" aca="1" ref="E320" ca="1">_xludf.XLOOKUP(C320,'country region mapping'!$A$2:$A$267,'country region mapping'!$F$2:$F$267)</f>
        <v>#NAME?</v>
      </c>
      <c r="F320" s="1" t="e">
        <f t="array" aca="1" ref="F320" ca="1">_xludf.XLOOKUP(C320,'country region mapping'!$A$2:$A$267,'country region mapping'!$G$2:$G$267)</f>
        <v>#NAME?</v>
      </c>
      <c r="G320" s="1">
        <v>6.7190000000000003</v>
      </c>
      <c r="H320" s="1">
        <v>11</v>
      </c>
      <c r="I320" s="1">
        <v>32</v>
      </c>
      <c r="J320" s="1">
        <v>13</v>
      </c>
      <c r="K320" s="1">
        <v>24</v>
      </c>
      <c r="L320" s="1">
        <v>58</v>
      </c>
      <c r="M320" s="1">
        <v>31</v>
      </c>
      <c r="N320" s="1">
        <v>13</v>
      </c>
      <c r="O320" s="1">
        <v>56</v>
      </c>
      <c r="P320" s="1">
        <v>39</v>
      </c>
      <c r="Q320" s="1">
        <v>31</v>
      </c>
      <c r="R320" s="1">
        <v>55</v>
      </c>
      <c r="S320" s="1">
        <v>94</v>
      </c>
    </row>
    <row r="321" spans="1:19">
      <c r="A321" s="1">
        <v>2023</v>
      </c>
      <c r="B321" s="1">
        <v>25</v>
      </c>
      <c r="C321" s="1" t="s">
        <v>61</v>
      </c>
      <c r="D321" s="1" t="e">
        <f t="array" aca="1" ref="D321" ca="1">_xludf.XLOOKUP(C321,'country region mapping'!$A$2:$A$250, 'country region mapping'!$E$2:$E$250)</f>
        <v>#NAME?</v>
      </c>
      <c r="E321" s="1" t="e">
        <f t="array" aca="1" ref="E321" ca="1">_xludf.XLOOKUP(C321,'country region mapping'!$A$2:$A$267,'country region mapping'!$F$2:$F$267)</f>
        <v>#NAME?</v>
      </c>
      <c r="F321" s="1" t="e">
        <f t="array" aca="1" ref="F321" ca="1">_xludf.XLOOKUP(C321,'country region mapping'!$A$2:$A$267,'country region mapping'!$G$2:$G$267)</f>
        <v>#NAME?</v>
      </c>
      <c r="G321" s="1">
        <v>6.6779999999999999</v>
      </c>
      <c r="H321" s="1">
        <v>58</v>
      </c>
      <c r="I321" s="1">
        <v>51</v>
      </c>
      <c r="J321" s="1">
        <v>61</v>
      </c>
      <c r="K321" s="1">
        <v>79</v>
      </c>
      <c r="L321" s="1">
        <v>42</v>
      </c>
      <c r="M321" s="1">
        <v>99</v>
      </c>
      <c r="N321" s="1">
        <v>64</v>
      </c>
      <c r="O321" s="1">
        <v>8</v>
      </c>
      <c r="P321" s="1">
        <v>41</v>
      </c>
      <c r="Q321" s="1">
        <v>99</v>
      </c>
      <c r="R321" s="1">
        <v>87</v>
      </c>
      <c r="S321" s="1">
        <v>68</v>
      </c>
    </row>
    <row r="322" spans="1:19">
      <c r="A322" s="1">
        <v>2023</v>
      </c>
      <c r="B322" s="1">
        <v>26</v>
      </c>
      <c r="C322" s="1" t="s">
        <v>73</v>
      </c>
      <c r="D322" s="1" t="e">
        <f t="array" aca="1" ref="D322" ca="1">_xludf.XLOOKUP(C322,'country region mapping'!$A$2:$A$250, 'country region mapping'!$E$2:$E$250)</f>
        <v>#NAME?</v>
      </c>
      <c r="E322" s="1" t="e">
        <f t="array" aca="1" ref="E322" ca="1">_xludf.XLOOKUP(C322,'country region mapping'!$A$2:$A$267,'country region mapping'!$F$2:$F$267)</f>
        <v>#NAME?</v>
      </c>
      <c r="F322" s="1" t="e">
        <f t="array" aca="1" ref="F322" ca="1">_xludf.XLOOKUP(C322,'country region mapping'!$A$2:$A$267,'country region mapping'!$G$2:$G$267)</f>
        <v>#NAME?</v>
      </c>
      <c r="G322" s="1">
        <v>6.6109999999999998</v>
      </c>
      <c r="H322" s="1">
        <v>51</v>
      </c>
      <c r="I322" s="1">
        <v>25</v>
      </c>
      <c r="J322" s="1">
        <v>50</v>
      </c>
      <c r="K322" s="1">
        <v>45</v>
      </c>
      <c r="L322" s="1">
        <v>22</v>
      </c>
      <c r="M322" s="1">
        <v>72</v>
      </c>
      <c r="N322" s="1">
        <v>35</v>
      </c>
      <c r="O322" s="1">
        <v>24</v>
      </c>
      <c r="P322" s="1">
        <v>64</v>
      </c>
      <c r="Q322" s="1">
        <v>72</v>
      </c>
      <c r="R322" s="1">
        <v>93</v>
      </c>
      <c r="S322" s="1">
        <v>33</v>
      </c>
    </row>
    <row r="323" spans="1:19">
      <c r="A323" s="1">
        <v>2023</v>
      </c>
      <c r="B323" s="1">
        <v>27</v>
      </c>
      <c r="C323" s="1" t="s">
        <v>76</v>
      </c>
      <c r="D323" s="1" t="e">
        <f t="array" aca="1" ref="D323" ca="1">_xludf.XLOOKUP(C323,'country region mapping'!$A$2:$A$250, 'country region mapping'!$E$2:$E$250)</f>
        <v>#NAME?</v>
      </c>
      <c r="E323" s="1" t="e">
        <f t="array" aca="1" ref="E323" ca="1">_xludf.XLOOKUP(C323,'country region mapping'!$A$2:$A$267,'country region mapping'!$F$2:$F$267)</f>
        <v>#NAME?</v>
      </c>
      <c r="F323" s="1" t="e">
        <f t="array" aca="1" ref="F323" ca="1">_xludf.XLOOKUP(C323,'country region mapping'!$A$2:$A$267,'country region mapping'!$G$2:$G$267)</f>
        <v>#NAME?</v>
      </c>
      <c r="G323" s="1">
        <v>6.609</v>
      </c>
      <c r="H323" s="1">
        <v>17</v>
      </c>
      <c r="I323" s="1">
        <v>61</v>
      </c>
      <c r="J323" s="1">
        <v>22</v>
      </c>
      <c r="K323" s="1">
        <v>14</v>
      </c>
      <c r="L323" s="1">
        <v>80</v>
      </c>
      <c r="M323" s="1">
        <v>47</v>
      </c>
      <c r="N323" s="1">
        <v>22</v>
      </c>
      <c r="O323" s="1">
        <v>67</v>
      </c>
      <c r="P323" s="1">
        <v>33</v>
      </c>
      <c r="Q323" s="1">
        <v>47</v>
      </c>
      <c r="R323" s="1">
        <v>39</v>
      </c>
      <c r="S323" s="1">
        <v>138</v>
      </c>
    </row>
    <row r="324" spans="1:19">
      <c r="A324" s="1">
        <v>2023</v>
      </c>
      <c r="B324" s="1">
        <v>28</v>
      </c>
      <c r="C324" s="1" t="s">
        <v>79</v>
      </c>
      <c r="D324" s="1" t="e">
        <f t="array" aca="1" ref="D324" ca="1">_xludf.XLOOKUP(C324,'country region mapping'!$A$2:$A$250, 'country region mapping'!$E$2:$E$250)</f>
        <v>#NAME?</v>
      </c>
      <c r="E324" s="1" t="e">
        <f t="array" aca="1" ref="E324" ca="1">_xludf.XLOOKUP(C324,'country region mapping'!$A$2:$A$267,'country region mapping'!$F$2:$F$267)</f>
        <v>#NAME?</v>
      </c>
      <c r="F324" s="1" t="e">
        <f t="array" aca="1" ref="F324" ca="1">_xludf.XLOOKUP(C324,'country region mapping'!$A$2:$A$267,'country region mapping'!$G$2:$G$267)</f>
        <v>#NAME?</v>
      </c>
      <c r="G324" s="1">
        <v>6.5940000000000003</v>
      </c>
      <c r="H324" s="1">
        <v>61</v>
      </c>
      <c r="I324" s="1">
        <v>40</v>
      </c>
      <c r="J324" s="1">
        <v>21</v>
      </c>
      <c r="K324" s="1">
        <v>38</v>
      </c>
      <c r="M324" s="1">
        <v>39</v>
      </c>
      <c r="O324" s="1">
        <v>35</v>
      </c>
      <c r="P324" s="14">
        <v>45</v>
      </c>
      <c r="Q324" s="14">
        <v>39</v>
      </c>
      <c r="R324" s="14">
        <v>71</v>
      </c>
      <c r="S324" s="14">
        <v>25</v>
      </c>
    </row>
    <row r="325" spans="1:19">
      <c r="A325" s="1">
        <v>2023</v>
      </c>
      <c r="B325" s="1">
        <v>29</v>
      </c>
      <c r="C325" s="1" t="s">
        <v>135</v>
      </c>
      <c r="D325" s="1" t="e">
        <f t="array" aca="1" ref="D325" ca="1">_xludf.XLOOKUP(C325,'country region mapping'!$A$2:$A$267,'country region mapping'!$E$2:$E$267)</f>
        <v>#NAME?</v>
      </c>
      <c r="E325" s="1" t="e">
        <f t="array" aca="1" ref="E325" ca="1">_xludf.XLOOKUP(C325,'country region mapping'!$A$2:$A$267,'country region mapping'!$F$2:$F$267)</f>
        <v>#NAME?</v>
      </c>
      <c r="F325" s="1" t="e">
        <f t="array" aca="1" ref="F325" ca="1">_xludf.XLOOKUP(C325,'country region mapping'!$A$2:$A$267,'country region mapping'!$G$2:$G$267)</f>
        <v>#NAME?</v>
      </c>
      <c r="G325" s="1">
        <v>6.5609999999999999</v>
      </c>
      <c r="H325" s="1">
        <v>65</v>
      </c>
      <c r="I325" s="1">
        <v>78</v>
      </c>
      <c r="J325" s="1">
        <v>81</v>
      </c>
      <c r="K325" s="1"/>
      <c r="L325" s="1">
        <v>28</v>
      </c>
      <c r="M325" s="1">
        <v>17</v>
      </c>
      <c r="N325" s="1">
        <v>86</v>
      </c>
      <c r="O325" s="1">
        <v>64</v>
      </c>
      <c r="Q325" s="1">
        <v>17</v>
      </c>
      <c r="R325" s="1">
        <v>133</v>
      </c>
      <c r="S325" s="1">
        <v>71</v>
      </c>
    </row>
    <row r="326" spans="1:19">
      <c r="A326" s="1">
        <v>2023</v>
      </c>
      <c r="B326" s="1">
        <v>30</v>
      </c>
      <c r="C326" s="1" t="s">
        <v>63</v>
      </c>
      <c r="D326" s="1" t="e">
        <f t="array" aca="1" ref="D326" ca="1">_xludf.XLOOKUP(C326,'country region mapping'!$A$2:$A$250, 'country region mapping'!$E$2:$E$250)</f>
        <v>#NAME?</v>
      </c>
      <c r="E326" s="1" t="e">
        <f t="array" aca="1" ref="E326" ca="1">_xludf.XLOOKUP(C326,'country region mapping'!$A$2:$A$267,'country region mapping'!$F$2:$F$267)</f>
        <v>#NAME?</v>
      </c>
      <c r="F326" s="1" t="e">
        <f t="array" aca="1" ref="F326" ca="1">_xludf.XLOOKUP(C326,'country region mapping'!$A$2:$A$267,'country region mapping'!$G$2:$G$267)</f>
        <v>#NAME?</v>
      </c>
      <c r="G326" s="1">
        <v>6.5229999999999997</v>
      </c>
      <c r="H326" s="1">
        <v>9</v>
      </c>
      <c r="I326" s="1">
        <v>17</v>
      </c>
      <c r="J326" s="1">
        <v>2</v>
      </c>
      <c r="K326" s="1">
        <v>1</v>
      </c>
      <c r="L326" s="1">
        <v>48</v>
      </c>
      <c r="M326" s="1">
        <v>5</v>
      </c>
      <c r="N326" s="1">
        <v>1</v>
      </c>
      <c r="O326" s="1">
        <v>72</v>
      </c>
      <c r="P326" s="1">
        <v>17</v>
      </c>
      <c r="Q326" s="1">
        <v>5</v>
      </c>
      <c r="R326" s="1">
        <v>12</v>
      </c>
      <c r="S326" s="1">
        <v>14</v>
      </c>
    </row>
    <row r="327" spans="1:19">
      <c r="A327" s="1">
        <v>2023</v>
      </c>
      <c r="B327" s="1">
        <v>31</v>
      </c>
      <c r="C327" s="1" t="s">
        <v>81</v>
      </c>
      <c r="D327" s="1" t="e">
        <f t="array" aca="1" ref="D327" ca="1">_xludf.XLOOKUP(C327,'country region mapping'!$A$2:$A$267,'country region mapping'!$E$2:$E$267)</f>
        <v>#NAME?</v>
      </c>
      <c r="E327" s="1" t="e">
        <f t="array" aca="1" ref="E327" ca="1">_xludf.XLOOKUP(C327,'country region mapping'!$A$2:$A$267,'country region mapping'!$F$2:$F$267)</f>
        <v>#NAME?</v>
      </c>
      <c r="F327" s="1" t="e">
        <f t="array" aca="1" ref="F327" ca="1">_xludf.XLOOKUP(C327,'country region mapping'!$A$2:$A$267,'country region mapping'!$G$2:$G$267)</f>
        <v>#NAME?</v>
      </c>
      <c r="G327" s="1">
        <v>6.5030000000000001</v>
      </c>
      <c r="H327" s="1">
        <v>25</v>
      </c>
      <c r="I327" s="1">
        <v>49</v>
      </c>
      <c r="K327" s="1"/>
      <c r="L327" s="1">
        <v>74</v>
      </c>
      <c r="M327" s="1">
        <v>38</v>
      </c>
      <c r="N327" s="1">
        <v>28</v>
      </c>
      <c r="O327" s="1">
        <v>29</v>
      </c>
      <c r="P327" s="1">
        <v>1</v>
      </c>
      <c r="Q327" s="1">
        <v>38</v>
      </c>
      <c r="R327" s="1">
        <v>83</v>
      </c>
      <c r="S327" s="1">
        <v>72</v>
      </c>
    </row>
    <row r="328" spans="1:19">
      <c r="A328" s="1">
        <v>2023</v>
      </c>
      <c r="B328" s="1">
        <v>32</v>
      </c>
      <c r="C328" s="1" t="s">
        <v>128</v>
      </c>
      <c r="D328" s="1" t="e">
        <f t="array" aca="1" ref="D328" ca="1">_xludf.XLOOKUP(C328,'country region mapping'!$A$2:$A$250, 'country region mapping'!$E$2:$E$250)</f>
        <v>#NAME?</v>
      </c>
      <c r="E328" s="1" t="e">
        <f t="array" aca="1" ref="E328" ca="1">_xludf.XLOOKUP(C328,'country region mapping'!$A$2:$A$267,'country region mapping'!$F$2:$F$267)</f>
        <v>#NAME?</v>
      </c>
      <c r="F328" s="1" t="e">
        <f t="array" aca="1" ref="F328" ca="1">_xludf.XLOOKUP(C328,'country region mapping'!$A$2:$A$267,'country region mapping'!$G$2:$G$267)</f>
        <v>#NAME?</v>
      </c>
      <c r="G328" s="1">
        <v>6.4909999999999997</v>
      </c>
      <c r="H328" s="1">
        <v>67</v>
      </c>
      <c r="I328" s="1">
        <v>72</v>
      </c>
      <c r="J328" s="1">
        <v>39</v>
      </c>
      <c r="K328" s="1">
        <v>58</v>
      </c>
      <c r="L328" s="1">
        <v>52</v>
      </c>
      <c r="M328" s="1">
        <v>114</v>
      </c>
      <c r="N328" s="1">
        <v>127</v>
      </c>
      <c r="O328" s="1">
        <v>90</v>
      </c>
      <c r="P328" s="1">
        <v>66</v>
      </c>
      <c r="Q328" s="1">
        <v>114</v>
      </c>
      <c r="R328" s="1">
        <v>139</v>
      </c>
      <c r="S328" s="1">
        <v>109</v>
      </c>
    </row>
    <row r="329" spans="1:19">
      <c r="A329" s="1">
        <v>2023</v>
      </c>
      <c r="B329" s="1">
        <v>33</v>
      </c>
      <c r="C329" s="1" t="s">
        <v>96</v>
      </c>
      <c r="D329" s="1" t="e">
        <f t="array" aca="1" ref="D329" ca="1">_xludf.XLOOKUP(C329,'country region mapping'!$A$2:$A$250, 'country region mapping'!$E$2:$E$250)</f>
        <v>#NAME?</v>
      </c>
      <c r="E329" s="1" t="e">
        <f t="array" aca="1" ref="E329" ca="1">_xludf.XLOOKUP(C329,'country region mapping'!$A$2:$A$267,'country region mapping'!$F$2:$F$267)</f>
        <v>#NAME?</v>
      </c>
      <c r="F329" s="1" t="e">
        <f t="array" aca="1" ref="F329" ca="1">_xludf.XLOOKUP(C329,'country region mapping'!$A$2:$A$267,'country region mapping'!$G$2:$G$267)</f>
        <v>#NAME?</v>
      </c>
      <c r="G329" s="1">
        <v>6.4690000000000003</v>
      </c>
      <c r="H329" s="1">
        <v>118</v>
      </c>
      <c r="I329" s="1">
        <v>96</v>
      </c>
      <c r="J329" s="1">
        <v>88</v>
      </c>
      <c r="K329" s="1">
        <v>73</v>
      </c>
      <c r="L329" s="1">
        <v>6</v>
      </c>
      <c r="M329" s="1">
        <v>110</v>
      </c>
      <c r="N329" s="1">
        <v>18</v>
      </c>
      <c r="O329" s="1">
        <v>6</v>
      </c>
      <c r="P329" s="1">
        <v>89</v>
      </c>
      <c r="Q329" s="1">
        <v>110</v>
      </c>
      <c r="R329" s="1">
        <v>49</v>
      </c>
      <c r="S329" s="1">
        <v>69</v>
      </c>
    </row>
    <row r="330" spans="1:19">
      <c r="A330" s="1">
        <v>2023</v>
      </c>
      <c r="B330" s="1">
        <v>34</v>
      </c>
      <c r="C330" s="1" t="s">
        <v>129</v>
      </c>
      <c r="D330" s="1" t="e">
        <f t="array" aca="1" ref="D330" ca="1">_xludf.XLOOKUP(C330,'country region mapping'!$A$2:$A$250, 'country region mapping'!$E$2:$E$250)</f>
        <v>#NAME?</v>
      </c>
      <c r="E330" s="1" t="e">
        <f t="array" aca="1" ref="E330" ca="1">_xludf.XLOOKUP(C330,'country region mapping'!$A$2:$A$267,'country region mapping'!$F$2:$F$267)</f>
        <v>#NAME?</v>
      </c>
      <c r="F330" s="1" t="e">
        <f t="array" aca="1" ref="F330" ca="1">_xludf.XLOOKUP(C330,'country region mapping'!$A$2:$A$267,'country region mapping'!$G$2:$G$267)</f>
        <v>#NAME?</v>
      </c>
      <c r="G330" s="1">
        <v>6.4480000000000004</v>
      </c>
      <c r="H330" s="1">
        <v>14</v>
      </c>
      <c r="I330" s="1">
        <v>2</v>
      </c>
      <c r="J330" s="1">
        <v>36</v>
      </c>
      <c r="K330" s="1">
        <v>32</v>
      </c>
      <c r="L330" s="1">
        <v>17</v>
      </c>
      <c r="M330" s="1">
        <v>45</v>
      </c>
      <c r="N330" s="1">
        <v>8</v>
      </c>
      <c r="O330" s="1">
        <v>16</v>
      </c>
      <c r="P330" s="1">
        <v>11</v>
      </c>
      <c r="Q330" s="1">
        <v>45</v>
      </c>
      <c r="R330" s="1">
        <v>88</v>
      </c>
      <c r="S330" s="1">
        <v>103</v>
      </c>
    </row>
    <row r="331" spans="1:19">
      <c r="A331" s="1">
        <v>2023</v>
      </c>
      <c r="B331" s="1">
        <v>35</v>
      </c>
      <c r="C331" s="1" t="s">
        <v>109</v>
      </c>
      <c r="D331" s="1" t="e">
        <f t="array" aca="1" ref="D331" ca="1">_xludf.XLOOKUP(C331,'country region mapping'!$A$2:$A$250, 'country region mapping'!$E$2:$E$250)</f>
        <v>#NAME?</v>
      </c>
      <c r="E331" s="1" t="e">
        <f t="array" aca="1" ref="E331" ca="1">_xludf.XLOOKUP(C331,'country region mapping'!$A$2:$A$267,'country region mapping'!$F$2:$F$267)</f>
        <v>#NAME?</v>
      </c>
      <c r="F331" s="1" t="e">
        <f t="array" aca="1" ref="F331" ca="1">_xludf.XLOOKUP(C331,'country region mapping'!$A$2:$A$267,'country region mapping'!$G$2:$G$267)</f>
        <v>#NAME?</v>
      </c>
      <c r="G331" s="1">
        <v>6.4420000000000002</v>
      </c>
      <c r="H331" s="1">
        <v>5</v>
      </c>
      <c r="I331" s="1">
        <v>34</v>
      </c>
      <c r="J331" s="1">
        <v>35</v>
      </c>
      <c r="K331" s="1">
        <v>40</v>
      </c>
      <c r="L331" s="1">
        <v>81</v>
      </c>
      <c r="M331" s="1">
        <v>127</v>
      </c>
      <c r="N331" s="1">
        <v>36</v>
      </c>
      <c r="O331" s="1">
        <v>111</v>
      </c>
      <c r="P331" s="1">
        <v>5</v>
      </c>
      <c r="Q331" s="1">
        <v>127</v>
      </c>
      <c r="R331" s="1">
        <v>135</v>
      </c>
      <c r="S331" s="1">
        <v>141</v>
      </c>
    </row>
    <row r="332" spans="1:19">
      <c r="A332" s="1">
        <v>2023</v>
      </c>
      <c r="B332" s="1">
        <v>36</v>
      </c>
      <c r="C332" s="1" t="s">
        <v>274</v>
      </c>
      <c r="D332" s="1" t="e">
        <f t="array" aca="1" ref="D332" ca="1">_xludf.XLOOKUP(C332,'country region mapping'!$A$2:$A$250, 'country region mapping'!$E$2:$E$250)</f>
        <v>#NAME?</v>
      </c>
      <c r="E332" s="1" t="e">
        <f t="array" aca="1" ref="E332" ca="1">_xludf.XLOOKUP(C332,'country region mapping'!$A$2:$A$267,'country region mapping'!$F$2:$F$267)</f>
        <v>#NAME?</v>
      </c>
      <c r="F332" s="1" t="e">
        <f t="array" aca="1" ref="F332" ca="1">_xludf.XLOOKUP(C332,'country region mapping'!$A$2:$A$267,'country region mapping'!$G$2:$G$267)</f>
        <v>#NAME?</v>
      </c>
      <c r="G332" s="1">
        <v>6.4210000000000003</v>
      </c>
      <c r="H332" s="1">
        <v>22</v>
      </c>
      <c r="I332" s="1">
        <v>20</v>
      </c>
      <c r="J332" s="1">
        <v>31</v>
      </c>
      <c r="K332" s="1">
        <v>8</v>
      </c>
      <c r="L332" s="1">
        <v>77</v>
      </c>
      <c r="M332" s="1">
        <v>57</v>
      </c>
      <c r="N332" s="1">
        <v>39</v>
      </c>
      <c r="O332" s="1">
        <v>78</v>
      </c>
      <c r="P332" s="1">
        <v>93</v>
      </c>
      <c r="Q332" s="1">
        <v>57</v>
      </c>
      <c r="R332" s="1">
        <v>91</v>
      </c>
      <c r="S332" s="1">
        <v>85</v>
      </c>
    </row>
    <row r="333" spans="1:19">
      <c r="A333" s="1">
        <v>2023</v>
      </c>
      <c r="B333" s="1">
        <v>37</v>
      </c>
      <c r="C333" s="1" t="s">
        <v>145</v>
      </c>
      <c r="D333" s="1" t="e">
        <f t="array" aca="1" ref="D333" ca="1">_xludf.XLOOKUP(C333,'country region mapping'!$A$2:$A$250, 'country region mapping'!$E$2:$E$250)</f>
        <v>#NAME?</v>
      </c>
      <c r="E333" s="1" t="e">
        <f t="array" aca="1" ref="E333" ca="1">_xludf.XLOOKUP(C333,'country region mapping'!$A$2:$A$267,'country region mapping'!$F$2:$F$267)</f>
        <v>#NAME?</v>
      </c>
      <c r="F333" s="1" t="e">
        <f t="array" aca="1" ref="F333" ca="1">_xludf.XLOOKUP(C333,'country region mapping'!$A$2:$A$267,'country region mapping'!$G$2:$G$267)</f>
        <v>#NAME?</v>
      </c>
      <c r="G333" s="1">
        <v>6.4109999999999996</v>
      </c>
      <c r="H333" s="1">
        <v>62</v>
      </c>
      <c r="I333" s="1">
        <v>30</v>
      </c>
      <c r="J333" s="1">
        <v>56</v>
      </c>
      <c r="K333" s="1">
        <v>57</v>
      </c>
      <c r="L333" s="1">
        <v>69</v>
      </c>
      <c r="M333" s="1">
        <v>40</v>
      </c>
      <c r="N333" s="1">
        <v>73</v>
      </c>
      <c r="O333" s="1">
        <v>122</v>
      </c>
      <c r="P333" s="1">
        <v>26</v>
      </c>
      <c r="Q333" s="1">
        <v>40</v>
      </c>
      <c r="R333" s="1">
        <v>137</v>
      </c>
      <c r="S333" s="1">
        <v>132</v>
      </c>
    </row>
    <row r="334" spans="1:19">
      <c r="A334" s="1">
        <v>2023</v>
      </c>
      <c r="B334" s="1">
        <v>38</v>
      </c>
      <c r="C334" s="1" t="s">
        <v>66</v>
      </c>
      <c r="D334" s="1" t="e">
        <f t="array" aca="1" ref="D334" ca="1">_xludf.XLOOKUP(C334,'country region mapping'!$A$2:$A$250, 'country region mapping'!$E$2:$E$250)</f>
        <v>#NAME?</v>
      </c>
      <c r="E334" s="1" t="e">
        <f t="array" aca="1" ref="E334" ca="1">_xludf.XLOOKUP(C334,'country region mapping'!$A$2:$A$267,'country region mapping'!$F$2:$F$267)</f>
        <v>#NAME?</v>
      </c>
      <c r="F334" s="1" t="e">
        <f t="array" aca="1" ref="F334" ca="1">_xludf.XLOOKUP(C334,'country region mapping'!$A$2:$A$267,'country region mapping'!$G$2:$G$267)</f>
        <v>#NAME?</v>
      </c>
      <c r="G334" s="1">
        <v>6.36</v>
      </c>
      <c r="H334" s="1">
        <v>43</v>
      </c>
      <c r="I334" s="1">
        <v>47</v>
      </c>
      <c r="J334" s="1">
        <v>51</v>
      </c>
      <c r="K334" s="1">
        <v>28</v>
      </c>
      <c r="L334" s="1">
        <v>68</v>
      </c>
      <c r="M334" s="1">
        <v>66</v>
      </c>
      <c r="N334" s="1">
        <v>99</v>
      </c>
      <c r="O334" s="1">
        <v>12</v>
      </c>
      <c r="P334" s="1">
        <v>63</v>
      </c>
      <c r="Q334" s="1">
        <v>66</v>
      </c>
      <c r="R334" s="1">
        <v>102</v>
      </c>
      <c r="S334" s="1">
        <v>53</v>
      </c>
    </row>
    <row r="335" spans="1:19">
      <c r="A335" s="1">
        <v>2023</v>
      </c>
      <c r="B335" s="1">
        <v>39</v>
      </c>
      <c r="C335" s="1" t="s">
        <v>67</v>
      </c>
      <c r="D335" s="1" t="e">
        <f t="array" aca="1" ref="D335" ca="1">_xludf.XLOOKUP(C335,'country region mapping'!$A$2:$A$250, 'country region mapping'!$E$2:$E$250)</f>
        <v>#NAME?</v>
      </c>
      <c r="E335" s="1" t="e">
        <f t="array" aca="1" ref="E335" ca="1">_xludf.XLOOKUP(C335,'country region mapping'!$A$2:$A$267,'country region mapping'!$F$2:$F$267)</f>
        <v>#NAME?</v>
      </c>
      <c r="F335" s="1" t="e">
        <f t="array" aca="1" ref="F335" ca="1">_xludf.XLOOKUP(C335,'country region mapping'!$A$2:$A$267,'country region mapping'!$G$2:$G$267)</f>
        <v>#NAME?</v>
      </c>
      <c r="G335" s="1">
        <v>6.3579999999999997</v>
      </c>
      <c r="H335" s="1">
        <v>112</v>
      </c>
      <c r="I335" s="1">
        <v>37</v>
      </c>
      <c r="J335" s="1">
        <v>45</v>
      </c>
      <c r="K335" s="1">
        <v>33</v>
      </c>
      <c r="L335" s="1">
        <v>50</v>
      </c>
      <c r="M335" s="1">
        <v>95</v>
      </c>
      <c r="N335" s="1">
        <v>115</v>
      </c>
      <c r="O335" s="1">
        <v>3</v>
      </c>
      <c r="P335" s="1">
        <v>61</v>
      </c>
      <c r="Q335" s="1">
        <v>95</v>
      </c>
      <c r="R335" s="1">
        <v>48</v>
      </c>
      <c r="S335" s="1">
        <v>56</v>
      </c>
    </row>
    <row r="336" spans="1:19">
      <c r="A336" s="1">
        <v>2023</v>
      </c>
      <c r="B336" s="1">
        <v>40</v>
      </c>
      <c r="C336" s="1" t="s">
        <v>74</v>
      </c>
      <c r="D336" s="1" t="e">
        <f t="array" aca="1" ref="D336" ca="1">_xludf.XLOOKUP(C336,'country region mapping'!$A$2:$A$250, 'country region mapping'!$E$2:$E$250)</f>
        <v>#NAME?</v>
      </c>
      <c r="E336" s="1" t="e">
        <f t="array" aca="1" ref="E336" ca="1">_xludf.XLOOKUP(C336,'country region mapping'!$A$2:$A$267,'country region mapping'!$F$2:$F$267)</f>
        <v>#NAME?</v>
      </c>
      <c r="F336" s="1" t="e">
        <f t="array" aca="1" ref="F336" ca="1">_xludf.XLOOKUP(C336,'country region mapping'!$A$2:$A$267,'country region mapping'!$G$2:$G$267)</f>
        <v>#NAME?</v>
      </c>
      <c r="G336" s="1">
        <v>6.3460000000000001</v>
      </c>
      <c r="H336" s="1">
        <v>40</v>
      </c>
      <c r="I336" s="1">
        <v>21</v>
      </c>
      <c r="J336" s="1">
        <v>17</v>
      </c>
      <c r="K336" s="1">
        <v>11</v>
      </c>
      <c r="L336" s="1">
        <v>51</v>
      </c>
      <c r="M336" s="1">
        <v>3</v>
      </c>
      <c r="N336" s="1">
        <v>72</v>
      </c>
      <c r="O336" s="1">
        <v>82</v>
      </c>
      <c r="P336" s="1">
        <v>110</v>
      </c>
      <c r="Q336" s="1">
        <v>3</v>
      </c>
      <c r="R336" s="1">
        <v>37</v>
      </c>
      <c r="S336" s="1">
        <v>97</v>
      </c>
    </row>
    <row r="337" spans="1:19">
      <c r="A337" s="1">
        <v>2023</v>
      </c>
      <c r="B337" s="1">
        <v>41</v>
      </c>
      <c r="C337" s="1" t="s">
        <v>100</v>
      </c>
      <c r="D337" s="1" t="e">
        <f t="array" aca="1" ref="D337" ca="1">_xludf.XLOOKUP(C337,'country region mapping'!$A$2:$A$250, 'country region mapping'!$E$2:$E$250)</f>
        <v>#NAME?</v>
      </c>
      <c r="E337" s="1" t="e">
        <f t="array" aca="1" ref="E337" ca="1">_xludf.XLOOKUP(C337,'country region mapping'!$A$2:$A$267,'country region mapping'!$F$2:$F$267)</f>
        <v>#NAME?</v>
      </c>
      <c r="F337" s="1" t="e">
        <f t="array" aca="1" ref="F337" ca="1">_xludf.XLOOKUP(C337,'country region mapping'!$A$2:$A$267,'country region mapping'!$G$2:$G$267)</f>
        <v>#NAME?</v>
      </c>
      <c r="G337" s="1">
        <v>6.3239999999999998</v>
      </c>
      <c r="H337" s="1">
        <v>63</v>
      </c>
      <c r="I337" s="1">
        <v>60</v>
      </c>
      <c r="J337" s="1">
        <v>24</v>
      </c>
      <c r="K337" s="1">
        <v>13</v>
      </c>
      <c r="L337" s="1">
        <v>117</v>
      </c>
      <c r="M337" s="1">
        <v>63</v>
      </c>
      <c r="N337" s="1">
        <v>91</v>
      </c>
      <c r="O337" s="1">
        <v>87</v>
      </c>
      <c r="P337" s="1">
        <v>75</v>
      </c>
      <c r="Q337" s="1">
        <v>63</v>
      </c>
      <c r="R337" s="1">
        <v>94</v>
      </c>
      <c r="S337" s="1">
        <v>106</v>
      </c>
    </row>
    <row r="338" spans="1:19">
      <c r="A338" s="1">
        <v>2023</v>
      </c>
      <c r="B338" s="1">
        <v>42</v>
      </c>
      <c r="C338" s="1" t="s">
        <v>86</v>
      </c>
      <c r="D338" s="1" t="e">
        <f t="array" aca="1" ref="D338" ca="1">_xludf.XLOOKUP(C338,'country region mapping'!$A$2:$A$250, 'country region mapping'!$E$2:$E$250)</f>
        <v>#NAME?</v>
      </c>
      <c r="E338" s="1" t="e">
        <f t="array" aca="1" ref="E338" ca="1">_xludf.XLOOKUP(C338,'country region mapping'!$A$2:$A$267,'country region mapping'!$F$2:$F$267)</f>
        <v>#NAME?</v>
      </c>
      <c r="F338" s="1" t="e">
        <f t="array" aca="1" ref="F338" ca="1">_xludf.XLOOKUP(C338,'country region mapping'!$A$2:$A$267,'country region mapping'!$G$2:$G$267)</f>
        <v>#NAME?</v>
      </c>
      <c r="G338" s="1">
        <v>6.2869999999999999</v>
      </c>
      <c r="H338" s="1">
        <v>127</v>
      </c>
      <c r="I338" s="1">
        <v>82</v>
      </c>
      <c r="J338" s="1">
        <v>87</v>
      </c>
      <c r="K338" s="1"/>
      <c r="L338" s="1">
        <v>39</v>
      </c>
      <c r="M338" s="1">
        <v>92</v>
      </c>
      <c r="N338" s="1">
        <v>87</v>
      </c>
      <c r="O338" s="1">
        <v>1</v>
      </c>
      <c r="P338" s="1">
        <v>80</v>
      </c>
      <c r="Q338" s="1">
        <v>92</v>
      </c>
      <c r="R338" s="1">
        <v>14</v>
      </c>
      <c r="S338" s="1">
        <v>35</v>
      </c>
    </row>
    <row r="339" spans="1:19">
      <c r="A339" s="1">
        <v>2023</v>
      </c>
      <c r="B339" s="1">
        <v>43</v>
      </c>
      <c r="C339" s="1" t="s">
        <v>98</v>
      </c>
      <c r="D339" s="1" t="e">
        <f t="array" aca="1" ref="D339" ca="1">_xludf.XLOOKUP(C339,'country region mapping'!$A$2:$A$250, 'country region mapping'!$E$2:$E$250)</f>
        <v>#NAME?</v>
      </c>
      <c r="E339" s="1" t="e">
        <f t="array" aca="1" ref="E339" ca="1">_xludf.XLOOKUP(C339,'country region mapping'!$A$2:$A$267,'country region mapping'!$F$2:$F$267)</f>
        <v>#NAME?</v>
      </c>
      <c r="F339" s="1" t="e">
        <f t="array" aca="1" ref="F339" ca="1">_xludf.XLOOKUP(C339,'country region mapping'!$A$2:$A$267,'country region mapping'!$G$2:$G$267)</f>
        <v>#NAME?</v>
      </c>
      <c r="G339" s="1">
        <v>6.2839999999999998</v>
      </c>
      <c r="H339" s="1">
        <v>133</v>
      </c>
      <c r="I339" s="1">
        <v>67</v>
      </c>
      <c r="J339" s="1">
        <v>100</v>
      </c>
      <c r="K339" s="1">
        <v>50</v>
      </c>
      <c r="L339" s="1">
        <v>19</v>
      </c>
      <c r="M339" s="1">
        <v>89</v>
      </c>
      <c r="N339" s="1">
        <v>21</v>
      </c>
      <c r="O339" s="1">
        <v>13</v>
      </c>
      <c r="P339" s="1">
        <v>99</v>
      </c>
      <c r="Q339" s="1">
        <v>89</v>
      </c>
      <c r="R339" s="1">
        <v>46</v>
      </c>
      <c r="S339" s="1">
        <v>49</v>
      </c>
    </row>
    <row r="340" spans="1:19">
      <c r="A340" s="1">
        <v>2023</v>
      </c>
      <c r="B340" s="1">
        <v>44</v>
      </c>
      <c r="C340" s="1" t="s">
        <v>54</v>
      </c>
      <c r="D340" s="1" t="e">
        <f t="array" aca="1" ref="D340" ca="1">_xludf.XLOOKUP(C340,'country region mapping'!$A$2:$A$250, 'country region mapping'!$E$2:$E$250)</f>
        <v>#NAME?</v>
      </c>
      <c r="E340" s="1" t="e">
        <f t="array" aca="1" ref="E340" ca="1">_xludf.XLOOKUP(C340,'country region mapping'!$A$2:$A$267,'country region mapping'!$F$2:$F$267)</f>
        <v>#NAME?</v>
      </c>
      <c r="F340" s="1" t="e">
        <f t="array" aca="1" ref="F340" ca="1">_xludf.XLOOKUP(C340,'country region mapping'!$A$2:$A$267,'country region mapping'!$G$2:$G$267)</f>
        <v>#NAME?</v>
      </c>
      <c r="G340" s="1">
        <v>6.2720000000000002</v>
      </c>
      <c r="H340" s="1">
        <v>93</v>
      </c>
      <c r="I340" s="1">
        <v>56</v>
      </c>
      <c r="J340" s="1">
        <v>66</v>
      </c>
      <c r="K340" s="1">
        <v>75</v>
      </c>
      <c r="L340" s="1">
        <v>43</v>
      </c>
      <c r="M340" s="1">
        <v>78</v>
      </c>
      <c r="N340" s="1">
        <v>52</v>
      </c>
      <c r="O340" s="1">
        <v>60</v>
      </c>
      <c r="P340" s="1">
        <v>86</v>
      </c>
      <c r="Q340" s="1">
        <v>78</v>
      </c>
      <c r="R340" s="1">
        <v>81</v>
      </c>
      <c r="S340" s="1">
        <v>59</v>
      </c>
    </row>
    <row r="341" spans="1:19">
      <c r="A341" s="1">
        <v>2023</v>
      </c>
      <c r="B341" s="1">
        <v>45</v>
      </c>
      <c r="C341" s="1" t="s">
        <v>95</v>
      </c>
      <c r="D341" s="1" t="e">
        <f t="array" aca="1" ref="D341" ca="1">_xludf.XLOOKUP(C341,'country region mapping'!$A$2:$A$250, 'country region mapping'!$E$2:$E$250)</f>
        <v>#NAME?</v>
      </c>
      <c r="E341" s="1" t="e">
        <f t="array" aca="1" ref="E341" ca="1">_xludf.XLOOKUP(C341,'country region mapping'!$A$2:$A$267,'country region mapping'!$F$2:$F$267)</f>
        <v>#NAME?</v>
      </c>
      <c r="F341" s="1" t="e">
        <f t="array" aca="1" ref="F341" ca="1">_xludf.XLOOKUP(C341,'country region mapping'!$A$2:$A$267,'country region mapping'!$G$2:$G$267)</f>
        <v>#NAME?</v>
      </c>
      <c r="G341" s="1">
        <v>6.2569999999999997</v>
      </c>
      <c r="H341" s="1">
        <v>18</v>
      </c>
      <c r="I341" s="1">
        <v>8</v>
      </c>
      <c r="J341" s="1">
        <v>42</v>
      </c>
      <c r="K341" s="1">
        <v>47</v>
      </c>
      <c r="L341" s="1">
        <v>93</v>
      </c>
      <c r="M341" s="1">
        <v>91</v>
      </c>
      <c r="N341" s="1">
        <v>93</v>
      </c>
      <c r="O341" s="1">
        <v>81</v>
      </c>
      <c r="P341" s="1">
        <v>42</v>
      </c>
      <c r="Q341" s="1">
        <v>91</v>
      </c>
      <c r="R341" s="1">
        <v>101</v>
      </c>
      <c r="S341" s="1">
        <v>134</v>
      </c>
    </row>
    <row r="342" spans="1:19">
      <c r="A342" s="1">
        <v>2023</v>
      </c>
      <c r="B342" s="1">
        <v>46</v>
      </c>
      <c r="C342" s="1" t="s">
        <v>123</v>
      </c>
      <c r="D342" s="1" t="e">
        <f t="array" aca="1" ref="D342" ca="1">_xludf.XLOOKUP(C342,'country region mapping'!$A$2:$A$250, 'country region mapping'!$E$2:$E$250)</f>
        <v>#NAME?</v>
      </c>
      <c r="E342" s="1" t="e">
        <f t="array" aca="1" ref="E342" ca="1">_xludf.XLOOKUP(C342,'country region mapping'!$A$2:$A$267,'country region mapping'!$F$2:$F$267)</f>
        <v>#NAME?</v>
      </c>
      <c r="F342" s="1" t="e">
        <f t="array" aca="1" ref="F342" ca="1">_xludf.XLOOKUP(C342,'country region mapping'!$A$2:$A$267,'country region mapping'!$G$2:$G$267)</f>
        <v>#NAME?</v>
      </c>
      <c r="G342" s="1">
        <v>6.234</v>
      </c>
      <c r="H342" s="1">
        <v>24</v>
      </c>
      <c r="I342" s="1">
        <v>12</v>
      </c>
      <c r="J342" s="1">
        <v>43</v>
      </c>
      <c r="K342" s="1">
        <v>59</v>
      </c>
      <c r="L342" s="1">
        <v>67</v>
      </c>
      <c r="M342" s="1">
        <v>37</v>
      </c>
      <c r="N342" s="1">
        <v>81</v>
      </c>
      <c r="O342" s="1">
        <v>70</v>
      </c>
      <c r="P342" s="1">
        <v>60</v>
      </c>
      <c r="Q342" s="1">
        <v>37</v>
      </c>
      <c r="R342" s="1">
        <v>120</v>
      </c>
      <c r="S342" s="1">
        <v>108</v>
      </c>
    </row>
    <row r="343" spans="1:19">
      <c r="A343" s="1">
        <v>2023</v>
      </c>
      <c r="B343" s="1">
        <v>47</v>
      </c>
      <c r="C343" s="1" t="s">
        <v>99</v>
      </c>
      <c r="D343" s="1" t="e">
        <f t="array" aca="1" ref="D343" ca="1">_xludf.XLOOKUP(C343,'country region mapping'!$A$2:$A$250, 'country region mapping'!$E$2:$E$250)</f>
        <v>#NAME?</v>
      </c>
      <c r="E343" s="1" t="e">
        <f t="array" aca="1" ref="E343" ca="1">_xludf.XLOOKUP(C343,'country region mapping'!$A$2:$A$267,'country region mapping'!$F$2:$F$267)</f>
        <v>#NAME?</v>
      </c>
      <c r="F343" s="1" t="e">
        <f t="array" aca="1" ref="F343" ca="1">_xludf.XLOOKUP(C343,'country region mapping'!$A$2:$A$267,'country region mapping'!$G$2:$G$267)</f>
        <v>#NAME?</v>
      </c>
      <c r="G343" s="1">
        <v>6.1950000000000003</v>
      </c>
      <c r="H343" s="1">
        <v>83</v>
      </c>
      <c r="I343" s="1">
        <v>23</v>
      </c>
      <c r="J343" s="1">
        <v>92</v>
      </c>
      <c r="K343" s="1">
        <v>65</v>
      </c>
      <c r="L343" s="1">
        <v>11</v>
      </c>
      <c r="M343" s="1">
        <v>29</v>
      </c>
      <c r="N343" s="1">
        <v>30</v>
      </c>
      <c r="O343" s="1">
        <v>26</v>
      </c>
      <c r="P343" s="1">
        <v>25</v>
      </c>
      <c r="Q343" s="1">
        <v>29</v>
      </c>
      <c r="R343" s="1">
        <v>98</v>
      </c>
      <c r="S343" s="1">
        <v>81</v>
      </c>
    </row>
    <row r="344" spans="1:19">
      <c r="A344" s="1">
        <v>2023</v>
      </c>
      <c r="B344" s="1">
        <v>48</v>
      </c>
      <c r="C344" s="1" t="s">
        <v>69</v>
      </c>
      <c r="D344" s="1" t="e">
        <f t="array" aca="1" ref="D344" ca="1">_xludf.XLOOKUP(C344,'country region mapping'!$A$2:$A$250, 'country region mapping'!$E$2:$E$250)</f>
        <v>#NAME?</v>
      </c>
      <c r="E344" s="1" t="e">
        <f t="array" aca="1" ref="E344" ca="1">_xludf.XLOOKUP(C344,'country region mapping'!$A$2:$A$267,'country region mapping'!$F$2:$F$267)</f>
        <v>#NAME?</v>
      </c>
      <c r="F344" s="1" t="e">
        <f t="array" aca="1" ref="F344" ca="1">_xludf.XLOOKUP(C344,'country region mapping'!$A$2:$A$267,'country region mapping'!$G$2:$G$267)</f>
        <v>#NAME?</v>
      </c>
      <c r="G344" s="1">
        <v>6.1879999999999997</v>
      </c>
      <c r="H344" s="1">
        <v>80</v>
      </c>
      <c r="I344" s="1">
        <v>33</v>
      </c>
      <c r="J344" s="1">
        <v>53</v>
      </c>
      <c r="K344" s="1">
        <v>49</v>
      </c>
      <c r="L344" s="1">
        <v>61</v>
      </c>
      <c r="M344" s="1">
        <v>98</v>
      </c>
      <c r="N344" s="1">
        <v>104</v>
      </c>
      <c r="O344" s="1">
        <v>43</v>
      </c>
      <c r="P344" s="1">
        <v>79</v>
      </c>
      <c r="Q344" s="1">
        <v>98</v>
      </c>
      <c r="R344" s="1">
        <v>78</v>
      </c>
      <c r="S344" s="1">
        <v>40</v>
      </c>
    </row>
    <row r="345" spans="1:19">
      <c r="A345" s="1">
        <v>2023</v>
      </c>
      <c r="B345" s="1">
        <v>49</v>
      </c>
      <c r="C345" s="1" t="s">
        <v>106</v>
      </c>
      <c r="D345" s="1" t="e">
        <f t="array" aca="1" ref="D345" ca="1">_xludf.XLOOKUP(C345,'country region mapping'!$A$2:$A$250, 'country region mapping'!$E$2:$E$250)</f>
        <v>#NAME?</v>
      </c>
      <c r="E345" s="1" t="e">
        <f t="array" aca="1" ref="E345" ca="1">_xludf.XLOOKUP(C345,'country region mapping'!$A$2:$A$267,'country region mapping'!$F$2:$F$267)</f>
        <v>#NAME?</v>
      </c>
      <c r="F345" s="1" t="e">
        <f t="array" aca="1" ref="F345" ca="1">_xludf.XLOOKUP(C345,'country region mapping'!$A$2:$A$267,'country region mapping'!$G$2:$G$267)</f>
        <v>#NAME?</v>
      </c>
      <c r="G345" s="1">
        <v>6.1879999999999997</v>
      </c>
      <c r="H345" s="1">
        <v>35</v>
      </c>
      <c r="I345" s="1">
        <v>13</v>
      </c>
      <c r="J345" s="1">
        <v>46</v>
      </c>
      <c r="K345" s="1">
        <v>77</v>
      </c>
      <c r="L345" s="1">
        <v>26</v>
      </c>
      <c r="M345" s="1">
        <v>48</v>
      </c>
      <c r="N345" s="1">
        <v>88</v>
      </c>
      <c r="O345" s="1">
        <v>91</v>
      </c>
      <c r="P345" s="1">
        <v>2</v>
      </c>
      <c r="Q345" s="1">
        <v>48</v>
      </c>
      <c r="R345" s="1">
        <v>116</v>
      </c>
      <c r="S345" s="1">
        <v>135</v>
      </c>
    </row>
    <row r="346" spans="1:19">
      <c r="A346" s="1">
        <v>2023</v>
      </c>
      <c r="B346" s="1">
        <v>50</v>
      </c>
      <c r="C346" s="1" t="s">
        <v>124</v>
      </c>
      <c r="D346" s="1" t="e">
        <f t="array" aca="1" ref="D346" ca="1">_xludf.XLOOKUP(C346,'country region mapping'!$A$2:$A$250, 'country region mapping'!$E$2:$E$250)</f>
        <v>#NAME?</v>
      </c>
      <c r="E346" s="1" t="e">
        <f t="array" aca="1" ref="E346" ca="1">_xludf.XLOOKUP(C346,'country region mapping'!$A$2:$A$267,'country region mapping'!$F$2:$F$267)</f>
        <v>#NAME?</v>
      </c>
      <c r="F346" s="1" t="e">
        <f t="array" aca="1" ref="F346" ca="1">_xludf.XLOOKUP(C346,'country region mapping'!$A$2:$A$267,'country region mapping'!$G$2:$G$267)</f>
        <v>#NAME?</v>
      </c>
      <c r="G346" s="1">
        <v>6.0679999999999996</v>
      </c>
      <c r="H346" s="1">
        <v>56</v>
      </c>
      <c r="I346" s="1">
        <v>79</v>
      </c>
      <c r="J346" s="1">
        <v>25</v>
      </c>
      <c r="K346" s="1">
        <v>10</v>
      </c>
      <c r="L346" s="1">
        <v>107</v>
      </c>
      <c r="M346" s="1">
        <v>52</v>
      </c>
      <c r="N346" s="1">
        <v>103</v>
      </c>
      <c r="O346" s="1">
        <v>63</v>
      </c>
      <c r="P346" s="1">
        <v>76</v>
      </c>
      <c r="Q346" s="1">
        <v>52</v>
      </c>
      <c r="R346" s="1">
        <v>74</v>
      </c>
      <c r="S346" s="1">
        <v>63</v>
      </c>
    </row>
    <row r="347" spans="1:19">
      <c r="A347" s="1">
        <v>2023</v>
      </c>
      <c r="B347" s="1">
        <v>51</v>
      </c>
      <c r="C347" s="1" t="s">
        <v>104</v>
      </c>
      <c r="D347" s="1" t="e">
        <f t="array" aca="1" ref="D347" ca="1">_xludf.XLOOKUP(C347,'country region mapping'!$A$2:$A$250, 'country region mapping'!$E$2:$E$250)</f>
        <v>#NAME?</v>
      </c>
      <c r="E347" s="1" t="e">
        <f t="array" aca="1" ref="E347" ca="1">_xludf.XLOOKUP(C347,'country region mapping'!$A$2:$A$267,'country region mapping'!$F$2:$F$267)</f>
        <v>#NAME?</v>
      </c>
      <c r="F347" s="1" t="e">
        <f t="array" aca="1" ref="F347" ca="1">_xludf.XLOOKUP(C347,'country region mapping'!$A$2:$A$267,'country region mapping'!$G$2:$G$267)</f>
        <v>#NAME?</v>
      </c>
      <c r="G347" s="1">
        <v>6.06</v>
      </c>
      <c r="H347" s="1">
        <v>41</v>
      </c>
      <c r="I347" s="1">
        <v>64</v>
      </c>
      <c r="J347" s="1">
        <v>34</v>
      </c>
      <c r="K347" s="1">
        <v>2</v>
      </c>
      <c r="L347" s="1">
        <v>78</v>
      </c>
      <c r="M347" s="1">
        <v>118</v>
      </c>
      <c r="N347" s="1">
        <v>24</v>
      </c>
      <c r="O347" s="1">
        <v>86</v>
      </c>
      <c r="P347" s="1">
        <v>9</v>
      </c>
      <c r="Q347" s="1">
        <v>118</v>
      </c>
      <c r="R347" s="1">
        <v>95</v>
      </c>
      <c r="S347" s="1">
        <v>140</v>
      </c>
    </row>
    <row r="348" spans="1:19">
      <c r="A348" s="1">
        <v>2023</v>
      </c>
      <c r="B348" s="1">
        <v>52</v>
      </c>
      <c r="C348" s="1" t="s">
        <v>110</v>
      </c>
      <c r="D348" s="1" t="e">
        <f t="array" aca="1" ref="D348" ca="1">_xludf.XLOOKUP(C348,'country region mapping'!$A$2:$A$267,'country region mapping'!$E$2:$E$267)</f>
        <v>#NAME?</v>
      </c>
      <c r="E348" s="1" t="e">
        <f t="array" aca="1" ref="E348" ca="1">_xludf.XLOOKUP(C348,'country region mapping'!$A$2:$A$267,'country region mapping'!$F$2:$F$267)</f>
        <v>#NAME?</v>
      </c>
      <c r="F348" s="1" t="e">
        <f t="array" aca="1" ref="F348" ca="1">_xludf.XLOOKUP(C348,'country region mapping'!$A$2:$A$267,'country region mapping'!$G$2:$G$267)</f>
        <v>#NAME?</v>
      </c>
      <c r="G348" s="1">
        <v>6.0579999999999998</v>
      </c>
      <c r="H348" s="1">
        <v>49</v>
      </c>
      <c r="I348" s="1">
        <v>80</v>
      </c>
      <c r="J348" s="1">
        <v>26</v>
      </c>
      <c r="K348" s="1">
        <v>3</v>
      </c>
      <c r="L348" s="1">
        <v>85</v>
      </c>
      <c r="M348" s="1">
        <v>53</v>
      </c>
      <c r="N348" s="1">
        <v>49</v>
      </c>
      <c r="O348" s="1">
        <v>100</v>
      </c>
      <c r="P348" s="1">
        <v>49</v>
      </c>
      <c r="Q348" s="1">
        <v>53</v>
      </c>
      <c r="R348" s="1">
        <v>84</v>
      </c>
      <c r="S348" s="1">
        <v>111</v>
      </c>
    </row>
    <row r="349" spans="1:19">
      <c r="A349" s="1">
        <v>2023</v>
      </c>
      <c r="B349" s="1">
        <v>53</v>
      </c>
      <c r="C349" s="1" t="s">
        <v>141</v>
      </c>
      <c r="D349" s="1" t="e">
        <f t="array" aca="1" ref="D349" ca="1">_xludf.XLOOKUP(C349,'country region mapping'!$A$2:$A$250, 'country region mapping'!$E$2:$E$250)</f>
        <v>#NAME?</v>
      </c>
      <c r="E349" s="1" t="e">
        <f t="array" aca="1" ref="E349" ca="1">_xludf.XLOOKUP(C349,'country region mapping'!$A$2:$A$267,'country region mapping'!$F$2:$F$267)</f>
        <v>#NAME?</v>
      </c>
      <c r="F349" s="1" t="e">
        <f t="array" aca="1" ref="F349" ca="1">_xludf.XLOOKUP(C349,'country region mapping'!$A$2:$A$267,'country region mapping'!$G$2:$G$267)</f>
        <v>#NAME?</v>
      </c>
      <c r="G349" s="1">
        <v>6.048</v>
      </c>
      <c r="H349" s="1">
        <v>110</v>
      </c>
      <c r="I349" s="1">
        <v>83</v>
      </c>
      <c r="J349" s="1">
        <v>93</v>
      </c>
      <c r="K349" s="1">
        <v>93</v>
      </c>
      <c r="L349" s="1">
        <v>9</v>
      </c>
      <c r="M349" s="1">
        <v>90</v>
      </c>
      <c r="N349" s="1">
        <v>68</v>
      </c>
      <c r="O349" s="1">
        <v>10</v>
      </c>
      <c r="P349" s="1">
        <v>91</v>
      </c>
      <c r="Q349" s="1">
        <v>90</v>
      </c>
      <c r="R349" s="1">
        <v>5</v>
      </c>
      <c r="S349" s="1">
        <v>39</v>
      </c>
    </row>
    <row r="350" spans="1:19">
      <c r="A350" s="1">
        <v>2023</v>
      </c>
      <c r="B350" s="1">
        <v>54</v>
      </c>
      <c r="C350" s="1" t="s">
        <v>157</v>
      </c>
      <c r="D350" s="1" t="e">
        <f t="array" aca="1" ref="D350" ca="1">_xludf.XLOOKUP(C350,'country region mapping'!$A$2:$A$250, 'country region mapping'!$E$2:$E$250)</f>
        <v>#NAME?</v>
      </c>
      <c r="E350" s="1" t="e">
        <f t="array" aca="1" ref="E350" ca="1">_xludf.XLOOKUP(C350,'country region mapping'!$A$2:$A$267,'country region mapping'!$F$2:$F$267)</f>
        <v>#NAME?</v>
      </c>
      <c r="F350" s="1" t="e">
        <f t="array" aca="1" ref="F350" ca="1">_xludf.XLOOKUP(C350,'country region mapping'!$A$2:$A$267,'country region mapping'!$G$2:$G$267)</f>
        <v>#NAME?</v>
      </c>
      <c r="G350" s="1">
        <v>6.0430000000000001</v>
      </c>
      <c r="H350" s="1">
        <v>36</v>
      </c>
      <c r="I350" s="1">
        <v>62</v>
      </c>
      <c r="J350" s="1">
        <v>82</v>
      </c>
      <c r="K350" s="1">
        <v>41</v>
      </c>
      <c r="L350" s="1">
        <v>3</v>
      </c>
      <c r="M350" s="1">
        <v>130</v>
      </c>
      <c r="N350" s="1">
        <v>34</v>
      </c>
      <c r="O350" s="1">
        <v>50</v>
      </c>
      <c r="P350" s="1">
        <v>3</v>
      </c>
      <c r="Q350" s="1">
        <v>130</v>
      </c>
      <c r="R350" s="1">
        <v>106</v>
      </c>
      <c r="S350" s="1">
        <v>118</v>
      </c>
    </row>
    <row r="351" spans="1:19">
      <c r="A351" s="1">
        <v>2023</v>
      </c>
      <c r="B351" s="1">
        <v>55</v>
      </c>
      <c r="C351" s="1" t="s">
        <v>155</v>
      </c>
      <c r="D351" s="1" t="e">
        <f t="array" aca="1" ref="D351" ca="1">_xludf.XLOOKUP(C351,'country region mapping'!$A$2:$A$250, 'country region mapping'!$E$2:$E$250)</f>
        <v>#NAME?</v>
      </c>
      <c r="E351" s="1" t="e">
        <f t="array" aca="1" ref="E351" ca="1">_xludf.XLOOKUP(C351,'country region mapping'!$A$2:$A$267,'country region mapping'!$F$2:$F$267)</f>
        <v>#NAME?</v>
      </c>
      <c r="F351" s="1" t="e">
        <f t="array" aca="1" ref="F351" ca="1">_xludf.XLOOKUP(C351,'country region mapping'!$A$2:$A$267,'country region mapping'!$G$2:$G$267)</f>
        <v>#NAME?</v>
      </c>
      <c r="G351" s="1">
        <v>6.03</v>
      </c>
      <c r="H351" s="1">
        <v>57</v>
      </c>
      <c r="I351" s="1">
        <v>31</v>
      </c>
      <c r="J351" s="1">
        <v>37</v>
      </c>
      <c r="K351" s="1">
        <v>22</v>
      </c>
      <c r="L351" s="1">
        <v>57</v>
      </c>
      <c r="M351" s="1">
        <v>102</v>
      </c>
      <c r="N351" s="1">
        <v>121</v>
      </c>
      <c r="O351" s="1">
        <v>74</v>
      </c>
      <c r="P351" s="1">
        <v>84</v>
      </c>
      <c r="Q351" s="1">
        <v>102</v>
      </c>
      <c r="R351" s="1">
        <v>113</v>
      </c>
      <c r="S351" s="1">
        <v>101</v>
      </c>
    </row>
    <row r="352" spans="1:19">
      <c r="A352" s="1">
        <v>2023</v>
      </c>
      <c r="B352" s="1">
        <v>56</v>
      </c>
      <c r="C352" s="1" t="s">
        <v>151</v>
      </c>
      <c r="D352" s="1" t="e">
        <f t="array" aca="1" ref="D352" ca="1">_xludf.XLOOKUP(C352,'country region mapping'!$A$2:$A$250, 'country region mapping'!$E$2:$E$250)</f>
        <v>#NAME?</v>
      </c>
      <c r="E352" s="1" t="e">
        <f t="array" aca="1" ref="E352" ca="1">_xludf.XLOOKUP(C352,'country region mapping'!$A$2:$A$267,'country region mapping'!$F$2:$F$267)</f>
        <v>#NAME?</v>
      </c>
      <c r="F352" s="1" t="e">
        <f t="array" aca="1" ref="F352" ca="1">_xludf.XLOOKUP(C352,'country region mapping'!$A$2:$A$267,'country region mapping'!$G$2:$G$267)</f>
        <v>#NAME?</v>
      </c>
      <c r="G352" s="1">
        <v>6.0170000000000003</v>
      </c>
      <c r="H352" s="1">
        <v>53</v>
      </c>
      <c r="I352" s="1">
        <v>3</v>
      </c>
      <c r="J352" s="1">
        <v>40</v>
      </c>
      <c r="K352" s="1">
        <v>48</v>
      </c>
      <c r="L352" s="1">
        <v>89</v>
      </c>
      <c r="M352" s="1">
        <v>59</v>
      </c>
      <c r="N352" s="1">
        <v>105</v>
      </c>
      <c r="O352" s="1">
        <v>68</v>
      </c>
      <c r="P352" s="1">
        <v>15</v>
      </c>
      <c r="Q352" s="1">
        <v>59</v>
      </c>
      <c r="R352" s="1">
        <v>104</v>
      </c>
      <c r="S352" s="1">
        <v>12</v>
      </c>
    </row>
    <row r="353" spans="1:19">
      <c r="A353" s="1">
        <v>2023</v>
      </c>
      <c r="B353" s="1">
        <v>57</v>
      </c>
      <c r="C353" s="1" t="s">
        <v>126</v>
      </c>
      <c r="D353" s="1" t="e">
        <f t="array" aca="1" ref="D353" ca="1">_xludf.XLOOKUP(C353,'country region mapping'!$A$2:$A$250, 'country region mapping'!$E$2:$E$250)</f>
        <v>#NAME?</v>
      </c>
      <c r="E353" s="1" t="e">
        <f t="array" aca="1" ref="E353" ca="1">_xludf.XLOOKUP(C353,'country region mapping'!$A$2:$A$267,'country region mapping'!$F$2:$F$267)</f>
        <v>#NAME?</v>
      </c>
      <c r="F353" s="1" t="e">
        <f t="array" aca="1" ref="F353" ca="1">_xludf.XLOOKUP(C353,'country region mapping'!$A$2:$A$267,'country region mapping'!$G$2:$G$267)</f>
        <v>#NAME?</v>
      </c>
      <c r="G353" s="1">
        <v>5.9770000000000003</v>
      </c>
      <c r="H353" s="1">
        <v>98</v>
      </c>
      <c r="I353" s="1">
        <v>36</v>
      </c>
      <c r="J353" s="1">
        <v>76</v>
      </c>
      <c r="K353" s="1">
        <v>84</v>
      </c>
      <c r="L353" s="1">
        <v>25</v>
      </c>
      <c r="M353" s="1">
        <v>70</v>
      </c>
      <c r="N353" s="1">
        <v>98</v>
      </c>
      <c r="O353" s="1">
        <v>2</v>
      </c>
      <c r="P353" s="1">
        <v>46</v>
      </c>
      <c r="Q353" s="1">
        <v>70</v>
      </c>
      <c r="R353" s="1">
        <v>33</v>
      </c>
      <c r="S353" s="1">
        <v>50</v>
      </c>
    </row>
    <row r="354" spans="1:19">
      <c r="A354" s="1">
        <v>2023</v>
      </c>
      <c r="B354" s="1">
        <v>58</v>
      </c>
      <c r="C354" s="1" t="s">
        <v>78</v>
      </c>
      <c r="D354" s="1" t="e">
        <f t="array" aca="1" ref="D354" ca="1">_xludf.XLOOKUP(C354,'country region mapping'!$A$2:$A$250, 'country region mapping'!$E$2:$E$250)</f>
        <v>#NAME?</v>
      </c>
      <c r="E354" s="1" t="e">
        <f t="array" aca="1" ref="E354" ca="1">_xludf.XLOOKUP(C354,'country region mapping'!$A$2:$A$267,'country region mapping'!$F$2:$F$267)</f>
        <v>#NAME?</v>
      </c>
      <c r="F354" s="1" t="e">
        <f t="array" aca="1" ref="F354" ca="1">_xludf.XLOOKUP(C354,'country region mapping'!$A$2:$A$267,'country region mapping'!$G$2:$G$267)</f>
        <v>#NAME?</v>
      </c>
      <c r="G354" s="1">
        <v>5.976</v>
      </c>
      <c r="H354" s="1">
        <v>68</v>
      </c>
      <c r="I354" s="1">
        <v>48</v>
      </c>
      <c r="J354" s="1">
        <v>63</v>
      </c>
      <c r="K354" s="1">
        <v>37</v>
      </c>
      <c r="L354" s="1">
        <v>13</v>
      </c>
      <c r="M354" s="1">
        <v>7</v>
      </c>
      <c r="N354" s="1">
        <v>122</v>
      </c>
      <c r="O354" s="1">
        <v>7</v>
      </c>
      <c r="P354" s="1">
        <v>31</v>
      </c>
      <c r="Q354" s="1">
        <v>7</v>
      </c>
      <c r="R354" s="1">
        <v>70</v>
      </c>
      <c r="S354" s="1">
        <v>65</v>
      </c>
    </row>
    <row r="355" spans="1:19">
      <c r="A355" s="1">
        <v>2023</v>
      </c>
      <c r="B355" s="1">
        <v>59</v>
      </c>
      <c r="C355" s="1" t="s">
        <v>97</v>
      </c>
      <c r="D355" s="1" t="e">
        <f t="array" aca="1" ref="D355" ca="1">_xludf.XLOOKUP(C355,'country region mapping'!$A$2:$A$250, 'country region mapping'!$E$2:$E$250)</f>
        <v>#NAME?</v>
      </c>
      <c r="E355" s="1" t="e">
        <f t="array" aca="1" ref="E355" ca="1">_xludf.XLOOKUP(C355,'country region mapping'!$A$2:$A$267,'country region mapping'!$F$2:$F$267)</f>
        <v>#NAME?</v>
      </c>
      <c r="F355" s="1" t="e">
        <f t="array" aca="1" ref="F355" ca="1">_xludf.XLOOKUP(C355,'country region mapping'!$A$2:$A$267,'country region mapping'!$G$2:$G$267)</f>
        <v>#NAME?</v>
      </c>
      <c r="G355" s="1">
        <v>5.9749999999999996</v>
      </c>
      <c r="H355" s="1">
        <v>44</v>
      </c>
      <c r="I355" s="1">
        <v>91</v>
      </c>
      <c r="J355" s="1">
        <v>49</v>
      </c>
      <c r="K355" s="1">
        <v>55</v>
      </c>
      <c r="L355" s="1">
        <v>1</v>
      </c>
      <c r="M355" s="1">
        <v>30</v>
      </c>
      <c r="N355" s="1">
        <v>61</v>
      </c>
      <c r="O355" s="1">
        <v>18</v>
      </c>
      <c r="P355" s="1">
        <v>21</v>
      </c>
      <c r="Q355" s="1">
        <v>30</v>
      </c>
      <c r="R355" s="1">
        <v>20</v>
      </c>
      <c r="S355" s="1">
        <v>76</v>
      </c>
    </row>
    <row r="356" spans="1:19">
      <c r="A356" s="1">
        <v>2023</v>
      </c>
      <c r="B356" s="1">
        <v>60</v>
      </c>
      <c r="C356" s="1" t="s">
        <v>142</v>
      </c>
      <c r="D356" s="1" t="e">
        <f t="array" aca="1" ref="D356" ca="1">_xludf.XLOOKUP(C356,'country region mapping'!$A$2:$A$250, 'country region mapping'!$E$2:$E$250)</f>
        <v>#NAME?</v>
      </c>
      <c r="E356" s="1" t="e">
        <f t="array" aca="1" ref="E356" ca="1">_xludf.XLOOKUP(C356,'country region mapping'!$A$2:$A$267,'country region mapping'!$F$2:$F$267)</f>
        <v>#NAME?</v>
      </c>
      <c r="F356" s="1" t="e">
        <f t="array" aca="1" ref="F356" ca="1">_xludf.XLOOKUP(C356,'country region mapping'!$A$2:$A$267,'country region mapping'!$G$2:$G$267)</f>
        <v>#NAME?</v>
      </c>
      <c r="G356" s="1">
        <v>5.9729999999999999</v>
      </c>
      <c r="H356" s="1">
        <v>32</v>
      </c>
      <c r="I356" s="1">
        <v>81</v>
      </c>
      <c r="J356" s="1">
        <v>60</v>
      </c>
      <c r="K356" s="1">
        <v>26</v>
      </c>
      <c r="L356" s="1">
        <v>75</v>
      </c>
      <c r="M356" s="1">
        <v>73</v>
      </c>
      <c r="O356" s="14">
        <v>54</v>
      </c>
      <c r="P356" s="14">
        <v>30</v>
      </c>
      <c r="Q356" s="14">
        <v>73</v>
      </c>
      <c r="R356" s="14">
        <v>60</v>
      </c>
      <c r="S356" s="14">
        <v>105</v>
      </c>
    </row>
    <row r="357" spans="1:19">
      <c r="A357" s="1">
        <v>2023</v>
      </c>
      <c r="B357" s="1">
        <v>61</v>
      </c>
      <c r="C357" s="1" t="s">
        <v>167</v>
      </c>
      <c r="D357" s="1" t="e">
        <f t="array" aca="1" ref="D357" ca="1">_xludf.XLOOKUP(C357,'country region mapping'!$A$2:$A$250, 'country region mapping'!$E$2:$E$250)</f>
        <v>#NAME?</v>
      </c>
      <c r="E357" s="1" t="e">
        <f t="array" aca="1" ref="E357" ca="1">_xludf.XLOOKUP(C357,'country region mapping'!$A$2:$A$267,'country region mapping'!$F$2:$F$267)</f>
        <v>#NAME?</v>
      </c>
      <c r="F357" s="1" t="e">
        <f t="array" aca="1" ref="F357" ca="1">_xludf.XLOOKUP(C357,'country region mapping'!$A$2:$A$267,'country region mapping'!$G$2:$G$267)</f>
        <v>#NAME?</v>
      </c>
      <c r="G357" s="1">
        <v>5.968</v>
      </c>
      <c r="H357" s="1">
        <v>135</v>
      </c>
      <c r="I357" s="1">
        <v>100</v>
      </c>
      <c r="J357" s="1">
        <v>104</v>
      </c>
      <c r="K357" s="1">
        <v>90</v>
      </c>
      <c r="L357" s="1">
        <v>33</v>
      </c>
      <c r="M357" s="1">
        <v>67</v>
      </c>
      <c r="N357" s="1">
        <v>75</v>
      </c>
      <c r="O357" s="1">
        <v>14</v>
      </c>
      <c r="P357" s="1">
        <v>71</v>
      </c>
      <c r="Q357" s="1">
        <v>67</v>
      </c>
      <c r="R357" s="1">
        <v>30</v>
      </c>
      <c r="S357" s="1">
        <v>36</v>
      </c>
    </row>
    <row r="358" spans="1:19">
      <c r="A358" s="1">
        <v>2023</v>
      </c>
      <c r="B358" s="1">
        <v>62</v>
      </c>
      <c r="C358" s="1" t="s">
        <v>90</v>
      </c>
      <c r="D358" s="1" t="e">
        <f t="array" aca="1" ref="D358" ca="1">_xludf.XLOOKUP(C358,'country region mapping'!$A$2:$A$250, 'country region mapping'!$E$2:$E$250)</f>
        <v>#NAME?</v>
      </c>
      <c r="E358" s="1" t="e">
        <f t="array" aca="1" ref="E358" ca="1">_xludf.XLOOKUP(C358,'country region mapping'!$A$2:$A$267,'country region mapping'!$F$2:$F$267)</f>
        <v>#NAME?</v>
      </c>
      <c r="F358" s="1" t="e">
        <f t="array" aca="1" ref="F358" ca="1">_xludf.XLOOKUP(C358,'country region mapping'!$A$2:$A$267,'country region mapping'!$G$2:$G$267)</f>
        <v>#NAME?</v>
      </c>
      <c r="G358" s="1">
        <v>5.9589999999999996</v>
      </c>
      <c r="H358" s="1">
        <v>105</v>
      </c>
      <c r="I358" s="1">
        <v>76</v>
      </c>
      <c r="J358" s="1">
        <v>18</v>
      </c>
      <c r="K358" s="1"/>
      <c r="L358" s="1">
        <v>44</v>
      </c>
      <c r="M358" s="1">
        <v>22</v>
      </c>
      <c r="O358" s="1">
        <v>69</v>
      </c>
      <c r="P358" s="1">
        <v>97</v>
      </c>
      <c r="Q358" s="1">
        <v>22</v>
      </c>
      <c r="R358" s="1">
        <v>56</v>
      </c>
      <c r="S358" s="1">
        <v>22</v>
      </c>
    </row>
    <row r="359" spans="1:19">
      <c r="A359" s="1">
        <v>2023</v>
      </c>
      <c r="B359" s="1">
        <v>63</v>
      </c>
      <c r="C359" s="1" t="s">
        <v>131</v>
      </c>
      <c r="D359" s="1" t="e">
        <f t="array" aca="1" ref="D359" ca="1">_xludf.XLOOKUP(C359,'country region mapping'!$A$2:$A$250, 'country region mapping'!$E$2:$E$250)</f>
        <v>#NAME?</v>
      </c>
      <c r="E359" s="1" t="e">
        <f t="array" aca="1" ref="E359" ca="1">_xludf.XLOOKUP(C359,'country region mapping'!$A$2:$A$267,'country region mapping'!$F$2:$F$267)</f>
        <v>#NAME?</v>
      </c>
      <c r="F359" s="1" t="e">
        <f t="array" aca="1" ref="F359" ca="1">_xludf.XLOOKUP(C359,'country region mapping'!$A$2:$A$267,'country region mapping'!$G$2:$G$267)</f>
        <v>#NAME?</v>
      </c>
      <c r="G359" s="1">
        <v>5.9420000000000002</v>
      </c>
      <c r="H359" s="1">
        <v>30</v>
      </c>
      <c r="I359" s="1">
        <v>24</v>
      </c>
      <c r="J359" s="1">
        <v>38</v>
      </c>
      <c r="K359" s="1">
        <v>31</v>
      </c>
      <c r="L359" s="1">
        <v>131</v>
      </c>
      <c r="M359" s="1">
        <v>115</v>
      </c>
      <c r="N359" s="1">
        <v>85</v>
      </c>
      <c r="O359" s="1">
        <v>97</v>
      </c>
      <c r="P359" s="1">
        <v>37</v>
      </c>
      <c r="Q359" s="1">
        <v>115</v>
      </c>
      <c r="R359" s="1">
        <v>122</v>
      </c>
      <c r="S359" s="1">
        <v>136</v>
      </c>
    </row>
    <row r="360" spans="1:19">
      <c r="A360" s="1">
        <v>2023</v>
      </c>
      <c r="B360" s="1">
        <v>64</v>
      </c>
      <c r="C360" s="1" t="s">
        <v>160</v>
      </c>
      <c r="D360" s="1" t="e">
        <f t="array" aca="1" ref="D360" ca="1">_xludf.XLOOKUP(C360,'country region mapping'!$A$2:$A$250, 'country region mapping'!$E$2:$E$250)</f>
        <v>#NAME?</v>
      </c>
      <c r="E360" s="1" t="e">
        <f t="array" aca="1" ref="E360" ca="1">_xludf.XLOOKUP(C360,'country region mapping'!$A$2:$A$267,'country region mapping'!$F$2:$F$267)</f>
        <v>#NAME?</v>
      </c>
      <c r="F360" s="1" t="e">
        <f t="array" aca="1" ref="F360" ca="1">_xludf.XLOOKUP(C360,'country region mapping'!$A$2:$A$267,'country region mapping'!$G$2:$G$267)</f>
        <v>#NAME?</v>
      </c>
      <c r="G360" s="1">
        <v>5.9340000000000002</v>
      </c>
      <c r="H360" s="1">
        <v>34</v>
      </c>
      <c r="I360" s="1">
        <v>75</v>
      </c>
      <c r="J360" s="1">
        <v>44</v>
      </c>
      <c r="K360" s="1">
        <v>27</v>
      </c>
      <c r="L360" s="1">
        <v>128</v>
      </c>
      <c r="M360" s="1">
        <v>128</v>
      </c>
      <c r="N360" s="1">
        <v>83</v>
      </c>
      <c r="O360" s="1">
        <v>99</v>
      </c>
      <c r="P360" s="1">
        <v>85</v>
      </c>
      <c r="Q360" s="1">
        <v>128</v>
      </c>
      <c r="R360" s="1">
        <v>89</v>
      </c>
      <c r="S360" s="1">
        <v>75</v>
      </c>
    </row>
    <row r="361" spans="1:19">
      <c r="A361" s="1">
        <v>2023</v>
      </c>
      <c r="B361" s="1">
        <v>65</v>
      </c>
      <c r="C361" s="1" t="s">
        <v>146</v>
      </c>
      <c r="D361" s="1" t="e">
        <f t="array" aca="1" ref="D361" ca="1">_xludf.XLOOKUP(C361,'country region mapping'!$A$2:$A$250, 'country region mapping'!$E$2:$E$250)</f>
        <v>#NAME?</v>
      </c>
      <c r="E361" s="1" t="e">
        <f t="array" aca="1" ref="E361" ca="1">_xludf.XLOOKUP(C361,'country region mapping'!$A$2:$A$267,'country region mapping'!$F$2:$F$267)</f>
        <v>#NAME?</v>
      </c>
      <c r="F361" s="1" t="e">
        <f t="array" aca="1" ref="F361" ca="1">_xludf.XLOOKUP(C361,'country region mapping'!$A$2:$A$267,'country region mapping'!$G$2:$G$267)</f>
        <v>#NAME?</v>
      </c>
      <c r="G361" s="1">
        <v>5.8769999999999998</v>
      </c>
      <c r="H361" s="1">
        <v>71</v>
      </c>
      <c r="I361" s="1">
        <v>44</v>
      </c>
      <c r="J361" s="1">
        <v>64</v>
      </c>
      <c r="K361" s="1">
        <v>46</v>
      </c>
      <c r="L361" s="1">
        <v>55</v>
      </c>
      <c r="M361" s="1">
        <v>21</v>
      </c>
      <c r="N361" s="1">
        <v>133</v>
      </c>
      <c r="O361" s="1">
        <v>107</v>
      </c>
      <c r="P361" s="1">
        <v>53</v>
      </c>
      <c r="Q361" s="1">
        <v>21</v>
      </c>
      <c r="R361" s="1">
        <v>118</v>
      </c>
      <c r="S361" s="1">
        <v>92</v>
      </c>
    </row>
    <row r="362" spans="1:19">
      <c r="A362" s="1">
        <v>2023</v>
      </c>
      <c r="B362" s="1">
        <v>66</v>
      </c>
      <c r="C362" s="1" t="s">
        <v>122</v>
      </c>
      <c r="D362" s="1" t="e">
        <f t="array" aca="1" ref="D362" ca="1">_xludf.XLOOKUP(C362,'country region mapping'!$A$2:$A$250, 'country region mapping'!$E$2:$E$250)</f>
        <v>#NAME?</v>
      </c>
      <c r="E362" s="1" t="e">
        <f t="array" aca="1" ref="E362" ca="1">_xludf.XLOOKUP(C362,'country region mapping'!$A$2:$A$267,'country region mapping'!$F$2:$F$267)</f>
        <v>#NAME?</v>
      </c>
      <c r="F362" s="1" t="e">
        <f t="array" aca="1" ref="F362" ca="1">_xludf.XLOOKUP(C362,'country region mapping'!$A$2:$A$267,'country region mapping'!$G$2:$G$267)</f>
        <v>#NAME?</v>
      </c>
      <c r="G362" s="1">
        <v>5.8659999999999997</v>
      </c>
      <c r="H362" s="1">
        <v>81</v>
      </c>
      <c r="I362" s="1">
        <v>94</v>
      </c>
      <c r="J362" s="1">
        <v>86</v>
      </c>
      <c r="K362" s="1"/>
      <c r="L362" s="1">
        <v>86</v>
      </c>
      <c r="M362" s="1">
        <v>64</v>
      </c>
      <c r="N362" s="1">
        <v>29</v>
      </c>
      <c r="O362" s="1">
        <v>104</v>
      </c>
      <c r="P362" s="1">
        <v>114</v>
      </c>
      <c r="Q362" s="1">
        <v>64</v>
      </c>
      <c r="R362" s="1">
        <v>62</v>
      </c>
      <c r="S362" s="1">
        <v>18</v>
      </c>
    </row>
    <row r="363" spans="1:19">
      <c r="A363" s="1">
        <v>2023</v>
      </c>
      <c r="B363" s="1">
        <v>67</v>
      </c>
      <c r="C363" s="1" t="s">
        <v>130</v>
      </c>
      <c r="D363" s="1" t="e">
        <f t="array" aca="1" ref="D363" ca="1">_xludf.XLOOKUP(C363,'country region mapping'!$A$2:$A$250, 'country region mapping'!$E$2:$E$250)</f>
        <v>#NAME?</v>
      </c>
      <c r="E363" s="1" t="e">
        <f t="array" aca="1" ref="E363" ca="1">_xludf.XLOOKUP(C363,'country region mapping'!$A$2:$A$267,'country region mapping'!$F$2:$F$267)</f>
        <v>#NAME?</v>
      </c>
      <c r="F363" s="1" t="e">
        <f t="array" aca="1" ref="F363" ca="1">_xludf.XLOOKUP(C363,'country region mapping'!$A$2:$A$267,'country region mapping'!$G$2:$G$267)</f>
        <v>#NAME?</v>
      </c>
      <c r="G363" s="1">
        <v>5.8419999999999996</v>
      </c>
      <c r="H363" s="1"/>
      <c r="I363" s="1"/>
      <c r="J363" s="1"/>
      <c r="K363" s="1">
        <v>76</v>
      </c>
      <c r="L363" s="1"/>
      <c r="M363" s="1"/>
      <c r="N363" s="1"/>
      <c r="O363" s="1"/>
      <c r="P363" s="1"/>
      <c r="S363" s="1"/>
    </row>
    <row r="364" spans="1:19">
      <c r="A364" s="1">
        <v>2023</v>
      </c>
      <c r="B364" s="1">
        <v>68</v>
      </c>
      <c r="C364" s="1" t="s">
        <v>118</v>
      </c>
      <c r="D364" s="1" t="e">
        <f t="array" aca="1" ref="D364" ca="1">_xludf.XLOOKUP(C364,'country region mapping'!$A$2:$A$250, 'country region mapping'!$E$2:$E$250)</f>
        <v>#NAME?</v>
      </c>
      <c r="E364" s="1" t="e">
        <f t="array" aca="1" ref="E364" ca="1">_xludf.XLOOKUP(C364,'country region mapping'!$A$2:$A$267,'country region mapping'!$F$2:$F$267)</f>
        <v>#NAME?</v>
      </c>
      <c r="F364" s="1" t="e">
        <f t="array" aca="1" ref="F364" ca="1">_xludf.XLOOKUP(C364,'country region mapping'!$A$2:$A$267,'country region mapping'!$G$2:$G$267)</f>
        <v>#NAME?</v>
      </c>
      <c r="G364" s="1">
        <v>5.8410000000000002</v>
      </c>
      <c r="H364" s="1">
        <v>95</v>
      </c>
      <c r="I364" s="1">
        <v>85</v>
      </c>
      <c r="J364" s="1">
        <v>77</v>
      </c>
      <c r="K364" s="1">
        <v>69</v>
      </c>
      <c r="L364" s="1">
        <v>87</v>
      </c>
      <c r="M364" s="1">
        <v>88</v>
      </c>
      <c r="N364" s="1">
        <v>130</v>
      </c>
      <c r="O364" s="1">
        <v>15</v>
      </c>
      <c r="P364" s="1">
        <v>113</v>
      </c>
      <c r="Q364" s="1">
        <v>88</v>
      </c>
      <c r="R364" s="1">
        <v>64</v>
      </c>
      <c r="S364" s="1">
        <v>38</v>
      </c>
    </row>
    <row r="365" spans="1:19">
      <c r="A365" s="1">
        <v>2023</v>
      </c>
      <c r="B365" s="1">
        <v>69</v>
      </c>
      <c r="C365" s="1" t="s">
        <v>149</v>
      </c>
      <c r="D365" s="1" t="e">
        <f t="array" aca="1" ref="D365" ca="1">_xludf.XLOOKUP(C365,'country region mapping'!$A$2:$A$250, 'country region mapping'!$E$2:$E$250)</f>
        <v>#NAME?</v>
      </c>
      <c r="E365" s="1" t="e">
        <f t="array" aca="1" ref="E365" ca="1">_xludf.XLOOKUP(C365,'country region mapping'!$A$2:$A$267,'country region mapping'!$F$2:$F$267)</f>
        <v>#NAME?</v>
      </c>
      <c r="F365" s="1" t="e">
        <f t="array" aca="1" ref="F365" ca="1">_xludf.XLOOKUP(C365,'country region mapping'!$A$2:$A$267,'country region mapping'!$G$2:$G$267)</f>
        <v>#NAME?</v>
      </c>
      <c r="G365" s="1">
        <v>5.8230000000000004</v>
      </c>
      <c r="H365" s="1">
        <v>137</v>
      </c>
      <c r="I365" s="1">
        <v>54</v>
      </c>
      <c r="J365" s="1">
        <v>58</v>
      </c>
      <c r="K365" s="1">
        <v>63</v>
      </c>
      <c r="L365" s="1">
        <v>46</v>
      </c>
      <c r="M365" s="1">
        <v>94</v>
      </c>
      <c r="N365" s="1">
        <v>37</v>
      </c>
      <c r="O365" s="1">
        <v>37</v>
      </c>
      <c r="P365" s="1">
        <v>58</v>
      </c>
      <c r="Q365" s="1">
        <v>94</v>
      </c>
      <c r="R365" s="1">
        <v>22</v>
      </c>
      <c r="S365" s="1">
        <v>21</v>
      </c>
    </row>
    <row r="366" spans="1:19">
      <c r="A366" s="1">
        <v>2023</v>
      </c>
      <c r="B366" s="1">
        <v>70</v>
      </c>
      <c r="C366" s="1" t="s">
        <v>121</v>
      </c>
      <c r="D366" s="1" t="e">
        <f t="array" aca="1" ref="D366" ca="1">_xludf.XLOOKUP(C366,'country region mapping'!$A$2:$A$250, 'country region mapping'!$E$2:$E$250)</f>
        <v>#NAME?</v>
      </c>
      <c r="E366" s="1" t="e">
        <f t="array" aca="1" ref="E366" ca="1">_xludf.XLOOKUP(C366,'country region mapping'!$A$2:$A$267,'country region mapping'!$F$2:$F$267)</f>
        <v>#NAME?</v>
      </c>
      <c r="F366" s="1" t="e">
        <f t="array" aca="1" ref="F366" ca="1">_xludf.XLOOKUP(C366,'country region mapping'!$A$2:$A$267,'country region mapping'!$G$2:$G$267)</f>
        <v>#NAME?</v>
      </c>
      <c r="G366" s="1">
        <v>5.8159999999999998</v>
      </c>
      <c r="H366" s="1">
        <v>69</v>
      </c>
      <c r="I366" s="1">
        <v>52</v>
      </c>
      <c r="J366" s="1">
        <v>54</v>
      </c>
      <c r="K366" s="1">
        <v>61</v>
      </c>
      <c r="L366" s="1">
        <v>73</v>
      </c>
      <c r="M366" s="1">
        <v>62</v>
      </c>
      <c r="N366" s="1">
        <v>69</v>
      </c>
      <c r="O366" s="1">
        <v>73</v>
      </c>
      <c r="P366" s="1">
        <v>6</v>
      </c>
      <c r="Q366" s="1">
        <v>62</v>
      </c>
      <c r="R366" s="1">
        <v>29</v>
      </c>
      <c r="S366" s="1">
        <v>107</v>
      </c>
    </row>
    <row r="367" spans="1:19">
      <c r="A367" s="1">
        <v>2023</v>
      </c>
      <c r="B367" s="1">
        <v>71</v>
      </c>
      <c r="C367" s="1" t="s">
        <v>285</v>
      </c>
      <c r="D367" s="1" t="e">
        <f t="array" aca="1" ref="D367" ca="1">_xludf.XLOOKUP(C367,'country region mapping'!$A$2:$A$267,'country region mapping'!$E$2:$E$267)</f>
        <v>#NAME?</v>
      </c>
      <c r="E367" s="1" t="e">
        <f t="array" aca="1" ref="E367" ca="1">_xludf.XLOOKUP(C367,'country region mapping'!$A$2:$A$267,'country region mapping'!$F$2:$F$267)</f>
        <v>#NAME?</v>
      </c>
      <c r="F367" s="1" t="e">
        <f t="array" aca="1" ref="F367" ca="1">_xludf.XLOOKUP(C367,'country region mapping'!$A$2:$A$267,'country region mapping'!$G$2:$G$267)</f>
        <v>#NAME?</v>
      </c>
      <c r="G367" s="1">
        <v>5.8159999999999998</v>
      </c>
      <c r="H367" s="1">
        <v>64</v>
      </c>
      <c r="I367" s="1">
        <v>63</v>
      </c>
      <c r="J367" s="1">
        <v>75</v>
      </c>
      <c r="K367" s="1">
        <v>81</v>
      </c>
      <c r="L367" s="1">
        <v>59</v>
      </c>
      <c r="M367" s="1">
        <v>126</v>
      </c>
      <c r="N367" s="1">
        <v>110</v>
      </c>
      <c r="O367" s="1">
        <v>108</v>
      </c>
      <c r="P367" s="1">
        <v>54</v>
      </c>
      <c r="Q367" s="1">
        <v>126</v>
      </c>
      <c r="R367" s="1">
        <v>119</v>
      </c>
      <c r="S367" s="1">
        <v>90</v>
      </c>
    </row>
    <row r="368" spans="1:19">
      <c r="A368" s="1">
        <v>2023</v>
      </c>
      <c r="B368" s="1">
        <v>72</v>
      </c>
      <c r="C368" s="1" t="s">
        <v>108</v>
      </c>
      <c r="D368" s="1" t="e">
        <f t="array" aca="1" ref="D368" ca="1">_xludf.XLOOKUP(C368,'country region mapping'!$A$2:$A$250, 'country region mapping'!$E$2:$E$250)</f>
        <v>#NAME?</v>
      </c>
      <c r="E368" s="1" t="e">
        <f t="array" aca="1" ref="E368" ca="1">_xludf.XLOOKUP(C368,'country region mapping'!$A$2:$A$267,'country region mapping'!$F$2:$F$267)</f>
        <v>#NAME?</v>
      </c>
      <c r="F368" s="1" t="e">
        <f t="array" aca="1" ref="F368" ca="1">_xludf.XLOOKUP(C368,'country region mapping'!$A$2:$A$267,'country region mapping'!$G$2:$G$267)</f>
        <v>#NAME?</v>
      </c>
      <c r="G368" s="1">
        <v>5.7850000000000001</v>
      </c>
      <c r="H368" s="1">
        <v>84</v>
      </c>
      <c r="I368" s="1">
        <v>57</v>
      </c>
      <c r="J368" s="1">
        <v>41</v>
      </c>
      <c r="K368" s="1">
        <v>83</v>
      </c>
      <c r="L368" s="1">
        <v>95</v>
      </c>
      <c r="M368" s="1">
        <v>44</v>
      </c>
      <c r="N368" s="1">
        <v>53</v>
      </c>
      <c r="O368" s="1">
        <v>94</v>
      </c>
      <c r="P368" s="1">
        <v>16</v>
      </c>
      <c r="Q368" s="1">
        <v>44</v>
      </c>
      <c r="R368" s="1">
        <v>73</v>
      </c>
      <c r="S368" s="1">
        <v>23</v>
      </c>
    </row>
    <row r="369" spans="1:19">
      <c r="A369" s="1">
        <v>2023</v>
      </c>
      <c r="B369" s="1">
        <v>73</v>
      </c>
      <c r="C369" s="1" t="s">
        <v>112</v>
      </c>
      <c r="D369" s="1" t="e">
        <f t="array" aca="1" ref="D369" ca="1">_xludf.XLOOKUP(C369,'country region mapping'!$A$2:$A$267,'country region mapping'!$E$2:$E$267)</f>
        <v>#NAME?</v>
      </c>
      <c r="E369" s="1" t="e">
        <f t="array" aca="1" ref="E369" ca="1">_xludf.XLOOKUP(C369,'country region mapping'!$A$2:$A$267,'country region mapping'!$F$2:$F$267)</f>
        <v>#NAME?</v>
      </c>
      <c r="F369" s="1" t="e">
        <f t="array" aca="1" ref="F369" ca="1">_xludf.XLOOKUP(C369,'country region mapping'!$A$2:$A$267,'country region mapping'!$G$2:$G$267)</f>
        <v>#NAME?</v>
      </c>
      <c r="G369" s="1">
        <v>5.7839999999999998</v>
      </c>
      <c r="H369" s="1">
        <v>77</v>
      </c>
      <c r="I369" s="1">
        <v>86</v>
      </c>
      <c r="J369" s="1">
        <v>94</v>
      </c>
      <c r="K369" s="1">
        <v>98</v>
      </c>
      <c r="L369" s="1">
        <v>62</v>
      </c>
      <c r="M369" s="1">
        <v>97</v>
      </c>
      <c r="N369" s="1">
        <v>119</v>
      </c>
      <c r="O369" s="1">
        <v>25</v>
      </c>
      <c r="P369" s="1">
        <v>122</v>
      </c>
      <c r="Q369" s="1">
        <v>97</v>
      </c>
      <c r="R369" s="1">
        <v>40</v>
      </c>
      <c r="S369" s="1">
        <v>42</v>
      </c>
    </row>
    <row r="370" spans="1:19">
      <c r="A370" s="1">
        <v>2023</v>
      </c>
      <c r="B370" s="1">
        <v>74</v>
      </c>
      <c r="C370" s="1" t="s">
        <v>102</v>
      </c>
      <c r="D370" s="1" t="e">
        <f t="array" aca="1" ref="D370" ca="1">_xludf.XLOOKUP(C370,'country region mapping'!$A$2:$A$250, 'country region mapping'!$E$2:$E$250)</f>
        <v>#NAME?</v>
      </c>
      <c r="E370" s="1" t="e">
        <f t="array" aca="1" ref="E370" ca="1">_xludf.XLOOKUP(C370,'country region mapping'!$A$2:$A$267,'country region mapping'!$F$2:$F$267)</f>
        <v>#NAME?</v>
      </c>
      <c r="F370" s="1" t="e">
        <f t="array" aca="1" ref="F370" ca="1">_xludf.XLOOKUP(C370,'country region mapping'!$A$2:$A$267,'country region mapping'!$G$2:$G$267)</f>
        <v>#NAME?</v>
      </c>
      <c r="G370" s="1">
        <v>5.7249999999999996</v>
      </c>
      <c r="H370" s="1">
        <v>113</v>
      </c>
      <c r="I370" s="1">
        <v>87</v>
      </c>
      <c r="J370" s="1">
        <v>78</v>
      </c>
      <c r="K370" s="1">
        <v>51</v>
      </c>
      <c r="L370" s="1">
        <v>106</v>
      </c>
      <c r="M370" s="1">
        <v>108</v>
      </c>
      <c r="N370" s="1">
        <v>102</v>
      </c>
      <c r="O370" s="1">
        <v>17</v>
      </c>
      <c r="P370" s="1">
        <v>108</v>
      </c>
      <c r="Q370" s="1">
        <v>108</v>
      </c>
      <c r="R370" s="1">
        <v>90</v>
      </c>
      <c r="S370" s="1">
        <v>82</v>
      </c>
    </row>
    <row r="371" spans="1:19">
      <c r="A371" s="1">
        <v>2023</v>
      </c>
      <c r="B371" s="1">
        <v>75</v>
      </c>
      <c r="C371" s="1" t="s">
        <v>144</v>
      </c>
      <c r="D371" s="1" t="e">
        <f t="array" aca="1" ref="D371" ca="1">_xludf.XLOOKUP(C371,'country region mapping'!$A$2:$A$250, 'country region mapping'!$E$2:$E$250)</f>
        <v>#NAME?</v>
      </c>
      <c r="E371" s="1" t="e">
        <f t="array" aca="1" ref="E371" ca="1">_xludf.XLOOKUP(C371,'country region mapping'!$A$2:$A$267,'country region mapping'!$F$2:$F$267)</f>
        <v>#NAME?</v>
      </c>
      <c r="F371" s="1" t="e">
        <f t="array" aca="1" ref="F371" ca="1">_xludf.XLOOKUP(C371,'country region mapping'!$A$2:$A$267,'country region mapping'!$G$2:$G$267)</f>
        <v>#NAME?</v>
      </c>
      <c r="G371" s="1">
        <v>5.7140000000000004</v>
      </c>
      <c r="H371" s="1">
        <v>31</v>
      </c>
      <c r="I371" s="1">
        <v>7</v>
      </c>
      <c r="J371" s="1">
        <v>105</v>
      </c>
      <c r="K371" s="1">
        <v>64</v>
      </c>
      <c r="L371" s="1">
        <v>5</v>
      </c>
      <c r="M371" s="1">
        <v>56</v>
      </c>
      <c r="N371" s="1">
        <v>126</v>
      </c>
      <c r="O371" s="1">
        <v>65</v>
      </c>
      <c r="P371" s="1">
        <v>7</v>
      </c>
      <c r="Q371" s="1">
        <v>56</v>
      </c>
      <c r="R371" s="1">
        <v>79</v>
      </c>
      <c r="S371" s="1">
        <v>58</v>
      </c>
    </row>
    <row r="372" spans="1:19">
      <c r="A372" s="1">
        <v>2023</v>
      </c>
      <c r="B372" s="1">
        <v>76</v>
      </c>
      <c r="C372" s="1" t="s">
        <v>147</v>
      </c>
      <c r="D372" s="1" t="e">
        <f t="array" aca="1" ref="D372" ca="1">_xludf.XLOOKUP(C372,'country region mapping'!$A$2:$A$250, 'country region mapping'!$E$2:$E$250)</f>
        <v>#NAME?</v>
      </c>
      <c r="E372" s="1" t="e">
        <f t="array" aca="1" ref="E372" ca="1">_xludf.XLOOKUP(C372,'country region mapping'!$A$2:$A$267,'country region mapping'!$F$2:$F$267)</f>
        <v>#NAME?</v>
      </c>
      <c r="F372" s="1" t="e">
        <f t="array" aca="1" ref="F372" ca="1">_xludf.XLOOKUP(C372,'country region mapping'!$A$2:$A$267,'country region mapping'!$G$2:$G$267)</f>
        <v>#NAME?</v>
      </c>
      <c r="G372" s="1">
        <v>5.7069999999999999</v>
      </c>
      <c r="H372" s="1">
        <v>39</v>
      </c>
      <c r="I372" s="1">
        <v>58</v>
      </c>
      <c r="J372" s="1">
        <v>52</v>
      </c>
      <c r="K372" s="1"/>
      <c r="L372" s="1">
        <v>70</v>
      </c>
      <c r="M372" s="1">
        <v>79</v>
      </c>
      <c r="N372" s="1">
        <v>47</v>
      </c>
      <c r="O372" s="1">
        <v>133</v>
      </c>
      <c r="P372" s="1">
        <v>88</v>
      </c>
      <c r="Q372" s="1">
        <v>79</v>
      </c>
      <c r="R372" s="1">
        <v>130</v>
      </c>
      <c r="S372" s="1">
        <v>121</v>
      </c>
    </row>
    <row r="373" spans="1:19">
      <c r="A373" s="1">
        <v>2023</v>
      </c>
      <c r="B373" s="1">
        <v>77</v>
      </c>
      <c r="C373" s="1" t="s">
        <v>163</v>
      </c>
      <c r="D373" s="1" t="e">
        <f t="array" aca="1" ref="D373" ca="1">_xludf.XLOOKUP(C373,'country region mapping'!$A$2:$A$250, 'country region mapping'!$E$2:$E$250)</f>
        <v>#NAME?</v>
      </c>
      <c r="E373" s="1" t="e">
        <f t="array" aca="1" ref="E373" ca="1">_xludf.XLOOKUP(C373,'country region mapping'!$A$2:$A$267,'country region mapping'!$F$2:$F$267)</f>
        <v>#NAME?</v>
      </c>
      <c r="F373" s="1" t="e">
        <f t="array" aca="1" ref="F373" ca="1">_xludf.XLOOKUP(C373,'country region mapping'!$A$2:$A$267,'country region mapping'!$G$2:$G$267)</f>
        <v>#NAME?</v>
      </c>
      <c r="G373" s="1">
        <v>5.6959999999999997</v>
      </c>
      <c r="H373" s="1">
        <v>48</v>
      </c>
      <c r="I373" s="1">
        <v>9</v>
      </c>
      <c r="J373" s="1">
        <v>72</v>
      </c>
      <c r="K373" s="1">
        <v>80</v>
      </c>
      <c r="L373" s="1">
        <v>116</v>
      </c>
      <c r="M373" s="1">
        <v>28</v>
      </c>
      <c r="N373" s="1">
        <v>116</v>
      </c>
      <c r="O373" s="1">
        <v>115</v>
      </c>
      <c r="P373" s="1">
        <v>22</v>
      </c>
      <c r="Q373" s="1">
        <v>28</v>
      </c>
      <c r="R373" s="1">
        <v>16</v>
      </c>
      <c r="S373" s="1">
        <v>119</v>
      </c>
    </row>
    <row r="374" spans="1:19">
      <c r="A374" s="1">
        <v>2023</v>
      </c>
      <c r="B374" s="1">
        <v>78</v>
      </c>
      <c r="C374" s="1" t="s">
        <v>75</v>
      </c>
      <c r="D374" s="1" t="e">
        <f t="array" aca="1" ref="D374" ca="1">_xludf.XLOOKUP(C374,'country region mapping'!$A$2:$A$250, 'country region mapping'!$E$2:$E$250)</f>
        <v>#NAME?</v>
      </c>
      <c r="E374" s="1" t="e">
        <f t="array" aca="1" ref="E374" ca="1">_xludf.XLOOKUP(C374,'country region mapping'!$A$2:$A$267,'country region mapping'!$F$2:$F$267)</f>
        <v>#NAME?</v>
      </c>
      <c r="F374" s="1" t="e">
        <f t="array" aca="1" ref="F374" ca="1">_xludf.XLOOKUP(C374,'country region mapping'!$A$2:$A$267,'country region mapping'!$G$2:$G$267)</f>
        <v>#NAME?</v>
      </c>
      <c r="G374" s="1">
        <v>5.6950000000000003</v>
      </c>
      <c r="H374" s="1">
        <v>116</v>
      </c>
      <c r="I374" s="1">
        <v>68</v>
      </c>
      <c r="J374" s="1">
        <v>69</v>
      </c>
      <c r="K374" s="1">
        <v>44</v>
      </c>
      <c r="L374" s="1">
        <v>64</v>
      </c>
      <c r="M374" s="1">
        <v>112</v>
      </c>
      <c r="N374" s="1">
        <v>114</v>
      </c>
      <c r="O374" s="1">
        <v>23</v>
      </c>
      <c r="P374" s="1">
        <v>72</v>
      </c>
      <c r="Q374" s="1">
        <v>112</v>
      </c>
      <c r="R374" s="1">
        <v>80</v>
      </c>
      <c r="S374" s="1">
        <v>44</v>
      </c>
    </row>
    <row r="375" spans="1:19">
      <c r="A375" s="1">
        <v>2023</v>
      </c>
      <c r="B375" s="1">
        <v>79</v>
      </c>
      <c r="C375" s="1" t="s">
        <v>93</v>
      </c>
      <c r="D375" s="1" t="e">
        <f t="array" aca="1" ref="D375" ca="1">_xludf.XLOOKUP(C375,'country region mapping'!$A$2:$A$267,'country region mapping'!$E$2:$E$267)</f>
        <v>#NAME?</v>
      </c>
      <c r="E375" s="1" t="e">
        <f t="array" aca="1" ref="E375" ca="1">_xludf.XLOOKUP(C375,'country region mapping'!$A$2:$A$267,'country region mapping'!$F$2:$F$267)</f>
        <v>#NAME?</v>
      </c>
      <c r="F375" s="1" t="e">
        <f t="array" aca="1" ref="F375" ca="1">_xludf.XLOOKUP(C375,'country region mapping'!$A$2:$A$267,'country region mapping'!$G$2:$G$267)</f>
        <v>#NAME?</v>
      </c>
      <c r="G375" s="1">
        <v>5.6070000000000002</v>
      </c>
      <c r="H375" s="1">
        <v>117</v>
      </c>
      <c r="I375" s="1">
        <v>39</v>
      </c>
      <c r="K375" s="1">
        <v>74</v>
      </c>
      <c r="L375" s="1">
        <v>88</v>
      </c>
      <c r="M375" s="1">
        <v>109</v>
      </c>
      <c r="N375" s="1">
        <v>94</v>
      </c>
      <c r="O375" s="1">
        <v>19</v>
      </c>
      <c r="P375" s="1">
        <v>78</v>
      </c>
      <c r="Q375" s="1">
        <v>109</v>
      </c>
      <c r="R375" s="1">
        <v>38</v>
      </c>
      <c r="S375" s="1">
        <v>16</v>
      </c>
    </row>
    <row r="376" spans="1:19">
      <c r="A376" s="1">
        <v>2023</v>
      </c>
      <c r="B376" s="1">
        <v>80</v>
      </c>
      <c r="C376" s="1" t="s">
        <v>137</v>
      </c>
      <c r="D376" s="1" t="e">
        <f t="array" aca="1" ref="D376" ca="1">_xludf.XLOOKUP(C376,'country region mapping'!$A$2:$A$250, 'country region mapping'!$E$2:$E$250)</f>
        <v>#NAME?</v>
      </c>
      <c r="E376" s="1" t="e">
        <f t="array" aca="1" ref="E376" ca="1">_xludf.XLOOKUP(C376,'country region mapping'!$A$2:$A$267,'country region mapping'!$F$2:$F$267)</f>
        <v>#NAME?</v>
      </c>
      <c r="F376" s="1" t="e">
        <f t="array" aca="1" ref="F376" ca="1">_xludf.XLOOKUP(C376,'country region mapping'!$A$2:$A$267,'country region mapping'!$G$2:$G$267)</f>
        <v>#NAME?</v>
      </c>
      <c r="G376" s="1">
        <v>5.5679999999999996</v>
      </c>
      <c r="H376" s="1">
        <v>101</v>
      </c>
      <c r="I376" s="1">
        <v>89</v>
      </c>
      <c r="J376" s="1">
        <v>79</v>
      </c>
      <c r="K376" s="1">
        <v>85</v>
      </c>
      <c r="L376" s="1">
        <v>27</v>
      </c>
      <c r="M376" s="1">
        <v>1</v>
      </c>
      <c r="N376" s="1">
        <v>112</v>
      </c>
      <c r="O376" s="1">
        <v>5</v>
      </c>
      <c r="P376" s="1">
        <v>73</v>
      </c>
      <c r="Q376" s="1">
        <v>1</v>
      </c>
      <c r="R376" s="1">
        <v>1</v>
      </c>
      <c r="S376" s="1">
        <v>48</v>
      </c>
    </row>
    <row r="377" spans="1:19">
      <c r="A377" s="1">
        <v>2023</v>
      </c>
      <c r="B377" s="1">
        <v>81</v>
      </c>
      <c r="C377" s="1" t="s">
        <v>205</v>
      </c>
      <c r="D377" s="1" t="e">
        <f t="array" aca="1" ref="D377" ca="1">_xludf.XLOOKUP(C377,'country region mapping'!$A$2:$A$250, 'country region mapping'!$E$2:$E$250)</f>
        <v>#NAME?</v>
      </c>
      <c r="E377" s="1" t="e">
        <f t="array" aca="1" ref="E377" ca="1">_xludf.XLOOKUP(C377,'country region mapping'!$A$2:$A$267,'country region mapping'!$F$2:$F$267)</f>
        <v>#NAME?</v>
      </c>
      <c r="F377" s="1" t="e">
        <f t="array" aca="1" ref="F377" ca="1">_xludf.XLOOKUP(C377,'country region mapping'!$A$2:$A$267,'country region mapping'!$G$2:$G$267)</f>
        <v>#NAME?</v>
      </c>
      <c r="G377" s="1">
        <v>5.4630000000000001</v>
      </c>
      <c r="H377" s="1">
        <v>59</v>
      </c>
      <c r="I377" s="1">
        <v>10</v>
      </c>
      <c r="J377" s="1">
        <v>48</v>
      </c>
      <c r="K377" s="1">
        <v>71</v>
      </c>
      <c r="L377" s="1">
        <v>91</v>
      </c>
      <c r="M377" s="1">
        <v>93</v>
      </c>
      <c r="N377" s="1">
        <v>134</v>
      </c>
      <c r="O377" s="1">
        <v>118</v>
      </c>
      <c r="P377" s="1">
        <v>18</v>
      </c>
      <c r="Q377" s="1">
        <v>93</v>
      </c>
      <c r="R377" s="1">
        <v>140</v>
      </c>
      <c r="S377" s="1">
        <v>130</v>
      </c>
    </row>
    <row r="378" spans="1:19">
      <c r="A378" s="1">
        <v>2023</v>
      </c>
      <c r="B378" s="1">
        <v>82</v>
      </c>
      <c r="C378" s="1" t="s">
        <v>192</v>
      </c>
      <c r="D378" s="1" t="e">
        <f t="array" aca="1" ref="D378" ca="1">_xludf.XLOOKUP(C378,'country region mapping'!$A$2:$A$250, 'country region mapping'!$E$2:$E$250)</f>
        <v>#NAME?</v>
      </c>
      <c r="E378" s="1" t="e">
        <f t="array" aca="1" ref="E378" ca="1">_xludf.XLOOKUP(C378,'country region mapping'!$A$2:$A$267,'country region mapping'!$F$2:$F$267)</f>
        <v>#NAME?</v>
      </c>
      <c r="F378" s="1" t="e">
        <f t="array" aca="1" ref="F378" ca="1">_xludf.XLOOKUP(C378,'country region mapping'!$A$2:$A$267,'country region mapping'!$G$2:$G$267)</f>
        <v>#NAME?</v>
      </c>
      <c r="G378" s="1">
        <v>5.4550000000000001</v>
      </c>
      <c r="H378" s="1">
        <v>73</v>
      </c>
      <c r="I378" s="1">
        <v>74</v>
      </c>
      <c r="J378" s="1">
        <v>65</v>
      </c>
      <c r="K378" s="1">
        <v>53</v>
      </c>
      <c r="L378" s="1">
        <v>66</v>
      </c>
      <c r="M378" s="1">
        <v>129</v>
      </c>
      <c r="N378" s="1">
        <v>42</v>
      </c>
      <c r="O378" s="1">
        <v>109</v>
      </c>
      <c r="P378" s="1">
        <v>128</v>
      </c>
      <c r="Q378" s="1">
        <v>129</v>
      </c>
      <c r="R378" s="1">
        <v>124</v>
      </c>
      <c r="S378" s="1">
        <v>78</v>
      </c>
    </row>
    <row r="379" spans="1:19">
      <c r="A379" s="1">
        <v>2023</v>
      </c>
      <c r="B379" s="1">
        <v>83</v>
      </c>
      <c r="C379" s="1" t="s">
        <v>185</v>
      </c>
      <c r="D379" s="1" t="e">
        <f t="array" aca="1" ref="D379" ca="1">_xludf.XLOOKUP(C379,'country region mapping'!$A$2:$A$250, 'country region mapping'!$E$2:$E$250)</f>
        <v>#NAME?</v>
      </c>
      <c r="E379" s="1" t="e">
        <f t="array" aca="1" ref="E379" ca="1">_xludf.XLOOKUP(C379,'country region mapping'!$A$2:$A$267,'country region mapping'!$F$2:$F$267)</f>
        <v>#NAME?</v>
      </c>
      <c r="F379" s="1" t="e">
        <f t="array" aca="1" ref="F379" ca="1">_xludf.XLOOKUP(C379,'country region mapping'!$A$2:$A$267,'country region mapping'!$G$2:$G$267)</f>
        <v>#NAME?</v>
      </c>
      <c r="G379" s="1">
        <v>5.4219999999999997</v>
      </c>
      <c r="H379" s="1">
        <v>109</v>
      </c>
      <c r="I379" s="1">
        <v>65</v>
      </c>
      <c r="J379" s="1">
        <v>80</v>
      </c>
      <c r="K379" s="1">
        <v>114</v>
      </c>
      <c r="L379" s="1">
        <v>97</v>
      </c>
      <c r="M379" s="1">
        <v>104</v>
      </c>
      <c r="N379" s="1">
        <v>111</v>
      </c>
      <c r="O379" s="1">
        <v>53</v>
      </c>
      <c r="P379" s="1">
        <v>57</v>
      </c>
      <c r="Q379" s="1">
        <v>104</v>
      </c>
      <c r="R379" s="1">
        <v>51</v>
      </c>
      <c r="S379" s="1">
        <v>61</v>
      </c>
    </row>
    <row r="380" spans="1:19">
      <c r="A380" s="1">
        <v>2023</v>
      </c>
      <c r="B380" s="1">
        <v>84</v>
      </c>
      <c r="C380" s="1" t="s">
        <v>156</v>
      </c>
      <c r="D380" s="1" t="e">
        <f t="array" aca="1" ref="D380" ca="1">_xludf.XLOOKUP(C380,'country region mapping'!$A$2:$A$250, 'country region mapping'!$E$2:$E$250)</f>
        <v>#NAME?</v>
      </c>
      <c r="E380" s="1" t="e">
        <f t="array" aca="1" ref="E380" ca="1">_xludf.XLOOKUP(C380,'country region mapping'!$A$2:$A$267,'country region mapping'!$F$2:$F$267)</f>
        <v>#NAME?</v>
      </c>
      <c r="F380" s="1" t="e">
        <f t="array" aca="1" ref="F380" ca="1">_xludf.XLOOKUP(C380,'country region mapping'!$A$2:$A$267,'country region mapping'!$G$2:$G$267)</f>
        <v>#NAME?</v>
      </c>
      <c r="G380" s="1">
        <v>5.3689999999999998</v>
      </c>
      <c r="H380" s="1">
        <v>50</v>
      </c>
      <c r="I380" s="1">
        <v>41</v>
      </c>
      <c r="J380" s="1">
        <v>57</v>
      </c>
      <c r="K380" s="1">
        <v>60</v>
      </c>
      <c r="L380" s="1">
        <v>102</v>
      </c>
      <c r="M380" s="1">
        <v>35</v>
      </c>
      <c r="N380" s="1">
        <v>129</v>
      </c>
      <c r="O380" s="1">
        <v>126</v>
      </c>
      <c r="P380" s="1">
        <v>67</v>
      </c>
      <c r="Q380" s="1">
        <v>35</v>
      </c>
      <c r="R380" s="1">
        <v>132</v>
      </c>
      <c r="S380" s="1">
        <v>122</v>
      </c>
    </row>
    <row r="381" spans="1:19">
      <c r="A381" s="1">
        <v>2023</v>
      </c>
      <c r="B381" s="1">
        <v>85</v>
      </c>
      <c r="C381" s="1" t="s">
        <v>85</v>
      </c>
      <c r="D381" s="1" t="e">
        <f t="array" aca="1" ref="D381" ca="1">_xludf.XLOOKUP(C381,'country region mapping'!$A$2:$A$250, 'country region mapping'!$E$2:$E$250)</f>
        <v>#NAME?</v>
      </c>
      <c r="E381" s="1" t="e">
        <f t="array" aca="1" ref="E381" ca="1">_xludf.XLOOKUP(C381,'country region mapping'!$A$2:$A$267,'country region mapping'!$F$2:$F$267)</f>
        <v>#NAME?</v>
      </c>
      <c r="F381" s="1" t="e">
        <f t="array" aca="1" ref="F381" ca="1">_xludf.XLOOKUP(C381,'country region mapping'!$A$2:$A$267,'country region mapping'!$G$2:$G$267)</f>
        <v>#NAME?</v>
      </c>
      <c r="G381" s="1">
        <v>5.3639999999999999</v>
      </c>
      <c r="H381" s="1"/>
      <c r="I381" s="1"/>
      <c r="J381" s="1"/>
      <c r="K381" s="1">
        <v>39</v>
      </c>
      <c r="L381" s="1"/>
      <c r="M381" s="1"/>
      <c r="N381" s="1"/>
      <c r="O381" s="1"/>
      <c r="P381" s="1"/>
      <c r="S381" s="1"/>
    </row>
    <row r="382" spans="1:19">
      <c r="A382" s="1">
        <v>2023</v>
      </c>
      <c r="B382" s="1">
        <v>86</v>
      </c>
      <c r="C382" s="1" t="s">
        <v>132</v>
      </c>
      <c r="D382" s="1" t="e">
        <f t="array" aca="1" ref="D382" ca="1">_xludf.XLOOKUP(C382,'country region mapping'!$A$2:$A$267,'country region mapping'!$E$2:$E$267)</f>
        <v>#NAME?</v>
      </c>
      <c r="E382" s="1" t="e">
        <f t="array" aca="1" ref="E382" ca="1">_xludf.XLOOKUP(C382,'country region mapping'!$A$2:$A$267,'country region mapping'!$F$2:$F$267)</f>
        <v>#NAME?</v>
      </c>
      <c r="F382" s="1" t="e">
        <f t="array" aca="1" ref="F382" ca="1">_xludf.XLOOKUP(C382,'country region mapping'!$A$2:$A$267,'country region mapping'!$G$2:$G$267)</f>
        <v>#NAME?</v>
      </c>
      <c r="G382" s="1">
        <v>5.3159999999999998</v>
      </c>
      <c r="H382" s="1">
        <v>10</v>
      </c>
      <c r="I382" s="1">
        <v>69</v>
      </c>
      <c r="J382" s="1">
        <v>11</v>
      </c>
      <c r="K382" s="1"/>
      <c r="L382" s="1">
        <v>96</v>
      </c>
      <c r="M382" s="1">
        <v>42</v>
      </c>
      <c r="N382" s="1">
        <v>10</v>
      </c>
      <c r="O382" s="1">
        <v>124</v>
      </c>
      <c r="P382" s="1">
        <v>12</v>
      </c>
      <c r="Q382" s="1">
        <v>42</v>
      </c>
      <c r="R382" s="1">
        <v>92</v>
      </c>
      <c r="S382" s="1">
        <v>96</v>
      </c>
    </row>
    <row r="383" spans="1:19">
      <c r="A383" s="1">
        <v>2023</v>
      </c>
      <c r="B383" s="1">
        <v>87</v>
      </c>
      <c r="C383" s="1" t="s">
        <v>174</v>
      </c>
      <c r="D383" s="1" t="e">
        <f t="array" aca="1" ref="D383" ca="1">_xludf.XLOOKUP(C383,'country region mapping'!$A$2:$A$250, 'country region mapping'!$E$2:$E$250)</f>
        <v>#NAME?</v>
      </c>
      <c r="E383" s="1" t="e">
        <f t="array" aca="1" ref="E383" ca="1">_xludf.XLOOKUP(C383,'country region mapping'!$A$2:$A$267,'country region mapping'!$F$2:$F$267)</f>
        <v>#NAME?</v>
      </c>
      <c r="F383" s="1" t="e">
        <f t="array" aca="1" ref="F383" ca="1">_xludf.XLOOKUP(C383,'country region mapping'!$A$2:$A$267,'country region mapping'!$G$2:$G$267)</f>
        <v>#NAME?</v>
      </c>
      <c r="G383" s="1">
        <v>5.3040000000000003</v>
      </c>
      <c r="H383" s="1">
        <v>124</v>
      </c>
      <c r="I383" s="1">
        <v>111</v>
      </c>
      <c r="J383" s="1">
        <v>70</v>
      </c>
      <c r="K383" s="1">
        <v>35</v>
      </c>
      <c r="L383" s="1">
        <v>40</v>
      </c>
      <c r="M383" s="1">
        <v>54</v>
      </c>
      <c r="N383" s="1">
        <v>109</v>
      </c>
      <c r="O383" s="1">
        <v>101</v>
      </c>
      <c r="P383" s="1">
        <v>87</v>
      </c>
      <c r="Q383" s="1">
        <v>54</v>
      </c>
      <c r="R383" s="1">
        <v>121</v>
      </c>
      <c r="S383" s="1">
        <v>80</v>
      </c>
    </row>
    <row r="384" spans="1:19">
      <c r="A384" s="1">
        <v>2023</v>
      </c>
      <c r="B384" s="1">
        <v>88</v>
      </c>
      <c r="C384" s="1" t="s">
        <v>162</v>
      </c>
      <c r="D384" s="1" t="e">
        <f t="array" aca="1" ref="D384" ca="1">_xludf.XLOOKUP(C384,'country region mapping'!$A$2:$A$250, 'country region mapping'!$E$2:$E$250)</f>
        <v>#NAME?</v>
      </c>
      <c r="E384" s="1" t="e">
        <f t="array" aca="1" ref="E384" ca="1">_xludf.XLOOKUP(C384,'country region mapping'!$A$2:$A$267,'country region mapping'!$F$2:$F$267)</f>
        <v>#NAME?</v>
      </c>
      <c r="F384" s="1" t="e">
        <f t="array" aca="1" ref="F384" ca="1">_xludf.XLOOKUP(C384,'country region mapping'!$A$2:$A$267,'country region mapping'!$G$2:$G$267)</f>
        <v>#NAME?</v>
      </c>
      <c r="G384" s="1">
        <v>5.2809999999999997</v>
      </c>
      <c r="H384" s="1">
        <v>21</v>
      </c>
      <c r="I384" s="1">
        <v>50</v>
      </c>
      <c r="J384" s="1">
        <v>114</v>
      </c>
      <c r="K384" s="1">
        <v>67</v>
      </c>
      <c r="M384" s="1">
        <v>113</v>
      </c>
      <c r="N384" s="1">
        <v>16</v>
      </c>
      <c r="O384" s="1">
        <v>85</v>
      </c>
      <c r="P384" s="1">
        <v>40</v>
      </c>
      <c r="Q384" s="1">
        <v>113</v>
      </c>
      <c r="R384" s="1">
        <v>6</v>
      </c>
      <c r="S384" s="1">
        <v>79</v>
      </c>
    </row>
    <row r="385" spans="1:19">
      <c r="A385" s="1">
        <v>2023</v>
      </c>
      <c r="B385" s="1">
        <v>89</v>
      </c>
      <c r="C385" s="1" t="s">
        <v>202</v>
      </c>
      <c r="D385" s="1" t="e">
        <f t="array" aca="1" ref="D385" ca="1">_xludf.XLOOKUP(C385,'country region mapping'!$A$2:$A$250, 'country region mapping'!$E$2:$E$250)</f>
        <v>#NAME?</v>
      </c>
      <c r="E385" s="1" t="e">
        <f t="array" aca="1" ref="E385" ca="1">_xludf.XLOOKUP(C385,'country region mapping'!$A$2:$A$267,'country region mapping'!$F$2:$F$267)</f>
        <v>#NAME?</v>
      </c>
      <c r="F385" s="1" t="e">
        <f t="array" aca="1" ref="F385" ca="1">_xludf.XLOOKUP(C385,'country region mapping'!$A$2:$A$267,'country region mapping'!$G$2:$G$267)</f>
        <v>#NAME?</v>
      </c>
      <c r="G385" s="1">
        <v>5.2210000000000001</v>
      </c>
      <c r="H385" s="1">
        <v>139</v>
      </c>
      <c r="I385" s="1">
        <v>133</v>
      </c>
      <c r="J385" s="1">
        <v>107</v>
      </c>
      <c r="K385" s="1">
        <v>105</v>
      </c>
      <c r="L385" s="1">
        <v>115</v>
      </c>
      <c r="M385" s="1">
        <v>123</v>
      </c>
      <c r="N385" s="1">
        <v>56</v>
      </c>
      <c r="O385" s="1">
        <v>105</v>
      </c>
      <c r="P385" s="1">
        <v>124</v>
      </c>
      <c r="Q385" s="1">
        <v>123</v>
      </c>
      <c r="R385" s="1">
        <v>66</v>
      </c>
      <c r="S385" s="1">
        <v>30</v>
      </c>
    </row>
    <row r="386" spans="1:19">
      <c r="A386" s="1">
        <v>2023</v>
      </c>
      <c r="B386" s="1">
        <v>90</v>
      </c>
      <c r="C386" s="1" t="s">
        <v>252</v>
      </c>
      <c r="D386" s="1" t="e">
        <f t="array" aca="1" ref="D386" ca="1">_xludf.XLOOKUP(C386,'country region mapping'!$A$2:$A$250, 'country region mapping'!$E$2:$E$250)</f>
        <v>#NAME?</v>
      </c>
      <c r="E386" s="1" t="e">
        <f t="array" aca="1" ref="E386" ca="1">_xludf.XLOOKUP(C386,'country region mapping'!$A$2:$A$267,'country region mapping'!$F$2:$F$267)</f>
        <v>#NAME?</v>
      </c>
      <c r="F386" s="1" t="e">
        <f t="array" aca="1" ref="F386" ca="1">_xludf.XLOOKUP(C386,'country region mapping'!$A$2:$A$267,'country region mapping'!$G$2:$G$267)</f>
        <v>#NAME?</v>
      </c>
      <c r="G386" s="1">
        <v>5.2160000000000002</v>
      </c>
      <c r="H386" s="1">
        <v>140</v>
      </c>
      <c r="I386" s="1">
        <v>108</v>
      </c>
      <c r="J386" s="1">
        <v>135</v>
      </c>
      <c r="K386" s="1">
        <v>117</v>
      </c>
      <c r="L386" s="1">
        <v>45</v>
      </c>
      <c r="M386" s="1">
        <v>101</v>
      </c>
      <c r="N386" s="1">
        <v>41</v>
      </c>
      <c r="O386" s="1">
        <v>92</v>
      </c>
      <c r="P386" s="1">
        <v>95</v>
      </c>
      <c r="Q386" s="1">
        <v>101</v>
      </c>
      <c r="R386" s="1">
        <v>17</v>
      </c>
      <c r="S386" s="1">
        <v>93</v>
      </c>
    </row>
    <row r="387" spans="1:19">
      <c r="A387" s="1">
        <v>2023</v>
      </c>
      <c r="B387" s="1">
        <v>91</v>
      </c>
      <c r="C387" s="1" t="s">
        <v>201</v>
      </c>
      <c r="D387" s="1" t="e">
        <f t="array" aca="1" ref="D387" ca="1">_xludf.XLOOKUP(C387,'country region mapping'!$A$2:$A$250, 'country region mapping'!$E$2:$E$250)</f>
        <v>#NAME?</v>
      </c>
      <c r="E387" s="1" t="e">
        <f t="array" aca="1" ref="E387" ca="1">_xludf.XLOOKUP(C387,'country region mapping'!$A$2:$A$267,'country region mapping'!$F$2:$F$267)</f>
        <v>#NAME?</v>
      </c>
      <c r="F387" s="1" t="e">
        <f t="array" aca="1" ref="F387" ca="1">_xludf.XLOOKUP(C387,'country region mapping'!$A$2:$A$267,'country region mapping'!$G$2:$G$267)</f>
        <v>#NAME?</v>
      </c>
      <c r="G387" s="1">
        <v>5.1849999999999996</v>
      </c>
      <c r="H387" s="1">
        <v>72</v>
      </c>
      <c r="I387" s="1">
        <v>90</v>
      </c>
      <c r="J387" s="1">
        <v>59</v>
      </c>
      <c r="K387" s="1">
        <v>70</v>
      </c>
      <c r="L387" s="1">
        <v>34</v>
      </c>
      <c r="M387" s="1">
        <v>140</v>
      </c>
      <c r="N387" s="1">
        <v>48</v>
      </c>
      <c r="O387" s="1">
        <v>116</v>
      </c>
      <c r="P387" s="1">
        <v>38</v>
      </c>
      <c r="Q387" s="1">
        <v>140</v>
      </c>
      <c r="R387" s="1">
        <v>82</v>
      </c>
      <c r="S387" s="1">
        <v>26</v>
      </c>
    </row>
    <row r="388" spans="1:19">
      <c r="A388" s="1">
        <v>2023</v>
      </c>
      <c r="B388" s="1">
        <v>92</v>
      </c>
      <c r="C388" s="1" t="s">
        <v>179</v>
      </c>
      <c r="D388" s="1" t="e">
        <f t="array" aca="1" ref="D388" ca="1">_xludf.XLOOKUP(C388,'country region mapping'!$A$2:$A$250, 'country region mapping'!$E$2:$E$250)</f>
        <v>#NAME?</v>
      </c>
      <c r="E388" s="1" t="e">
        <f t="array" aca="1" ref="E388" ca="1">_xludf.XLOOKUP(C388,'country region mapping'!$A$2:$A$267,'country region mapping'!$F$2:$F$267)</f>
        <v>#NAME?</v>
      </c>
      <c r="F388" s="1" t="e">
        <f t="array" aca="1" ref="F388" ca="1">_xludf.XLOOKUP(C388,'country region mapping'!$A$2:$A$267,'country region mapping'!$G$2:$G$267)</f>
        <v>#NAME?</v>
      </c>
      <c r="G388" s="1">
        <v>5.1660000000000004</v>
      </c>
      <c r="H388" s="1">
        <v>114</v>
      </c>
      <c r="I388" s="1">
        <v>99</v>
      </c>
      <c r="J388" s="1">
        <v>84</v>
      </c>
      <c r="K388" s="1">
        <v>82</v>
      </c>
      <c r="L388" s="1">
        <v>124</v>
      </c>
      <c r="M388" s="1">
        <v>84</v>
      </c>
      <c r="N388" s="1">
        <v>106</v>
      </c>
      <c r="O388" s="1">
        <v>103</v>
      </c>
      <c r="P388" s="1">
        <v>138</v>
      </c>
      <c r="Q388" s="1">
        <v>84</v>
      </c>
      <c r="R388" s="1">
        <v>114</v>
      </c>
      <c r="S388" s="1">
        <v>13</v>
      </c>
    </row>
    <row r="389" spans="1:19">
      <c r="A389" s="1">
        <v>2023</v>
      </c>
      <c r="B389" s="1">
        <v>93</v>
      </c>
      <c r="C389" s="1" t="s">
        <v>172</v>
      </c>
      <c r="D389" s="1" t="e">
        <f t="array" aca="1" ref="D389" ca="1">_xludf.XLOOKUP(C389,'country region mapping'!$A$2:$A$250, 'country region mapping'!$E$2:$E$250)</f>
        <v>#NAME?</v>
      </c>
      <c r="E389" s="1" t="e">
        <f t="array" aca="1" ref="E389" ca="1">_xludf.XLOOKUP(C389,'country region mapping'!$A$2:$A$267,'country region mapping'!$F$2:$F$267)</f>
        <v>#NAME?</v>
      </c>
      <c r="F389" s="1" t="e">
        <f t="array" aca="1" ref="F389" ca="1">_xludf.XLOOKUP(C389,'country region mapping'!$A$2:$A$267,'country region mapping'!$G$2:$G$267)</f>
        <v>#NAME?</v>
      </c>
      <c r="G389" s="1">
        <v>5.1580000000000004</v>
      </c>
      <c r="H389" s="1">
        <v>131</v>
      </c>
      <c r="I389" s="1">
        <v>93</v>
      </c>
      <c r="J389" s="1">
        <v>113</v>
      </c>
      <c r="K389" s="1">
        <v>89</v>
      </c>
      <c r="L389" s="1">
        <v>84</v>
      </c>
      <c r="M389" s="1">
        <v>46</v>
      </c>
      <c r="N389" s="1">
        <v>78</v>
      </c>
      <c r="O389" s="1">
        <v>135</v>
      </c>
      <c r="P389" s="1">
        <v>103</v>
      </c>
      <c r="Q389" s="1">
        <v>46</v>
      </c>
      <c r="R389" s="1">
        <v>28</v>
      </c>
      <c r="S389" s="1">
        <v>110</v>
      </c>
    </row>
    <row r="390" spans="1:19">
      <c r="A390" s="1">
        <v>2023</v>
      </c>
      <c r="B390" s="1">
        <v>94</v>
      </c>
      <c r="C390" s="1" t="s">
        <v>164</v>
      </c>
      <c r="D390" s="1" t="e">
        <f t="array" aca="1" ref="D390" ca="1">_xludf.XLOOKUP(C390,'country region mapping'!$A$2:$A$267,'country region mapping'!$E$2:$E$267)</f>
        <v>#NAME?</v>
      </c>
      <c r="E390" s="1" t="e">
        <f t="array" aca="1" ref="E390" ca="1">_xludf.XLOOKUP(C390,'country region mapping'!$A$2:$A$267,'country region mapping'!$F$2:$F$267)</f>
        <v>#NAME?</v>
      </c>
      <c r="F390" s="1" t="e">
        <f t="array" aca="1" ref="F390" ca="1">_xludf.XLOOKUP(C390,'country region mapping'!$A$2:$A$267,'country region mapping'!$G$2:$G$267)</f>
        <v>#NAME?</v>
      </c>
      <c r="G390" s="1">
        <v>5.1390000000000002</v>
      </c>
      <c r="H390" s="1">
        <v>111</v>
      </c>
      <c r="I390" s="1">
        <v>114</v>
      </c>
      <c r="J390" s="1">
        <v>98</v>
      </c>
      <c r="K390" s="1">
        <v>87</v>
      </c>
      <c r="L390" s="1">
        <v>21</v>
      </c>
      <c r="M390" s="1">
        <v>60</v>
      </c>
      <c r="N390" s="1">
        <v>51</v>
      </c>
      <c r="O390" s="1">
        <v>66</v>
      </c>
      <c r="P390" s="1">
        <v>96</v>
      </c>
      <c r="Q390" s="1">
        <v>60</v>
      </c>
      <c r="R390" s="1">
        <v>100</v>
      </c>
      <c r="S390" s="1">
        <v>131</v>
      </c>
    </row>
    <row r="391" spans="1:19">
      <c r="A391" s="1">
        <v>2023</v>
      </c>
      <c r="B391" s="1">
        <v>95</v>
      </c>
      <c r="C391" s="1" t="s">
        <v>306</v>
      </c>
      <c r="D391" s="1" t="e">
        <f t="array" aca="1" ref="D391" ca="1">_xludf.XLOOKUP(C391,'country region mapping'!$A$2:$A$250, 'country region mapping'!$E$2:$E$250)</f>
        <v>#NAME?</v>
      </c>
      <c r="E391" s="1" t="e">
        <f t="array" aca="1" ref="E391" ca="1">_xludf.XLOOKUP(C391,'country region mapping'!$A$2:$A$267,'country region mapping'!$F$2:$F$267)</f>
        <v>#NAME?</v>
      </c>
      <c r="F391" s="1" t="e">
        <f t="array" aca="1" ref="F391" ca="1">_xludf.XLOOKUP(C391,'country region mapping'!$A$2:$A$267,'country region mapping'!$G$2:$G$267)</f>
        <v>#NAME?</v>
      </c>
      <c r="G391" s="1">
        <v>5.1059999999999999</v>
      </c>
      <c r="H391" s="1">
        <v>126</v>
      </c>
      <c r="I391" s="1">
        <v>98</v>
      </c>
      <c r="J391" s="1">
        <v>68</v>
      </c>
      <c r="K391" s="1">
        <v>101</v>
      </c>
      <c r="L391" s="1">
        <v>109</v>
      </c>
      <c r="M391" s="1">
        <v>125</v>
      </c>
      <c r="N391" s="1">
        <v>92</v>
      </c>
      <c r="O391" s="1">
        <v>93</v>
      </c>
      <c r="P391" s="1">
        <v>129</v>
      </c>
      <c r="Q391" s="1">
        <v>125</v>
      </c>
      <c r="R391" s="1">
        <v>109</v>
      </c>
      <c r="S391" s="1">
        <v>28</v>
      </c>
    </row>
    <row r="392" spans="1:19">
      <c r="A392" s="1">
        <v>2023</v>
      </c>
      <c r="B392" s="1">
        <v>96</v>
      </c>
      <c r="C392" s="1" t="s">
        <v>220</v>
      </c>
      <c r="D392" s="1" t="e">
        <f t="array" aca="1" ref="D392" ca="1">_xludf.XLOOKUP(C392,'country region mapping'!$A$2:$A$267,'country region mapping'!$E$2:$E$267)</f>
        <v>#NAME?</v>
      </c>
      <c r="E392" s="1" t="e">
        <f t="array" aca="1" ref="E392" ca="1">_xludf.XLOOKUP(C392,'country region mapping'!$A$2:$A$267,'country region mapping'!$F$2:$F$267)</f>
        <v>#NAME?</v>
      </c>
      <c r="F392" s="1" t="e">
        <f t="array" aca="1" ref="F392" ca="1">_xludf.XLOOKUP(C392,'country region mapping'!$A$2:$A$267,'country region mapping'!$G$2:$G$267)</f>
        <v>#NAME?</v>
      </c>
      <c r="G392" s="1">
        <v>5.08</v>
      </c>
      <c r="H392" s="1">
        <v>122</v>
      </c>
      <c r="I392" s="1">
        <v>126</v>
      </c>
      <c r="J392" s="1">
        <v>103</v>
      </c>
      <c r="K392" s="1">
        <v>94</v>
      </c>
      <c r="L392" s="1"/>
      <c r="M392" s="1">
        <v>105</v>
      </c>
      <c r="N392" s="1">
        <v>40</v>
      </c>
      <c r="O392" s="1">
        <v>71</v>
      </c>
      <c r="P392" s="1">
        <v>83</v>
      </c>
      <c r="Q392" s="1">
        <v>105</v>
      </c>
      <c r="R392" s="1">
        <v>111</v>
      </c>
      <c r="S392" s="1">
        <v>91</v>
      </c>
    </row>
    <row r="393" spans="1:19">
      <c r="A393" s="1">
        <v>2023</v>
      </c>
      <c r="B393" s="1">
        <v>97</v>
      </c>
      <c r="C393" s="1" t="s">
        <v>240</v>
      </c>
      <c r="D393" s="1" t="e">
        <f t="array" aca="1" ref="D393" ca="1">_xludf.XLOOKUP(C393,'country region mapping'!$A$2:$A$250, 'country region mapping'!$E$2:$E$250)</f>
        <v>#NAME?</v>
      </c>
      <c r="E393" s="1" t="e">
        <f t="array" aca="1" ref="E393" ca="1">_xludf.XLOOKUP(C393,'country region mapping'!$A$2:$A$267,'country region mapping'!$F$2:$F$267)</f>
        <v>#NAME?</v>
      </c>
      <c r="F393" s="1" t="e">
        <f t="array" aca="1" ref="F393" ca="1">_xludf.XLOOKUP(C393,'country region mapping'!$A$2:$A$267,'country region mapping'!$G$2:$G$267)</f>
        <v>#NAME?</v>
      </c>
      <c r="G393" s="1">
        <v>5.0229999999999997</v>
      </c>
      <c r="H393" s="1">
        <v>132</v>
      </c>
      <c r="I393" s="1">
        <v>131</v>
      </c>
      <c r="J393" s="1">
        <v>116</v>
      </c>
      <c r="K393" s="1">
        <v>110</v>
      </c>
      <c r="L393" s="1">
        <v>98</v>
      </c>
      <c r="M393" s="1">
        <v>58</v>
      </c>
      <c r="N393" s="1">
        <v>77</v>
      </c>
      <c r="O393" s="1">
        <v>80</v>
      </c>
      <c r="P393" s="1">
        <v>140</v>
      </c>
      <c r="Q393" s="1">
        <v>58</v>
      </c>
      <c r="R393" s="1">
        <v>8</v>
      </c>
      <c r="S393" s="1">
        <v>15</v>
      </c>
    </row>
    <row r="394" spans="1:19">
      <c r="A394" s="1">
        <v>2023</v>
      </c>
      <c r="B394" s="1">
        <v>98</v>
      </c>
      <c r="C394" s="1" t="s">
        <v>136</v>
      </c>
      <c r="D394" s="1" t="e">
        <f t="array" aca="1" ref="D394" ca="1">_xludf.XLOOKUP(C394,'country region mapping'!$A$2:$A$250, 'country region mapping'!$E$2:$E$250)</f>
        <v>#NAME?</v>
      </c>
      <c r="E394" s="1" t="e">
        <f t="array" aca="1" ref="E394" ca="1">_xludf.XLOOKUP(C394,'country region mapping'!$A$2:$A$267,'country region mapping'!$F$2:$F$267)</f>
        <v>#NAME?</v>
      </c>
      <c r="F394" s="1" t="e">
        <f t="array" aca="1" ref="F394" ca="1">_xludf.XLOOKUP(C394,'country region mapping'!$A$2:$A$267,'country region mapping'!$G$2:$G$267)</f>
        <v>#NAME?</v>
      </c>
      <c r="G394" s="1">
        <v>4.9749999999999996</v>
      </c>
      <c r="H394" s="1">
        <v>45</v>
      </c>
      <c r="I394" s="1">
        <v>55</v>
      </c>
      <c r="J394" s="1">
        <v>47</v>
      </c>
      <c r="K394" s="1">
        <v>42</v>
      </c>
      <c r="L394" s="1">
        <v>134</v>
      </c>
      <c r="M394" s="1">
        <v>96</v>
      </c>
      <c r="N394" s="1">
        <v>58</v>
      </c>
      <c r="O394" s="1">
        <v>140</v>
      </c>
      <c r="P394" s="1">
        <v>102</v>
      </c>
      <c r="Q394" s="1">
        <v>96</v>
      </c>
      <c r="R394" s="1">
        <v>127</v>
      </c>
      <c r="S394" s="1">
        <v>95</v>
      </c>
    </row>
    <row r="395" spans="1:19">
      <c r="A395" s="1">
        <v>2023</v>
      </c>
      <c r="B395" s="1">
        <v>99</v>
      </c>
      <c r="C395" s="1" t="s">
        <v>204</v>
      </c>
      <c r="D395" s="1" t="e">
        <f t="array" aca="1" ref="D395" ca="1">_xludf.XLOOKUP(C395,'country region mapping'!$A$2:$A$250, 'country region mapping'!$E$2:$E$250)</f>
        <v>#NAME?</v>
      </c>
      <c r="E395" s="1" t="e">
        <f t="array" aca="1" ref="E395" ca="1">_xludf.XLOOKUP(C395,'country region mapping'!$A$2:$A$267,'country region mapping'!$F$2:$F$267)</f>
        <v>#NAME?</v>
      </c>
      <c r="F395" s="1" t="e">
        <f t="array" aca="1" ref="F395" ca="1">_xludf.XLOOKUP(C395,'country region mapping'!$A$2:$A$267,'country region mapping'!$G$2:$G$267)</f>
        <v>#NAME?</v>
      </c>
      <c r="G395" s="1">
        <v>4.9690000000000003</v>
      </c>
      <c r="H395" s="1">
        <v>104</v>
      </c>
      <c r="I395" s="1">
        <v>116</v>
      </c>
      <c r="J395" s="1">
        <v>115</v>
      </c>
      <c r="K395" s="1">
        <v>92</v>
      </c>
      <c r="L395" s="1">
        <v>71</v>
      </c>
      <c r="M395" s="1">
        <v>83</v>
      </c>
      <c r="N395" s="1">
        <v>100</v>
      </c>
      <c r="O395" s="1">
        <v>4</v>
      </c>
      <c r="P395" s="1">
        <v>62</v>
      </c>
      <c r="Q395" s="1">
        <v>83</v>
      </c>
      <c r="R395" s="1">
        <v>58</v>
      </c>
      <c r="S395" s="1">
        <v>5</v>
      </c>
    </row>
    <row r="396" spans="1:19">
      <c r="A396" s="1">
        <v>2023</v>
      </c>
      <c r="B396" s="1">
        <v>100</v>
      </c>
      <c r="C396" s="1" t="s">
        <v>169</v>
      </c>
      <c r="D396" s="1" t="e">
        <f t="array" aca="1" ref="D396" ca="1">_xludf.XLOOKUP(C396,'country region mapping'!$A$2:$A$267,'country region mapping'!$E$2:$E$267)</f>
        <v>#NAME?</v>
      </c>
      <c r="E396" s="1" t="e">
        <f t="array" aca="1" ref="E396" ca="1">_xludf.XLOOKUP(C396,'country region mapping'!$A$2:$A$267,'country region mapping'!$F$2:$F$267)</f>
        <v>#NAME?</v>
      </c>
      <c r="F396" s="1" t="e">
        <f t="array" aca="1" ref="F396" ca="1">_xludf.XLOOKUP(C396,'country region mapping'!$A$2:$A$267,'country region mapping'!$G$2:$G$267)</f>
        <v>#NAME?</v>
      </c>
      <c r="G396" s="1">
        <v>4.923</v>
      </c>
      <c r="H396" s="1">
        <v>82</v>
      </c>
      <c r="I396" s="1">
        <v>77</v>
      </c>
      <c r="J396" s="1">
        <v>73</v>
      </c>
      <c r="K396" s="1">
        <v>54</v>
      </c>
      <c r="L396" s="1">
        <v>127</v>
      </c>
      <c r="M396" s="1">
        <v>20</v>
      </c>
      <c r="N396" s="1">
        <v>66</v>
      </c>
      <c r="O396" s="1">
        <v>121</v>
      </c>
      <c r="P396" s="1">
        <v>130</v>
      </c>
      <c r="Q396" s="1">
        <v>20</v>
      </c>
      <c r="R396" s="1">
        <v>107</v>
      </c>
      <c r="S396" s="1">
        <v>34</v>
      </c>
    </row>
    <row r="397" spans="1:19">
      <c r="A397" s="1">
        <v>2023</v>
      </c>
      <c r="B397" s="1">
        <v>101</v>
      </c>
      <c r="C397" s="1" t="s">
        <v>140</v>
      </c>
      <c r="D397" s="1" t="e">
        <f t="array" aca="1" ref="D397" ca="1">_xludf.XLOOKUP(C397,'country region mapping'!$A$2:$A$250, 'country region mapping'!$E$2:$E$250)</f>
        <v>#NAME?</v>
      </c>
      <c r="E397" s="1" t="e">
        <f t="array" aca="1" ref="E397" ca="1">_xludf.XLOOKUP(C397,'country region mapping'!$A$2:$A$267,'country region mapping'!$F$2:$F$267)</f>
        <v>#NAME?</v>
      </c>
      <c r="F397" s="1" t="e">
        <f t="array" aca="1" ref="F397" ca="1">_xludf.XLOOKUP(C397,'country region mapping'!$A$2:$A$267,'country region mapping'!$G$2:$G$267)</f>
        <v>#NAME?</v>
      </c>
      <c r="G397" s="1">
        <v>4.8929999999999998</v>
      </c>
      <c r="H397" s="1">
        <v>66</v>
      </c>
      <c r="I397" s="1">
        <v>104</v>
      </c>
      <c r="J397" s="1">
        <v>62</v>
      </c>
      <c r="K397" s="1"/>
      <c r="L397" s="1">
        <v>63</v>
      </c>
      <c r="M397" s="1">
        <v>121</v>
      </c>
      <c r="N397" s="1">
        <v>26</v>
      </c>
      <c r="O397" s="1">
        <v>127</v>
      </c>
      <c r="P397" s="1">
        <v>32</v>
      </c>
      <c r="Q397" s="1">
        <v>121</v>
      </c>
      <c r="R397" s="1">
        <v>129</v>
      </c>
      <c r="S397" s="1">
        <v>73</v>
      </c>
    </row>
    <row r="398" spans="1:19">
      <c r="A398" s="1">
        <v>2023</v>
      </c>
      <c r="B398" s="1">
        <v>102</v>
      </c>
      <c r="C398" s="1" t="s">
        <v>165</v>
      </c>
      <c r="D398" s="1" t="e">
        <f t="array" aca="1" ref="D398" ca="1">_xludf.XLOOKUP(C398,'country region mapping'!$A$2:$A$250, 'country region mapping'!$E$2:$E$250)</f>
        <v>#NAME?</v>
      </c>
      <c r="E398" s="1" t="e">
        <f t="array" aca="1" ref="E398" ca="1">_xludf.XLOOKUP(C398,'country region mapping'!$A$2:$A$267,'country region mapping'!$F$2:$F$267)</f>
        <v>#NAME?</v>
      </c>
      <c r="F398" s="1" t="e">
        <f t="array" aca="1" ref="F398" ca="1">_xludf.XLOOKUP(C398,'country region mapping'!$A$2:$A$267,'country region mapping'!$G$2:$G$267)</f>
        <v>#NAME?</v>
      </c>
      <c r="G398" s="1">
        <v>4.8810000000000002</v>
      </c>
      <c r="H398" s="1">
        <v>90</v>
      </c>
      <c r="I398" s="1">
        <v>88</v>
      </c>
      <c r="J398" s="1">
        <v>109</v>
      </c>
      <c r="K398" s="1">
        <v>104</v>
      </c>
      <c r="L398" s="1">
        <v>111</v>
      </c>
      <c r="M398" s="1">
        <v>36</v>
      </c>
      <c r="N398" s="1">
        <v>118</v>
      </c>
      <c r="O398" s="1">
        <v>42</v>
      </c>
      <c r="P398" s="1">
        <v>65</v>
      </c>
      <c r="Q398" s="1">
        <v>36</v>
      </c>
      <c r="R398" s="1">
        <v>3</v>
      </c>
      <c r="S398" s="1">
        <v>3</v>
      </c>
    </row>
    <row r="399" spans="1:19">
      <c r="A399" s="1">
        <v>2023</v>
      </c>
      <c r="B399" s="1">
        <v>103</v>
      </c>
      <c r="C399" s="1" t="s">
        <v>173</v>
      </c>
      <c r="D399" s="1" t="e">
        <f t="array" aca="1" ref="D399" ca="1">_xludf.XLOOKUP(C399,'country region mapping'!$A$2:$A$267,'country region mapping'!$E$2:$E$267)</f>
        <v>#NAME?</v>
      </c>
      <c r="E399" s="1" t="e">
        <f t="array" aca="1" ref="E399" ca="1">_xludf.XLOOKUP(C399,'country region mapping'!$A$2:$A$267,'country region mapping'!$F$2:$F$267)</f>
        <v>#NAME?</v>
      </c>
      <c r="F399" s="1" t="e">
        <f t="array" aca="1" ref="F399" ca="1">_xludf.XLOOKUP(C399,'country region mapping'!$A$2:$A$267,'country region mapping'!$G$2:$G$267)</f>
        <v>#NAME?</v>
      </c>
      <c r="G399" s="1">
        <v>4.8789999999999996</v>
      </c>
      <c r="H399" s="1">
        <v>107</v>
      </c>
      <c r="I399" s="1">
        <v>70</v>
      </c>
      <c r="K399" s="1"/>
      <c r="L399" s="1">
        <v>114</v>
      </c>
      <c r="M399" s="14">
        <v>120</v>
      </c>
      <c r="N399" s="14">
        <v>84</v>
      </c>
      <c r="O399" s="14">
        <v>106</v>
      </c>
      <c r="P399" s="14"/>
      <c r="Q399" s="14">
        <v>120</v>
      </c>
      <c r="R399" s="14">
        <v>123</v>
      </c>
      <c r="S399" s="14">
        <v>66</v>
      </c>
    </row>
    <row r="400" spans="1:19">
      <c r="A400" s="1">
        <v>2023</v>
      </c>
      <c r="B400" s="1">
        <v>104</v>
      </c>
      <c r="C400" s="1" t="s">
        <v>182</v>
      </c>
      <c r="D400" s="1" t="e">
        <f t="array" aca="1" ref="D400" ca="1">_xludf.XLOOKUP(C400,'country region mapping'!$A$2:$A$250, 'country region mapping'!$E$2:$E$250)</f>
        <v>#NAME?</v>
      </c>
      <c r="E400" s="1" t="e">
        <f t="array" aca="1" ref="E400" ca="1">_xludf.XLOOKUP(C400,'country region mapping'!$A$2:$A$267,'country region mapping'!$F$2:$F$267)</f>
        <v>#NAME?</v>
      </c>
      <c r="F400" s="1" t="e">
        <f t="array" aca="1" ref="F400" ca="1">_xludf.XLOOKUP(C400,'country region mapping'!$A$2:$A$267,'country region mapping'!$G$2:$G$267)</f>
        <v>#NAME?</v>
      </c>
      <c r="G400" s="1">
        <v>4.8739999999999997</v>
      </c>
      <c r="H400" s="1">
        <v>123</v>
      </c>
      <c r="I400" s="1">
        <v>103</v>
      </c>
      <c r="J400" s="1">
        <v>112</v>
      </c>
      <c r="K400" s="1">
        <v>108</v>
      </c>
      <c r="L400" s="1">
        <v>100</v>
      </c>
      <c r="M400" s="1">
        <v>106</v>
      </c>
      <c r="N400" s="1">
        <v>108</v>
      </c>
      <c r="O400" s="1">
        <v>102</v>
      </c>
      <c r="P400" s="1">
        <v>106</v>
      </c>
      <c r="Q400" s="1">
        <v>106</v>
      </c>
      <c r="R400" s="1">
        <v>76</v>
      </c>
      <c r="S400" s="1">
        <v>41</v>
      </c>
    </row>
    <row r="401" spans="1:19">
      <c r="A401" s="1">
        <v>2023</v>
      </c>
      <c r="B401" s="1">
        <v>105</v>
      </c>
      <c r="C401" s="1" t="s">
        <v>195</v>
      </c>
      <c r="D401" s="1" t="e">
        <f t="array" aca="1" ref="D401" ca="1">_xludf.XLOOKUP(C401,'country region mapping'!$A$2:$A$250, 'country region mapping'!$E$2:$E$250)</f>
        <v>#NAME?</v>
      </c>
      <c r="E401" s="1" t="e">
        <f t="array" aca="1" ref="E401" ca="1">_xludf.XLOOKUP(C401,'country region mapping'!$A$2:$A$267,'country region mapping'!$F$2:$F$267)</f>
        <v>#NAME?</v>
      </c>
      <c r="F401" s="1" t="e">
        <f t="array" aca="1" ref="F401" ca="1">_xludf.XLOOKUP(C401,'country region mapping'!$A$2:$A$267,'country region mapping'!$G$2:$G$267)</f>
        <v>#NAME?</v>
      </c>
      <c r="G401" s="1">
        <v>4.8730000000000002</v>
      </c>
      <c r="H401" s="1">
        <v>76</v>
      </c>
      <c r="I401" s="1">
        <v>66</v>
      </c>
      <c r="J401" s="1">
        <v>74</v>
      </c>
      <c r="K401" s="1">
        <v>78</v>
      </c>
      <c r="L401" s="1">
        <v>82</v>
      </c>
      <c r="M401" s="1">
        <v>6</v>
      </c>
      <c r="N401" s="1">
        <v>132</v>
      </c>
      <c r="O401" s="1">
        <v>131</v>
      </c>
      <c r="P401" s="1">
        <v>117</v>
      </c>
      <c r="Q401" s="1">
        <v>6</v>
      </c>
      <c r="R401" s="1">
        <v>52</v>
      </c>
      <c r="S401" s="1">
        <v>8</v>
      </c>
    </row>
    <row r="402" spans="1:19">
      <c r="A402" s="1">
        <v>2023</v>
      </c>
      <c r="B402" s="1">
        <v>106</v>
      </c>
      <c r="C402" s="1" t="s">
        <v>181</v>
      </c>
      <c r="D402" s="1" t="e">
        <f t="array" aca="1" ref="D402" ca="1">_xludf.XLOOKUP(C402,'country region mapping'!$A$2:$A$250, 'country region mapping'!$E$2:$E$250)</f>
        <v>#NAME?</v>
      </c>
      <c r="E402" s="1" t="e">
        <f t="array" aca="1" ref="E402" ca="1">_xludf.XLOOKUP(C402,'country region mapping'!$A$2:$A$267,'country region mapping'!$F$2:$F$267)</f>
        <v>#NAME?</v>
      </c>
      <c r="F402" s="1" t="e">
        <f t="array" aca="1" ref="F402" ca="1">_xludf.XLOOKUP(C402,'country region mapping'!$A$2:$A$267,'country region mapping'!$G$2:$G$267)</f>
        <v>#NAME?</v>
      </c>
      <c r="G402" s="1">
        <v>4.8319999999999999</v>
      </c>
      <c r="H402" s="1">
        <v>89</v>
      </c>
      <c r="I402" s="1">
        <v>59</v>
      </c>
      <c r="J402" s="1">
        <v>91</v>
      </c>
      <c r="K402" s="1">
        <v>121</v>
      </c>
      <c r="L402" s="1">
        <v>113</v>
      </c>
      <c r="M402" s="1">
        <v>116</v>
      </c>
      <c r="N402" s="1">
        <v>117</v>
      </c>
      <c r="O402" s="1">
        <v>88</v>
      </c>
      <c r="P402" s="1">
        <v>28</v>
      </c>
      <c r="Q402" s="1">
        <v>116</v>
      </c>
      <c r="R402" s="1">
        <v>44</v>
      </c>
      <c r="S402" s="1">
        <v>51</v>
      </c>
    </row>
    <row r="403" spans="1:19">
      <c r="A403" s="1">
        <v>2023</v>
      </c>
      <c r="B403" s="1">
        <v>107</v>
      </c>
      <c r="C403" s="1" t="s">
        <v>150</v>
      </c>
      <c r="D403" s="1" t="e">
        <f t="array" aca="1" ref="D403" ca="1">_xludf.XLOOKUP(C403,'country region mapping'!$A$2:$A$250, 'country region mapping'!$E$2:$E$250)</f>
        <v>#NAME?</v>
      </c>
      <c r="E403" s="1" t="e">
        <f t="array" aca="1" ref="E403" ca="1">_xludf.XLOOKUP(C403,'country region mapping'!$A$2:$A$267,'country region mapping'!$F$2:$F$267)</f>
        <v>#NAME?</v>
      </c>
      <c r="F403" s="1" t="e">
        <f t="array" aca="1" ref="F403" ca="1">_xludf.XLOOKUP(C403,'country region mapping'!$A$2:$A$267,'country region mapping'!$G$2:$G$267)</f>
        <v>#NAME?</v>
      </c>
      <c r="G403" s="1">
        <v>4.7949999999999999</v>
      </c>
      <c r="H403" s="1">
        <v>115</v>
      </c>
      <c r="I403" s="1">
        <v>136</v>
      </c>
      <c r="J403" s="1">
        <v>97</v>
      </c>
      <c r="K403" s="1">
        <v>72</v>
      </c>
      <c r="L403" s="1">
        <v>65</v>
      </c>
      <c r="M403" s="1">
        <v>111</v>
      </c>
      <c r="N403" s="1">
        <v>95</v>
      </c>
      <c r="O403" s="1">
        <v>112</v>
      </c>
      <c r="P403" s="1">
        <v>125</v>
      </c>
      <c r="Q403" s="1">
        <v>111</v>
      </c>
      <c r="R403" s="1">
        <v>108</v>
      </c>
      <c r="S403" s="1">
        <v>17</v>
      </c>
    </row>
    <row r="404" spans="1:19">
      <c r="A404" s="1">
        <v>2023</v>
      </c>
      <c r="B404" s="1">
        <v>108</v>
      </c>
      <c r="C404" s="1" t="s">
        <v>152</v>
      </c>
      <c r="D404" s="1" t="e">
        <f t="array" aca="1" ref="D404" ca="1">_xludf.XLOOKUP(C404,'country region mapping'!$A$2:$A$250, 'country region mapping'!$E$2:$E$250)</f>
        <v>#NAME?</v>
      </c>
      <c r="E404" s="1" t="e">
        <f t="array" aca="1" ref="E404" ca="1">_xludf.XLOOKUP(C404,'country region mapping'!$A$2:$A$267,'country region mapping'!$F$2:$F$267)</f>
        <v>#NAME?</v>
      </c>
      <c r="F404" s="1" t="e">
        <f t="array" aca="1" ref="F404" ca="1">_xludf.XLOOKUP(C404,'country region mapping'!$A$2:$A$267,'country region mapping'!$G$2:$G$267)</f>
        <v>#NAME?</v>
      </c>
      <c r="G404" s="1">
        <v>4.657</v>
      </c>
      <c r="H404" s="1">
        <v>100</v>
      </c>
      <c r="I404" s="1">
        <v>134</v>
      </c>
      <c r="J404" s="1">
        <v>110</v>
      </c>
      <c r="K404" s="1">
        <v>100</v>
      </c>
      <c r="L404" s="1">
        <v>123</v>
      </c>
      <c r="M404" s="1">
        <v>69</v>
      </c>
      <c r="N404" s="1">
        <v>123</v>
      </c>
      <c r="O404" s="1">
        <v>129</v>
      </c>
      <c r="P404" s="1">
        <v>127</v>
      </c>
      <c r="Q404" s="1">
        <v>69</v>
      </c>
      <c r="R404" s="1">
        <v>99</v>
      </c>
      <c r="S404" s="1">
        <v>124</v>
      </c>
    </row>
    <row r="405" spans="1:19">
      <c r="A405" s="1">
        <v>2023</v>
      </c>
      <c r="B405" s="1">
        <v>109</v>
      </c>
      <c r="C405" s="1" t="s">
        <v>224</v>
      </c>
      <c r="D405" s="1" t="e">
        <f t="array" aca="1" ref="D405" ca="1">_xludf.XLOOKUP(C405,'country region mapping'!$A$2:$A$250, 'country region mapping'!$E$2:$E$250)</f>
        <v>#NAME?</v>
      </c>
      <c r="E405" s="1" t="e">
        <f t="array" aca="1" ref="E405" ca="1">_xludf.XLOOKUP(C405,'country region mapping'!$A$2:$A$267,'country region mapping'!$F$2:$F$267)</f>
        <v>#NAME?</v>
      </c>
      <c r="F405" s="1" t="e">
        <f t="array" aca="1" ref="F405" ca="1">_xludf.XLOOKUP(C405,'country region mapping'!$A$2:$A$267,'country region mapping'!$G$2:$G$267)</f>
        <v>#NAME?</v>
      </c>
      <c r="G405" s="1">
        <v>4.556</v>
      </c>
      <c r="H405" s="1">
        <v>129</v>
      </c>
      <c r="I405" s="1">
        <v>122</v>
      </c>
      <c r="J405" s="1">
        <v>130</v>
      </c>
      <c r="K405" s="1"/>
      <c r="L405" s="1">
        <v>83</v>
      </c>
      <c r="M405" s="1">
        <v>117</v>
      </c>
      <c r="O405" s="1">
        <v>30</v>
      </c>
      <c r="P405" s="1">
        <v>126</v>
      </c>
      <c r="Q405" s="1">
        <v>117</v>
      </c>
      <c r="R405" s="1">
        <v>85</v>
      </c>
      <c r="S405" s="1">
        <v>10</v>
      </c>
    </row>
    <row r="406" spans="1:19">
      <c r="A406" s="1">
        <v>2023</v>
      </c>
      <c r="B406" s="1">
        <v>110</v>
      </c>
      <c r="C406" s="1" t="s">
        <v>229</v>
      </c>
      <c r="D406" s="1" t="e">
        <f t="array" aca="1" ref="D406" ca="1">_xludf.XLOOKUP(C406,'country region mapping'!$A$2:$A$250, 'country region mapping'!$E$2:$E$250)</f>
        <v>#NAME?</v>
      </c>
      <c r="E406" s="1" t="e">
        <f t="array" aca="1" ref="E406" ca="1">_xludf.XLOOKUP(C406,'country region mapping'!$A$2:$A$267,'country region mapping'!$F$2:$F$267)</f>
        <v>#NAME?</v>
      </c>
      <c r="F406" s="1" t="e">
        <f t="array" aca="1" ref="F406" ca="1">_xludf.XLOOKUP(C406,'country region mapping'!$A$2:$A$267,'country region mapping'!$G$2:$G$267)</f>
        <v>#NAME?</v>
      </c>
      <c r="G406" s="1">
        <v>4.548</v>
      </c>
      <c r="H406" s="1">
        <v>75</v>
      </c>
      <c r="I406" s="1">
        <v>130</v>
      </c>
      <c r="J406" s="1">
        <v>127</v>
      </c>
      <c r="K406" s="1">
        <v>107</v>
      </c>
      <c r="L406" s="1">
        <v>113</v>
      </c>
      <c r="M406" s="1">
        <v>77</v>
      </c>
      <c r="N406" s="1">
        <v>31</v>
      </c>
      <c r="O406" s="1">
        <v>83</v>
      </c>
      <c r="P406" s="1">
        <v>101</v>
      </c>
      <c r="Q406" s="1">
        <v>77</v>
      </c>
      <c r="R406" s="1">
        <v>54</v>
      </c>
      <c r="S406" s="1">
        <v>64</v>
      </c>
    </row>
    <row r="407" spans="1:19">
      <c r="A407" s="1">
        <v>2023</v>
      </c>
      <c r="B407" s="1">
        <v>111</v>
      </c>
      <c r="C407" s="1" t="s">
        <v>206</v>
      </c>
      <c r="D407" s="1" t="e">
        <f t="array" aca="1" ref="D407" ca="1">_xludf.XLOOKUP(C407,'country region mapping'!$A$2:$A$250, 'country region mapping'!$E$2:$E$250)</f>
        <v>#NAME?</v>
      </c>
      <c r="E407" s="1" t="e">
        <f t="array" aca="1" ref="E407" ca="1">_xludf.XLOOKUP(C407,'country region mapping'!$A$2:$A$267,'country region mapping'!$F$2:$F$267)</f>
        <v>#NAME?</v>
      </c>
      <c r="F407" s="1" t="e">
        <f t="array" aca="1" ref="F407" ca="1">_xludf.XLOOKUP(C407,'country region mapping'!$A$2:$A$267,'country region mapping'!$G$2:$G$267)</f>
        <v>#NAME?</v>
      </c>
      <c r="G407" s="1">
        <v>4.5049999999999999</v>
      </c>
      <c r="H407" s="1">
        <v>86</v>
      </c>
      <c r="I407" s="1">
        <v>128</v>
      </c>
      <c r="J407" s="1">
        <v>106</v>
      </c>
      <c r="K407" s="1"/>
      <c r="L407" s="1">
        <v>133</v>
      </c>
      <c r="M407" s="1">
        <v>82</v>
      </c>
      <c r="N407" s="1">
        <v>38</v>
      </c>
      <c r="O407" s="1">
        <v>52</v>
      </c>
      <c r="P407" s="1">
        <v>94</v>
      </c>
      <c r="Q407" s="1">
        <v>82</v>
      </c>
      <c r="R407" s="1">
        <v>43</v>
      </c>
      <c r="S407" s="1">
        <v>47</v>
      </c>
    </row>
    <row r="408" spans="1:19">
      <c r="A408" s="1">
        <v>2023</v>
      </c>
      <c r="B408" s="1">
        <v>112</v>
      </c>
      <c r="C408" s="1" t="s">
        <v>403</v>
      </c>
      <c r="D408" s="1" t="e">
        <f t="array" aca="1" ref="D408" ca="1">_xludf.XLOOKUP(C408,'country region mapping'!$A$2:$A$250, 'country region mapping'!$E$2:$E$250)</f>
        <v>#NAME?</v>
      </c>
      <c r="E408" s="1" t="e">
        <f t="array" aca="1" ref="E408" ca="1">_xludf.XLOOKUP(C408,'country region mapping'!$A$2:$A$267,'country region mapping'!$F$2:$F$267)</f>
        <v>#NAME?</v>
      </c>
      <c r="F408" s="1" t="e">
        <f t="array" aca="1" ref="F408" ca="1">_xludf.XLOOKUP(C408,'country region mapping'!$A$2:$A$267,'country region mapping'!$G$2:$G$267)</f>
        <v>#NAME?</v>
      </c>
      <c r="G408" s="1">
        <v>4.4850000000000003</v>
      </c>
      <c r="H408" s="1">
        <v>103</v>
      </c>
      <c r="I408" s="1">
        <v>120</v>
      </c>
      <c r="J408" s="1">
        <v>123</v>
      </c>
      <c r="K408" s="1"/>
      <c r="L408" s="1">
        <v>108</v>
      </c>
      <c r="M408" s="1">
        <v>13</v>
      </c>
      <c r="N408" s="1">
        <v>107</v>
      </c>
      <c r="O408" s="1">
        <v>45</v>
      </c>
      <c r="P408" s="1">
        <v>74</v>
      </c>
      <c r="Q408" s="1">
        <v>13</v>
      </c>
      <c r="R408" s="1">
        <v>7</v>
      </c>
      <c r="S408" s="1">
        <v>6</v>
      </c>
    </row>
    <row r="409" spans="1:19">
      <c r="A409" s="1">
        <v>2023</v>
      </c>
      <c r="B409" s="1">
        <v>113</v>
      </c>
      <c r="C409" s="1" t="s">
        <v>227</v>
      </c>
      <c r="D409" s="1" t="e">
        <f t="array" aca="1" ref="D409" ca="1">_xludf.XLOOKUP(C409,'country region mapping'!$A$2:$A$250, 'country region mapping'!$E$2:$E$250)</f>
        <v>#NAME?</v>
      </c>
      <c r="E409" s="1" t="e">
        <f t="array" aca="1" ref="E409" ca="1">_xludf.XLOOKUP(C409,'country region mapping'!$A$2:$A$267,'country region mapping'!$F$2:$F$267)</f>
        <v>#NAME?</v>
      </c>
      <c r="F409" s="1" t="e">
        <f t="array" aca="1" ref="F409" ca="1">_xludf.XLOOKUP(C409,'country region mapping'!$A$2:$A$267,'country region mapping'!$G$2:$G$267)</f>
        <v>#NAME?</v>
      </c>
      <c r="G409" s="1">
        <v>4.4710000000000001</v>
      </c>
      <c r="H409" s="1">
        <v>119</v>
      </c>
      <c r="I409" s="1">
        <v>127</v>
      </c>
      <c r="J409" s="1">
        <v>131</v>
      </c>
      <c r="K409" s="1"/>
      <c r="L409" s="1">
        <v>129</v>
      </c>
      <c r="M409" s="1">
        <v>76</v>
      </c>
      <c r="N409" s="1">
        <v>62</v>
      </c>
      <c r="O409" s="1">
        <v>117</v>
      </c>
      <c r="P409" s="1">
        <v>137</v>
      </c>
      <c r="Q409" s="1">
        <v>76</v>
      </c>
      <c r="R409" s="1">
        <v>31</v>
      </c>
      <c r="S409" s="1">
        <v>20</v>
      </c>
    </row>
    <row r="410" spans="1:19">
      <c r="A410" s="1">
        <v>2023</v>
      </c>
      <c r="B410" s="1">
        <v>114</v>
      </c>
      <c r="C410" s="1" t="s">
        <v>193</v>
      </c>
      <c r="D410" s="1" t="e">
        <f t="array" aca="1" ref="D410" ca="1">_xludf.XLOOKUP(C410,'country region mapping'!$A$2:$A$250, 'country region mapping'!$E$2:$E$250)</f>
        <v>#NAME?</v>
      </c>
      <c r="E410" s="1" t="e">
        <f t="array" aca="1" ref="E410" ca="1">_xludf.XLOOKUP(C410,'country region mapping'!$A$2:$A$267,'country region mapping'!$F$2:$F$267)</f>
        <v>#NAME?</v>
      </c>
      <c r="F410" s="1" t="e">
        <f t="array" aca="1" ref="F410" ca="1">_xludf.XLOOKUP(C410,'country region mapping'!$A$2:$A$267,'country region mapping'!$G$2:$G$267)</f>
        <v>#NAME?</v>
      </c>
      <c r="G410" s="1">
        <v>4.47</v>
      </c>
      <c r="H410" s="1">
        <v>134</v>
      </c>
      <c r="I410" s="1">
        <v>105</v>
      </c>
      <c r="J410" s="1">
        <v>108</v>
      </c>
      <c r="K410" s="1">
        <v>94</v>
      </c>
      <c r="L410" s="1">
        <v>103</v>
      </c>
      <c r="M410" s="1">
        <v>24</v>
      </c>
      <c r="N410" s="1">
        <v>80</v>
      </c>
      <c r="O410" s="1">
        <v>21</v>
      </c>
      <c r="P410" s="1">
        <v>47</v>
      </c>
      <c r="Q410" s="1">
        <v>24</v>
      </c>
      <c r="R410" s="1">
        <v>4</v>
      </c>
      <c r="S410" s="1">
        <v>1</v>
      </c>
    </row>
    <row r="411" spans="1:19">
      <c r="A411" s="1">
        <v>2023</v>
      </c>
      <c r="B411" s="1">
        <v>115</v>
      </c>
      <c r="C411" s="1" t="s">
        <v>159</v>
      </c>
      <c r="D411" s="1" t="e">
        <f t="array" aca="1" ref="D411" ca="1">_xludf.XLOOKUP(C411,'country region mapping'!$A$2:$A$250, 'country region mapping'!$E$2:$E$250)</f>
        <v>#NAME?</v>
      </c>
      <c r="E411" s="1" t="e">
        <f t="array" aca="1" ref="E411" ca="1">_xludf.XLOOKUP(C411,'country region mapping'!$A$2:$A$267,'country region mapping'!$F$2:$F$267)</f>
        <v>#NAME?</v>
      </c>
      <c r="F411" s="1" t="e">
        <f t="array" aca="1" ref="F411" ca="1">_xludf.XLOOKUP(C411,'country region mapping'!$A$2:$A$267,'country region mapping'!$G$2:$G$267)</f>
        <v>#NAME?</v>
      </c>
      <c r="G411" s="1">
        <v>4.4219999999999997</v>
      </c>
      <c r="H411" s="1">
        <v>29</v>
      </c>
      <c r="I411" s="1">
        <v>106</v>
      </c>
      <c r="J411" s="1">
        <v>85</v>
      </c>
      <c r="K411" s="1">
        <v>62</v>
      </c>
      <c r="L411" s="1">
        <v>137</v>
      </c>
      <c r="M411" s="1">
        <v>138</v>
      </c>
      <c r="N411" s="1">
        <v>120</v>
      </c>
      <c r="O411" s="1">
        <v>134</v>
      </c>
      <c r="P411" s="1">
        <v>112</v>
      </c>
      <c r="Q411" s="1">
        <v>138</v>
      </c>
      <c r="R411" s="1">
        <v>125</v>
      </c>
      <c r="S411" s="1">
        <v>100</v>
      </c>
    </row>
    <row r="412" spans="1:19">
      <c r="A412" s="1">
        <v>2023</v>
      </c>
      <c r="B412" s="1">
        <v>116</v>
      </c>
      <c r="C412" s="1" t="s">
        <v>244</v>
      </c>
      <c r="D412" s="1" t="e">
        <f t="array" aca="1" ref="D412" ca="1">_xludf.XLOOKUP(C412,'country region mapping'!$A$2:$A$250, 'country region mapping'!$E$2:$E$250)</f>
        <v>#NAME?</v>
      </c>
      <c r="E412" s="1" t="e">
        <f t="array" aca="1" ref="E412" ca="1">_xludf.XLOOKUP(C412,'country region mapping'!$A$2:$A$267,'country region mapping'!$F$2:$F$267)</f>
        <v>#NAME?</v>
      </c>
      <c r="F412" s="1" t="e">
        <f t="array" aca="1" ref="F412" ca="1">_xludf.XLOOKUP(C412,'country region mapping'!$A$2:$A$267,'country region mapping'!$G$2:$G$267)</f>
        <v>#NAME?</v>
      </c>
      <c r="G412" s="1">
        <v>4.3769999999999998</v>
      </c>
      <c r="H412" s="1">
        <v>106</v>
      </c>
      <c r="I412" s="1">
        <v>140</v>
      </c>
      <c r="J412" s="1">
        <v>117</v>
      </c>
      <c r="K412" s="1">
        <v>103</v>
      </c>
      <c r="L412" s="1">
        <v>76</v>
      </c>
      <c r="M412" s="1">
        <v>131</v>
      </c>
      <c r="N412" s="1">
        <v>23</v>
      </c>
      <c r="O412" s="1">
        <v>110</v>
      </c>
      <c r="P412" s="1">
        <v>131</v>
      </c>
      <c r="Q412" s="1">
        <v>131</v>
      </c>
      <c r="R412" s="1">
        <v>110</v>
      </c>
      <c r="S412" s="1">
        <v>115</v>
      </c>
    </row>
    <row r="413" spans="1:19">
      <c r="A413" s="1">
        <v>2023</v>
      </c>
      <c r="B413" s="1">
        <v>117</v>
      </c>
      <c r="C413" s="1" t="s">
        <v>231</v>
      </c>
      <c r="D413" s="1" t="e">
        <f t="array" aca="1" ref="D413" ca="1">_xludf.XLOOKUP(C413,'country region mapping'!$A$2:$A$250, 'country region mapping'!$E$2:$E$250)</f>
        <v>#NAME?</v>
      </c>
      <c r="E413" s="1" t="e">
        <f t="array" aca="1" ref="E413" ca="1">_xludf.XLOOKUP(C413,'country region mapping'!$A$2:$A$267,'country region mapping'!$F$2:$F$267)</f>
        <v>#NAME?</v>
      </c>
      <c r="F413" s="1" t="e">
        <f t="array" aca="1" ref="F413" ca="1">_xludf.XLOOKUP(C413,'country region mapping'!$A$2:$A$267,'country region mapping'!$G$2:$G$267)</f>
        <v>#NAME?</v>
      </c>
      <c r="G413" s="1">
        <v>4.3719999999999999</v>
      </c>
      <c r="H413" s="1">
        <v>92</v>
      </c>
      <c r="I413" s="1">
        <v>71</v>
      </c>
      <c r="J413" s="1">
        <v>124</v>
      </c>
      <c r="K413" s="1">
        <v>99</v>
      </c>
      <c r="L413" s="1">
        <v>53</v>
      </c>
      <c r="M413" s="1">
        <v>86</v>
      </c>
      <c r="N413" s="1">
        <v>128</v>
      </c>
      <c r="O413" s="1">
        <v>39</v>
      </c>
      <c r="P413" s="1">
        <v>115</v>
      </c>
      <c r="Q413" s="1">
        <v>86</v>
      </c>
      <c r="R413" s="1">
        <v>96</v>
      </c>
      <c r="S413" s="1">
        <v>32</v>
      </c>
    </row>
    <row r="414" spans="1:19">
      <c r="A414" s="1">
        <v>2023</v>
      </c>
      <c r="B414" s="1">
        <v>118</v>
      </c>
      <c r="C414" s="1" t="s">
        <v>190</v>
      </c>
      <c r="D414" s="1" t="e">
        <f t="array" aca="1" ref="D414" ca="1">_xludf.XLOOKUP(C414,'country region mapping'!$A$2:$A$250, 'country region mapping'!$E$2:$E$250)</f>
        <v>#NAME?</v>
      </c>
      <c r="E414" s="1" t="e">
        <f t="array" aca="1" ref="E414" ca="1">_xludf.XLOOKUP(C414,'country region mapping'!$A$2:$A$267,'country region mapping'!$F$2:$F$267)</f>
        <v>#NAME?</v>
      </c>
      <c r="F414" s="1" t="e">
        <f t="array" aca="1" ref="F414" ca="1">_xludf.XLOOKUP(C414,'country region mapping'!$A$2:$A$267,'country region mapping'!$G$2:$G$267)</f>
        <v>#NAME?</v>
      </c>
      <c r="G414" s="1">
        <v>4.3540000000000001</v>
      </c>
      <c r="H414" s="1">
        <v>94</v>
      </c>
      <c r="I414" s="1">
        <v>113</v>
      </c>
      <c r="J414" s="1">
        <v>111</v>
      </c>
      <c r="K414" s="1">
        <v>91</v>
      </c>
      <c r="L414" s="1">
        <v>118</v>
      </c>
      <c r="M414" s="1">
        <v>2</v>
      </c>
      <c r="N414" s="1">
        <v>44</v>
      </c>
      <c r="O414" s="1">
        <v>89</v>
      </c>
      <c r="P414" s="1">
        <v>107</v>
      </c>
      <c r="Q414" s="1">
        <v>2</v>
      </c>
      <c r="R414" s="1">
        <v>86</v>
      </c>
      <c r="S414" s="1">
        <v>114</v>
      </c>
    </row>
    <row r="415" spans="1:19">
      <c r="A415" s="1">
        <v>2023</v>
      </c>
      <c r="B415" s="1">
        <v>119</v>
      </c>
      <c r="C415" s="1" t="s">
        <v>221</v>
      </c>
      <c r="D415" s="1" t="e">
        <f t="array" aca="1" ref="D415" ca="1">_xludf.XLOOKUP(C415,'country region mapping'!$A$2:$A$250, 'country region mapping'!$E$2:$E$250)</f>
        <v>#NAME?</v>
      </c>
      <c r="E415" s="1" t="e">
        <f t="array" aca="1" ref="E415" ca="1">_xludf.XLOOKUP(C415,'country region mapping'!$A$2:$A$267,'country region mapping'!$F$2:$F$267)</f>
        <v>#NAME?</v>
      </c>
      <c r="F415" s="1" t="e">
        <f t="array" aca="1" ref="F415" ca="1">_xludf.XLOOKUP(C415,'country region mapping'!$A$2:$A$267,'country region mapping'!$G$2:$G$267)</f>
        <v>#NAME?</v>
      </c>
      <c r="G415" s="1">
        <v>4.3410000000000002</v>
      </c>
      <c r="H415" s="1">
        <v>97</v>
      </c>
      <c r="I415" s="1">
        <v>97</v>
      </c>
      <c r="J415" s="1">
        <v>102</v>
      </c>
      <c r="K415" s="1">
        <v>86</v>
      </c>
      <c r="L415" s="1">
        <v>2</v>
      </c>
      <c r="M415" s="1">
        <v>71</v>
      </c>
      <c r="N415" s="1">
        <v>79</v>
      </c>
      <c r="O415" s="1">
        <v>62</v>
      </c>
      <c r="P415" s="1">
        <v>121</v>
      </c>
      <c r="Q415" s="1">
        <v>71</v>
      </c>
      <c r="R415" s="1">
        <v>138</v>
      </c>
      <c r="S415" s="1">
        <v>139</v>
      </c>
    </row>
    <row r="416" spans="1:19">
      <c r="A416" s="1">
        <v>2023</v>
      </c>
      <c r="B416" s="1">
        <v>120</v>
      </c>
      <c r="C416" s="1" t="s">
        <v>197</v>
      </c>
      <c r="D416" s="1" t="e">
        <f t="array" aca="1" ref="D416" ca="1">_xludf.XLOOKUP(C416,'country region mapping'!$A$2:$A$250, 'country region mapping'!$E$2:$E$250)</f>
        <v>#NAME?</v>
      </c>
      <c r="E416" s="1" t="e">
        <f t="array" aca="1" ref="E416" ca="1">_xludf.XLOOKUP(C416,'country region mapping'!$A$2:$A$267,'country region mapping'!$F$2:$F$267)</f>
        <v>#NAME?</v>
      </c>
      <c r="F416" s="1" t="e">
        <f t="array" aca="1" ref="F416" ca="1">_xludf.XLOOKUP(C416,'country region mapping'!$A$2:$A$267,'country region mapping'!$G$2:$G$267)</f>
        <v>#NAME?</v>
      </c>
      <c r="G416" s="1">
        <v>4.2889999999999997</v>
      </c>
      <c r="H416" s="1">
        <v>79</v>
      </c>
      <c r="I416" s="1">
        <v>119</v>
      </c>
      <c r="J416" s="1">
        <v>101</v>
      </c>
      <c r="K416" s="1">
        <v>97</v>
      </c>
      <c r="L416" s="1">
        <v>60</v>
      </c>
      <c r="M416" s="1">
        <v>65</v>
      </c>
      <c r="N416" s="1">
        <v>124</v>
      </c>
      <c r="O416" s="1">
        <v>84</v>
      </c>
      <c r="P416" s="1">
        <v>55</v>
      </c>
      <c r="Q416" s="1">
        <v>65</v>
      </c>
      <c r="R416" s="1">
        <v>18</v>
      </c>
      <c r="S416" s="1">
        <v>57</v>
      </c>
    </row>
    <row r="417" spans="1:19">
      <c r="A417" s="1">
        <v>2023</v>
      </c>
      <c r="B417" s="1">
        <v>121</v>
      </c>
      <c r="C417" s="1" t="s">
        <v>238</v>
      </c>
      <c r="D417" s="1" t="e">
        <f t="array" aca="1" ref="D417" ca="1">_xludf.XLOOKUP(C417,'country region mapping'!$A$2:$A$250, 'country region mapping'!$E$2:$E$250)</f>
        <v>#NAME?</v>
      </c>
      <c r="E417" s="1" t="e">
        <f t="array" aca="1" ref="E417" ca="1">_xludf.XLOOKUP(C417,'country region mapping'!$A$2:$A$267,'country region mapping'!$F$2:$F$267)</f>
        <v>#NAME?</v>
      </c>
      <c r="F417" s="1" t="e">
        <f t="array" aca="1" ref="F417" ca="1">_xludf.XLOOKUP(C417,'country region mapping'!$A$2:$A$267,'country region mapping'!$G$2:$G$267)</f>
        <v>#NAME?</v>
      </c>
      <c r="G417" s="1">
        <v>4.2690000000000001</v>
      </c>
      <c r="H417" s="1">
        <v>141</v>
      </c>
      <c r="I417" s="1">
        <v>124</v>
      </c>
      <c r="J417" s="1">
        <v>134</v>
      </c>
      <c r="K417" s="1"/>
      <c r="L417" s="1">
        <v>112</v>
      </c>
      <c r="M417" s="1">
        <v>107</v>
      </c>
      <c r="N417" s="1">
        <v>97</v>
      </c>
      <c r="O417" s="1">
        <v>98</v>
      </c>
      <c r="P417" s="1">
        <v>132</v>
      </c>
      <c r="Q417" s="1">
        <v>107</v>
      </c>
      <c r="R417" s="1">
        <v>2</v>
      </c>
      <c r="S417" s="1">
        <v>4</v>
      </c>
    </row>
    <row r="418" spans="1:19">
      <c r="A418" s="1">
        <v>2023</v>
      </c>
      <c r="B418" s="1">
        <v>122</v>
      </c>
      <c r="C418" s="1" t="s">
        <v>311</v>
      </c>
      <c r="D418" s="1" t="e">
        <f t="array" aca="1" ref="D418" ca="1">_xludf.XLOOKUP(C418,'country region mapping'!$A$2:$A$250, 'country region mapping'!$E$2:$E$250)</f>
        <v>#NAME?</v>
      </c>
      <c r="E418" s="1" t="e">
        <f t="array" aca="1" ref="E418" ca="1">_xludf.XLOOKUP(C418,'country region mapping'!$A$2:$A$267,'country region mapping'!$F$2:$F$267)</f>
        <v>#NAME?</v>
      </c>
      <c r="F418" s="1" t="e">
        <f t="array" aca="1" ref="F418" ca="1">_xludf.XLOOKUP(C418,'country region mapping'!$A$2:$A$267,'country region mapping'!$G$2:$G$267)</f>
        <v>#NAME?</v>
      </c>
      <c r="G418" s="1">
        <v>4.2320000000000002</v>
      </c>
      <c r="H418" s="1">
        <v>102</v>
      </c>
      <c r="I418" s="1">
        <v>121</v>
      </c>
      <c r="J418" s="1">
        <v>128</v>
      </c>
      <c r="K418" s="1">
        <v>109</v>
      </c>
      <c r="L418" s="1">
        <v>79</v>
      </c>
      <c r="M418" s="1">
        <v>133</v>
      </c>
      <c r="N418" s="1">
        <v>76</v>
      </c>
      <c r="O418" s="1">
        <v>75</v>
      </c>
      <c r="P418" s="1">
        <v>92</v>
      </c>
      <c r="Q418" s="1">
        <v>133</v>
      </c>
      <c r="R418" s="1">
        <v>61</v>
      </c>
      <c r="S418" s="1">
        <v>120</v>
      </c>
    </row>
    <row r="419" spans="1:19">
      <c r="A419" s="1">
        <v>2023</v>
      </c>
      <c r="B419" s="1">
        <v>123</v>
      </c>
      <c r="C419" s="1" t="s">
        <v>235</v>
      </c>
      <c r="D419" s="1" t="e">
        <f t="array" aca="1" ref="D419" ca="1">_xludf.XLOOKUP(C419,'country region mapping'!$A$2:$A$250, 'country region mapping'!$E$2:$E$250)</f>
        <v>#NAME?</v>
      </c>
      <c r="E419" s="1" t="e">
        <f t="array" aca="1" ref="E419" ca="1">_xludf.XLOOKUP(C419,'country region mapping'!$A$2:$A$267,'country region mapping'!$F$2:$F$267)</f>
        <v>#NAME?</v>
      </c>
      <c r="F419" s="1" t="e">
        <f t="array" aca="1" ref="F419" ca="1">_xludf.XLOOKUP(C419,'country region mapping'!$A$2:$A$267,'country region mapping'!$G$2:$G$267)</f>
        <v>#NAME?</v>
      </c>
      <c r="G419" s="1">
        <v>4.2279999999999998</v>
      </c>
      <c r="H419" s="1">
        <v>88</v>
      </c>
      <c r="I419" s="1">
        <v>110</v>
      </c>
      <c r="J419" s="1">
        <v>133</v>
      </c>
      <c r="K419" s="1"/>
      <c r="L419" s="1">
        <v>135</v>
      </c>
      <c r="M419" s="1">
        <v>87</v>
      </c>
      <c r="N419" s="1">
        <v>74</v>
      </c>
      <c r="O419" s="1">
        <v>47</v>
      </c>
      <c r="P419" s="1">
        <v>120</v>
      </c>
      <c r="Q419" s="1">
        <v>87</v>
      </c>
      <c r="R419" s="1">
        <v>11</v>
      </c>
      <c r="S419" s="1">
        <v>77</v>
      </c>
    </row>
    <row r="420" spans="1:19">
      <c r="A420" s="1">
        <v>2023</v>
      </c>
      <c r="B420" s="1">
        <v>124</v>
      </c>
      <c r="C420" s="1" t="s">
        <v>247</v>
      </c>
      <c r="D420" s="1" t="e">
        <f t="array" aca="1" ref="D420" ca="1">_xludf.XLOOKUP(C420,'country region mapping'!$A$2:$A$250, 'country region mapping'!$E$2:$E$250)</f>
        <v>#NAME?</v>
      </c>
      <c r="E420" s="1" t="e">
        <f t="array" aca="1" ref="E420" ca="1">_xludf.XLOOKUP(C420,'country region mapping'!$A$2:$A$267,'country region mapping'!$F$2:$F$267)</f>
        <v>#NAME?</v>
      </c>
      <c r="F420" s="1" t="e">
        <f t="array" aca="1" ref="F420" ca="1">_xludf.XLOOKUP(C420,'country region mapping'!$A$2:$A$267,'country region mapping'!$G$2:$G$267)</f>
        <v>#NAME?</v>
      </c>
      <c r="G420" s="1">
        <v>4.2140000000000004</v>
      </c>
      <c r="H420" s="1">
        <v>46</v>
      </c>
      <c r="I420" s="1">
        <v>135</v>
      </c>
      <c r="J420" s="1">
        <v>125</v>
      </c>
      <c r="K420" s="1">
        <v>102</v>
      </c>
      <c r="L420" s="1">
        <v>122</v>
      </c>
      <c r="M420" s="1">
        <v>134</v>
      </c>
      <c r="N420" s="1">
        <v>43</v>
      </c>
      <c r="O420" s="1">
        <v>114</v>
      </c>
      <c r="P420" s="1">
        <v>111</v>
      </c>
      <c r="Q420" s="1">
        <v>134</v>
      </c>
      <c r="R420" s="1">
        <v>115</v>
      </c>
      <c r="S420" s="1">
        <v>129</v>
      </c>
    </row>
    <row r="421" spans="1:19">
      <c r="A421" s="1">
        <v>2023</v>
      </c>
      <c r="B421" s="1">
        <v>125</v>
      </c>
      <c r="C421" s="1" t="s">
        <v>138</v>
      </c>
      <c r="D421" s="1" t="e">
        <f t="array" aca="1" ref="D421" ca="1">_xludf.XLOOKUP(C421,'country region mapping'!$A$2:$A$250, 'country region mapping'!$E$2:$E$250)</f>
        <v>#NAME?</v>
      </c>
      <c r="E421" s="1" t="e">
        <f t="array" aca="1" ref="E421" ca="1">_xludf.XLOOKUP(C421,'country region mapping'!$A$2:$A$267,'country region mapping'!$F$2:$F$267)</f>
        <v>#NAME?</v>
      </c>
      <c r="F421" s="1" t="e">
        <f t="array" aca="1" ref="F421" ca="1">_xludf.XLOOKUP(C421,'country region mapping'!$A$2:$A$267,'country region mapping'!$G$2:$G$267)</f>
        <v>#NAME?</v>
      </c>
      <c r="G421" s="1">
        <v>4.1859999999999999</v>
      </c>
      <c r="H421" s="1">
        <v>128</v>
      </c>
      <c r="I421" s="1">
        <v>102</v>
      </c>
      <c r="J421" s="1">
        <v>95</v>
      </c>
      <c r="K421" s="1">
        <v>43</v>
      </c>
      <c r="L421" s="1">
        <v>90</v>
      </c>
      <c r="M421" s="1">
        <v>132</v>
      </c>
      <c r="N421" s="1">
        <v>33</v>
      </c>
      <c r="O421" s="1">
        <v>125</v>
      </c>
      <c r="P421" s="1">
        <v>135</v>
      </c>
      <c r="Q421" s="1">
        <v>132</v>
      </c>
      <c r="R421" s="1">
        <v>136</v>
      </c>
      <c r="S421" s="1">
        <v>43</v>
      </c>
    </row>
    <row r="422" spans="1:19">
      <c r="A422" s="1">
        <v>2023</v>
      </c>
      <c r="B422" s="1">
        <v>126</v>
      </c>
      <c r="C422" s="1" t="s">
        <v>188</v>
      </c>
      <c r="D422" s="1" t="e">
        <f t="array" aca="1" ref="D422" ca="1">_xludf.XLOOKUP(C422,'country region mapping'!$A$2:$A$250, 'country region mapping'!$E$2:$E$250)</f>
        <v>#NAME?</v>
      </c>
      <c r="E422" s="1" t="e">
        <f t="array" aca="1" ref="E422" ca="1">_xludf.XLOOKUP(C422,'country region mapping'!$A$2:$A$267,'country region mapping'!$F$2:$F$267)</f>
        <v>#NAME?</v>
      </c>
      <c r="F422" s="1" t="e">
        <f t="array" aca="1" ref="F422" ca="1">_xludf.XLOOKUP(C422,'country region mapping'!$A$2:$A$267,'country region mapping'!$G$2:$G$267)</f>
        <v>#NAME?</v>
      </c>
      <c r="G422" s="1">
        <v>4.0540000000000003</v>
      </c>
      <c r="H422" s="1">
        <v>108</v>
      </c>
      <c r="I422" s="1">
        <v>123</v>
      </c>
      <c r="J422" s="1">
        <v>96</v>
      </c>
      <c r="K422" s="1">
        <v>95</v>
      </c>
      <c r="L422" s="1">
        <v>29</v>
      </c>
      <c r="M422" s="1">
        <v>55</v>
      </c>
      <c r="N422" s="1">
        <v>70</v>
      </c>
      <c r="O422" s="1">
        <v>59</v>
      </c>
      <c r="P422" s="1">
        <v>119</v>
      </c>
      <c r="Q422" s="1">
        <v>55</v>
      </c>
      <c r="R422" s="1">
        <v>10</v>
      </c>
      <c r="S422" s="1">
        <v>62</v>
      </c>
    </row>
    <row r="423" spans="1:19">
      <c r="A423" s="1">
        <v>2023</v>
      </c>
      <c r="B423" s="1">
        <v>127</v>
      </c>
      <c r="C423" s="1" t="s">
        <v>191</v>
      </c>
      <c r="D423" s="1" t="e">
        <f t="array" aca="1" ref="D423" ca="1">_xludf.XLOOKUP(C423,'country region mapping'!$A$2:$A$250, 'country region mapping'!$E$2:$E$250)</f>
        <v>#NAME?</v>
      </c>
      <c r="E423" s="1" t="e">
        <f t="array" aca="1" ref="E423" ca="1">_xludf.XLOOKUP(C423,'country region mapping'!$A$2:$A$267,'country region mapping'!$F$2:$F$267)</f>
        <v>#NAME?</v>
      </c>
      <c r="F423" s="1" t="e">
        <f t="array" aca="1" ref="F423" ca="1">_xludf.XLOOKUP(C423,'country region mapping'!$A$2:$A$267,'country region mapping'!$G$2:$G$267)</f>
        <v>#NAME?</v>
      </c>
      <c r="G423" s="1">
        <v>3.9769999999999999</v>
      </c>
      <c r="H423" s="1">
        <v>54</v>
      </c>
      <c r="I423" s="1">
        <v>101</v>
      </c>
      <c r="J423" s="1">
        <v>71</v>
      </c>
      <c r="K423" s="1">
        <v>88</v>
      </c>
      <c r="L423" s="1">
        <v>126</v>
      </c>
      <c r="M423" s="1">
        <v>137</v>
      </c>
      <c r="O423" s="14">
        <v>137</v>
      </c>
      <c r="P423" s="14">
        <v>104</v>
      </c>
      <c r="Q423" s="14">
        <v>137</v>
      </c>
      <c r="R423" s="14">
        <v>141</v>
      </c>
      <c r="S423" s="14">
        <v>19</v>
      </c>
    </row>
    <row r="424" spans="1:19">
      <c r="A424" s="1">
        <v>2023</v>
      </c>
      <c r="B424" s="1">
        <v>128</v>
      </c>
      <c r="C424" s="1" t="s">
        <v>187</v>
      </c>
      <c r="D424" s="1" t="e">
        <f t="array" aca="1" ref="D424" ca="1">_xludf.XLOOKUP(C424,'country region mapping'!$A$2:$A$250, 'country region mapping'!$E$2:$E$250)</f>
        <v>#NAME?</v>
      </c>
      <c r="E424" s="1" t="e">
        <f t="array" aca="1" ref="E424" ca="1">_xludf.XLOOKUP(C424,'country region mapping'!$A$2:$A$267,'country region mapping'!$F$2:$F$267)</f>
        <v>#NAME?</v>
      </c>
      <c r="F424" s="1" t="e">
        <f t="array" aca="1" ref="F424" ca="1">_xludf.XLOOKUP(C424,'country region mapping'!$A$2:$A$267,'country region mapping'!$G$2:$G$267)</f>
        <v>#NAME?</v>
      </c>
      <c r="G424" s="1">
        <v>3.8980000000000001</v>
      </c>
      <c r="H424" s="1">
        <v>91</v>
      </c>
      <c r="I424" s="1">
        <v>84</v>
      </c>
      <c r="J424" s="1">
        <v>83</v>
      </c>
      <c r="K424" s="1">
        <v>34</v>
      </c>
      <c r="L424" s="1">
        <v>92</v>
      </c>
      <c r="M424" s="1">
        <v>61</v>
      </c>
      <c r="N424" s="1">
        <v>131</v>
      </c>
      <c r="O424" s="1">
        <v>51</v>
      </c>
      <c r="P424" s="1">
        <v>105</v>
      </c>
      <c r="Q424" s="1">
        <v>61</v>
      </c>
      <c r="R424" s="1">
        <v>9</v>
      </c>
      <c r="S424" s="1">
        <v>60</v>
      </c>
    </row>
    <row r="425" spans="1:19">
      <c r="A425" s="1">
        <v>2023</v>
      </c>
      <c r="B425" s="1">
        <v>129</v>
      </c>
      <c r="C425" s="1" t="s">
        <v>176</v>
      </c>
      <c r="D425" s="1" t="e">
        <f t="array" aca="1" ref="D425" ca="1">_xludf.XLOOKUP(C425,'country region mapping'!$A$2:$A$250, 'country region mapping'!$E$2:$E$250)</f>
        <v>#NAME?</v>
      </c>
      <c r="E425" s="1" t="e">
        <f t="array" aca="1" ref="E425" ca="1">_xludf.XLOOKUP(C425,'country region mapping'!$A$2:$A$267,'country region mapping'!$F$2:$F$267)</f>
        <v>#NAME?</v>
      </c>
      <c r="F425" s="1" t="e">
        <f t="array" aca="1" ref="F425" ca="1">_xludf.XLOOKUP(C425,'country region mapping'!$A$2:$A$267,'country region mapping'!$G$2:$G$267)</f>
        <v>#NAME?</v>
      </c>
      <c r="G425" s="1">
        <v>3.8860000000000001</v>
      </c>
      <c r="H425" s="1">
        <v>78</v>
      </c>
      <c r="I425" s="1">
        <v>139</v>
      </c>
      <c r="J425" s="1">
        <v>99</v>
      </c>
      <c r="K425" s="1">
        <v>68</v>
      </c>
      <c r="L425" s="1">
        <v>15</v>
      </c>
      <c r="M425" s="1">
        <v>81</v>
      </c>
      <c r="N425" s="1">
        <v>63</v>
      </c>
      <c r="O425" s="1">
        <v>138</v>
      </c>
      <c r="P425" s="1">
        <v>134</v>
      </c>
      <c r="Q425" s="1">
        <v>81</v>
      </c>
      <c r="R425" s="1">
        <v>103</v>
      </c>
      <c r="S425" s="1">
        <v>2</v>
      </c>
    </row>
    <row r="426" spans="1:19">
      <c r="A426" s="1">
        <v>2023</v>
      </c>
      <c r="B426" s="1">
        <v>130</v>
      </c>
      <c r="C426" s="1" t="s">
        <v>183</v>
      </c>
      <c r="D426" s="1" t="e">
        <f t="array" aca="1" ref="D426" ca="1">_xludf.XLOOKUP(C426,'country region mapping'!$A$2:$A$250, 'country region mapping'!$E$2:$E$250)</f>
        <v>#NAME?</v>
      </c>
      <c r="E426" s="1" t="e">
        <f t="array" aca="1" ref="E426" ca="1">_xludf.XLOOKUP(C426,'country region mapping'!$A$2:$A$267,'country region mapping'!$F$2:$F$267)</f>
        <v>#NAME?</v>
      </c>
      <c r="F426" s="1" t="e">
        <f t="array" aca="1" ref="F426" ca="1">_xludf.XLOOKUP(C426,'country region mapping'!$A$2:$A$267,'country region mapping'!$G$2:$G$267)</f>
        <v>#NAME?</v>
      </c>
      <c r="G426" s="1">
        <v>3.8610000000000002</v>
      </c>
      <c r="H426" s="1">
        <v>85</v>
      </c>
      <c r="I426" s="1">
        <v>115</v>
      </c>
      <c r="J426" s="1">
        <v>126</v>
      </c>
      <c r="K426" s="1"/>
      <c r="L426" s="1">
        <v>125</v>
      </c>
      <c r="M426" s="1">
        <v>51</v>
      </c>
      <c r="N426" s="1">
        <v>82</v>
      </c>
      <c r="O426" s="1">
        <v>119</v>
      </c>
      <c r="P426" s="1">
        <v>77</v>
      </c>
      <c r="Q426" s="1">
        <v>51</v>
      </c>
      <c r="R426" s="1">
        <v>41</v>
      </c>
      <c r="S426" s="1">
        <v>55</v>
      </c>
    </row>
    <row r="427" spans="1:19">
      <c r="A427" s="1">
        <v>2023</v>
      </c>
      <c r="B427" s="1">
        <v>131</v>
      </c>
      <c r="C427" s="1" t="s">
        <v>236</v>
      </c>
      <c r="D427" s="1" t="e">
        <f t="array" aca="1" ref="D427" ca="1">_xludf.XLOOKUP(C427,'country region mapping'!$A$2:$A$267,'country region mapping'!$E$2:$E$267)</f>
        <v>#NAME?</v>
      </c>
      <c r="E427" s="1" t="e">
        <f t="array" aca="1" ref="E427" ca="1">_xludf.XLOOKUP(C427,'country region mapping'!$A$2:$A$267,'country region mapping'!$F$2:$F$267)</f>
        <v>#NAME?</v>
      </c>
      <c r="F427" s="1" t="e">
        <f t="array" aca="1" ref="F427" ca="1">_xludf.XLOOKUP(C427,'country region mapping'!$A$2:$A$267,'country region mapping'!$G$2:$G$267)</f>
        <v>#NAME?</v>
      </c>
      <c r="G427" s="1">
        <v>3.7810000000000001</v>
      </c>
      <c r="H427" s="1">
        <v>125</v>
      </c>
      <c r="I427" s="1">
        <v>118</v>
      </c>
      <c r="J427" s="1">
        <v>119</v>
      </c>
      <c r="K427" s="1">
        <v>96</v>
      </c>
      <c r="L427" s="1">
        <v>47</v>
      </c>
      <c r="M427" s="1">
        <v>68</v>
      </c>
      <c r="N427" s="1">
        <v>25</v>
      </c>
      <c r="O427" s="1">
        <v>58</v>
      </c>
      <c r="P427" s="1">
        <v>29</v>
      </c>
      <c r="Q427" s="1">
        <v>68</v>
      </c>
      <c r="R427" s="1">
        <v>112</v>
      </c>
      <c r="S427" s="1">
        <v>104</v>
      </c>
    </row>
    <row r="428" spans="1:19">
      <c r="A428" s="1">
        <v>2023</v>
      </c>
      <c r="B428" s="1">
        <v>132</v>
      </c>
      <c r="C428" s="1" t="s">
        <v>219</v>
      </c>
      <c r="D428" s="1" t="e">
        <f t="array" aca="1" ref="D428" ca="1">_xludf.XLOOKUP(C428,'country region mapping'!$A$2:$A$250, 'country region mapping'!$E$2:$E$250)</f>
        <v>#NAME?</v>
      </c>
      <c r="E428" s="1" t="e">
        <f t="array" aca="1" ref="E428" ca="1">_xludf.XLOOKUP(C428,'country region mapping'!$A$2:$A$267,'country region mapping'!$F$2:$F$267)</f>
        <v>#NAME?</v>
      </c>
      <c r="F428" s="1" t="e">
        <f t="array" aca="1" ref="F428" ca="1">_xludf.XLOOKUP(C428,'country region mapping'!$A$2:$A$267,'country region mapping'!$G$2:$G$267)</f>
        <v>#NAME?</v>
      </c>
      <c r="G428" s="1">
        <v>3.5659999999999998</v>
      </c>
      <c r="H428" s="1">
        <v>138</v>
      </c>
      <c r="I428" s="1">
        <v>137</v>
      </c>
      <c r="J428" s="1">
        <v>120</v>
      </c>
      <c r="K428" s="1"/>
      <c r="L428" s="1">
        <v>138</v>
      </c>
      <c r="M428" s="1">
        <v>100</v>
      </c>
      <c r="N428" s="1">
        <v>46</v>
      </c>
      <c r="O428" s="1">
        <v>120</v>
      </c>
      <c r="P428" s="1">
        <v>123</v>
      </c>
      <c r="Q428" s="1">
        <v>100</v>
      </c>
      <c r="R428" s="1">
        <v>13</v>
      </c>
      <c r="S428" s="1">
        <v>87</v>
      </c>
    </row>
    <row r="429" spans="1:19">
      <c r="A429" s="1">
        <v>2023</v>
      </c>
      <c r="B429" s="1">
        <v>133</v>
      </c>
      <c r="C429" s="1" t="s">
        <v>233</v>
      </c>
      <c r="D429" s="1" t="e">
        <f t="array" aca="1" ref="D429" ca="1">_xludf.XLOOKUP(C429,'country region mapping'!$A$2:$A$250, 'country region mapping'!$E$2:$E$250)</f>
        <v>#NAME?</v>
      </c>
      <c r="E429" s="1" t="e">
        <f t="array" aca="1" ref="E429" ca="1">_xludf.XLOOKUP(C429,'country region mapping'!$A$2:$A$267,'country region mapping'!$F$2:$F$267)</f>
        <v>#NAME?</v>
      </c>
      <c r="F429" s="1" t="e">
        <f t="array" aca="1" ref="F429" ca="1">_xludf.XLOOKUP(C429,'country region mapping'!$A$2:$A$267,'country region mapping'!$G$2:$G$267)</f>
        <v>#NAME?</v>
      </c>
      <c r="G429" s="1">
        <v>3.5609999999999999</v>
      </c>
      <c r="H429" s="1">
        <v>99</v>
      </c>
      <c r="I429" s="1">
        <v>73</v>
      </c>
      <c r="K429" s="1"/>
      <c r="L429" s="1">
        <v>130</v>
      </c>
      <c r="M429" s="1">
        <v>139</v>
      </c>
      <c r="N429" s="1">
        <v>71</v>
      </c>
      <c r="O429" s="1">
        <v>136</v>
      </c>
      <c r="P429" s="1">
        <v>100</v>
      </c>
      <c r="Q429" s="1">
        <v>139</v>
      </c>
      <c r="R429" s="1">
        <v>131</v>
      </c>
      <c r="S429" s="1">
        <v>116</v>
      </c>
    </row>
    <row r="430" spans="1:19">
      <c r="A430" s="1">
        <v>2023</v>
      </c>
      <c r="B430" s="1">
        <v>134</v>
      </c>
      <c r="C430" s="1" t="s">
        <v>170</v>
      </c>
      <c r="D430" s="1" t="e">
        <f t="array" aca="1" ref="D430" ca="1">_xludf.XLOOKUP(C430,'country region mapping'!$A$2:$A$250, 'country region mapping'!$E$2:$E$250)</f>
        <v>#NAME?</v>
      </c>
      <c r="E430" s="1" t="e">
        <f t="array" aca="1" ref="E430" ca="1">_xludf.XLOOKUP(C430,'country region mapping'!$A$2:$A$267,'country region mapping'!$F$2:$F$267)</f>
        <v>#NAME?</v>
      </c>
      <c r="F430" s="1" t="e">
        <f t="array" aca="1" ref="F430" ca="1">_xludf.XLOOKUP(C430,'country region mapping'!$A$2:$A$267,'country region mapping'!$G$2:$G$267)</f>
        <v>#NAME?</v>
      </c>
      <c r="G430" s="1">
        <v>3.5019999999999998</v>
      </c>
      <c r="H430" s="1">
        <v>121</v>
      </c>
      <c r="I430" s="1">
        <v>117</v>
      </c>
      <c r="J430" s="1">
        <v>118</v>
      </c>
      <c r="K430" s="1">
        <v>112</v>
      </c>
      <c r="L430" s="1">
        <v>49</v>
      </c>
      <c r="M430" s="1">
        <v>74</v>
      </c>
      <c r="N430" s="1">
        <v>90</v>
      </c>
      <c r="O430" s="1">
        <v>79</v>
      </c>
      <c r="P430" s="1">
        <v>109</v>
      </c>
      <c r="Q430" s="1">
        <v>74</v>
      </c>
      <c r="R430" s="1">
        <v>47</v>
      </c>
      <c r="S430" s="1">
        <v>37</v>
      </c>
    </row>
    <row r="431" spans="1:19">
      <c r="A431" s="1">
        <v>2023</v>
      </c>
      <c r="B431" s="1">
        <v>135</v>
      </c>
      <c r="C431" s="1" t="s">
        <v>453</v>
      </c>
      <c r="D431" s="1" t="e">
        <f t="array" aca="1" ref="D431" ca="1">_xludf.XLOOKUP(C431,'country region mapping'!$A$2:$A$250, 'country region mapping'!$E$2:$E$250)</f>
        <v>#NAME?</v>
      </c>
      <c r="E431" s="1" t="e">
        <f t="array" aca="1" ref="E431" ca="1">_xludf.XLOOKUP(C431,'country region mapping'!$A$2:$A$267,'country region mapping'!$F$2:$F$267)</f>
        <v>#NAME?</v>
      </c>
      <c r="F431" s="1" t="e">
        <f t="array" aca="1" ref="F431" ca="1">_xludf.XLOOKUP(C431,'country region mapping'!$A$2:$A$267,'country region mapping'!$G$2:$G$267)</f>
        <v>#NAME?</v>
      </c>
      <c r="G431" s="1">
        <v>3.5019999999999998</v>
      </c>
      <c r="H431" s="1">
        <v>96</v>
      </c>
      <c r="I431" s="1">
        <v>95</v>
      </c>
      <c r="J431" s="1">
        <v>90</v>
      </c>
      <c r="K431" s="1"/>
      <c r="L431" s="1">
        <v>132</v>
      </c>
      <c r="M431" s="1">
        <v>122</v>
      </c>
      <c r="N431" s="1">
        <v>55</v>
      </c>
      <c r="O431" s="1">
        <v>57</v>
      </c>
      <c r="P431" s="1">
        <v>90</v>
      </c>
      <c r="Q431" s="1">
        <v>122</v>
      </c>
      <c r="R431" s="1">
        <v>75</v>
      </c>
      <c r="S431" s="1">
        <v>27</v>
      </c>
    </row>
    <row r="432" spans="1:19">
      <c r="A432" s="1">
        <v>2023</v>
      </c>
      <c r="B432" s="1">
        <v>136</v>
      </c>
      <c r="C432" s="1" t="s">
        <v>210</v>
      </c>
      <c r="D432" s="1" t="e">
        <f t="array" aca="1" ref="D432" ca="1">_xludf.XLOOKUP(C432,'country region mapping'!$A$2:$A$250, 'country region mapping'!$E$2:$E$250)</f>
        <v>#NAME?</v>
      </c>
      <c r="E432" s="1" t="e">
        <f t="array" aca="1" ref="E432" ca="1">_xludf.XLOOKUP(C432,'country region mapping'!$A$2:$A$267,'country region mapping'!$F$2:$F$267)</f>
        <v>#NAME?</v>
      </c>
      <c r="F432" s="1" t="e">
        <f t="array" aca="1" ref="F432" ca="1">_xludf.XLOOKUP(C432,'country region mapping'!$A$2:$A$267,'country region mapping'!$G$2:$G$267)</f>
        <v>#NAME?</v>
      </c>
      <c r="G432" s="1">
        <v>3.4209999999999998</v>
      </c>
      <c r="H432" s="1">
        <v>136</v>
      </c>
      <c r="I432" s="1">
        <v>138</v>
      </c>
      <c r="J432" s="1">
        <v>132</v>
      </c>
      <c r="K432" s="1">
        <v>106</v>
      </c>
      <c r="L432" s="1">
        <v>101</v>
      </c>
      <c r="M432" s="1">
        <v>119</v>
      </c>
      <c r="N432" s="1">
        <v>57</v>
      </c>
      <c r="O432" s="1">
        <v>123</v>
      </c>
      <c r="P432" s="1">
        <v>98</v>
      </c>
      <c r="Q432" s="1">
        <v>119</v>
      </c>
      <c r="R432" s="1">
        <v>36</v>
      </c>
      <c r="S432" s="1">
        <v>9</v>
      </c>
    </row>
    <row r="433" spans="1:19">
      <c r="A433" s="1">
        <v>2023</v>
      </c>
      <c r="B433" s="1">
        <v>137</v>
      </c>
      <c r="C433" s="1" t="s">
        <v>218</v>
      </c>
      <c r="D433" s="1" t="e">
        <f t="array" aca="1" ref="D433" ca="1">_xludf.XLOOKUP(C433,'country region mapping'!$A$2:$A$250, 'country region mapping'!$E$2:$E$250)</f>
        <v>#NAME?</v>
      </c>
      <c r="E433" s="1" t="e">
        <f t="array" aca="1" ref="E433" ca="1">_xludf.XLOOKUP(C433,'country region mapping'!$A$2:$A$267,'country region mapping'!$F$2:$F$267)</f>
        <v>#NAME?</v>
      </c>
      <c r="F433" s="1" t="e">
        <f t="array" aca="1" ref="F433" ca="1">_xludf.XLOOKUP(C433,'country region mapping'!$A$2:$A$267,'country region mapping'!$G$2:$G$267)</f>
        <v>#NAME?</v>
      </c>
      <c r="G433" s="1">
        <v>3.383</v>
      </c>
      <c r="H433" s="1">
        <v>120</v>
      </c>
      <c r="I433" s="1">
        <v>107</v>
      </c>
      <c r="J433" s="1">
        <v>67</v>
      </c>
      <c r="K433" s="1"/>
      <c r="L433" s="1">
        <v>99</v>
      </c>
      <c r="M433" s="1">
        <v>141</v>
      </c>
      <c r="N433" s="1">
        <v>89</v>
      </c>
      <c r="O433" s="1">
        <v>76</v>
      </c>
      <c r="P433" s="1">
        <v>51</v>
      </c>
      <c r="Q433" s="1">
        <v>141</v>
      </c>
      <c r="R433" s="1">
        <v>117</v>
      </c>
      <c r="S433" s="1">
        <v>29</v>
      </c>
    </row>
    <row r="434" spans="1:19">
      <c r="A434" s="1">
        <v>2023</v>
      </c>
      <c r="B434" s="1">
        <v>138</v>
      </c>
      <c r="C434" s="1" t="s">
        <v>208</v>
      </c>
      <c r="D434" s="1" t="e">
        <f t="array" aca="1" ref="D434" ca="1">_xludf.XLOOKUP(C434,'country region mapping'!$A$2:$A$250, 'country region mapping'!$E$2:$E$250)</f>
        <v>#NAME?</v>
      </c>
      <c r="E434" s="1" t="e">
        <f t="array" aca="1" ref="E434" ca="1">_xludf.XLOOKUP(C434,'country region mapping'!$A$2:$A$267,'country region mapping'!$F$2:$F$267)</f>
        <v>#NAME?</v>
      </c>
      <c r="F434" s="1" t="e">
        <f t="array" aca="1" ref="F434" ca="1">_xludf.XLOOKUP(C434,'country region mapping'!$A$2:$A$267,'country region mapping'!$G$2:$G$267)</f>
        <v>#NAME?</v>
      </c>
      <c r="G434" s="1">
        <v>3.3410000000000002</v>
      </c>
      <c r="H434" s="1">
        <v>87</v>
      </c>
      <c r="I434" s="1">
        <v>109</v>
      </c>
      <c r="J434" s="1">
        <v>121</v>
      </c>
      <c r="K434" s="1">
        <v>115</v>
      </c>
      <c r="L434" s="1">
        <v>104</v>
      </c>
      <c r="M434" s="1">
        <v>135</v>
      </c>
      <c r="N434" s="1">
        <v>65</v>
      </c>
      <c r="O434" s="1">
        <v>96</v>
      </c>
      <c r="P434" s="1">
        <v>10</v>
      </c>
      <c r="Q434" s="1">
        <v>135</v>
      </c>
      <c r="R434" s="1">
        <v>97</v>
      </c>
      <c r="S434" s="1">
        <v>86</v>
      </c>
    </row>
    <row r="435" spans="1:19">
      <c r="A435" s="1">
        <v>2023</v>
      </c>
      <c r="B435" s="1">
        <v>139</v>
      </c>
      <c r="C435" s="1" t="s">
        <v>199</v>
      </c>
      <c r="D435" s="1" t="e">
        <f t="array" aca="1" ref="D435" ca="1">_xludf.XLOOKUP(C435,'country region mapping'!$A$2:$A$267,'country region mapping'!$E$2:$E$267)</f>
        <v>#NAME?</v>
      </c>
      <c r="E435" s="1" t="e">
        <f t="array" aca="1" ref="E435" ca="1">_xludf.XLOOKUP(C435,'country region mapping'!$A$2:$A$267,'country region mapping'!$F$2:$F$267)</f>
        <v>#NAME?</v>
      </c>
      <c r="F435" s="1" t="e">
        <f t="array" aca="1" ref="F435" ca="1">_xludf.XLOOKUP(C435,'country region mapping'!$A$2:$A$267,'country region mapping'!$G$2:$G$267)</f>
        <v>#NAME?</v>
      </c>
      <c r="G435" s="1">
        <v>3.2949999999999999</v>
      </c>
      <c r="H435" s="1">
        <v>130</v>
      </c>
      <c r="I435" s="1">
        <v>132</v>
      </c>
      <c r="J435" s="1">
        <v>136</v>
      </c>
      <c r="K435" s="1"/>
      <c r="L435" s="1">
        <v>120</v>
      </c>
      <c r="M435" s="1">
        <v>75</v>
      </c>
      <c r="N435" s="1">
        <v>101</v>
      </c>
      <c r="O435" s="1">
        <v>113</v>
      </c>
      <c r="P435" s="1">
        <v>139</v>
      </c>
      <c r="Q435" s="1">
        <v>75</v>
      </c>
      <c r="R435" s="1">
        <v>24</v>
      </c>
      <c r="S435" s="1">
        <v>45</v>
      </c>
    </row>
    <row r="436" spans="1:19">
      <c r="A436" s="1">
        <v>2023</v>
      </c>
      <c r="B436" s="1">
        <v>140</v>
      </c>
      <c r="C436" s="1" t="s">
        <v>178</v>
      </c>
      <c r="D436" s="1" t="e">
        <f t="array" aca="1" ref="D436" ca="1">_xludf.XLOOKUP(C436,'country region mapping'!$A$2:$A$250, 'country region mapping'!$E$2:$E$250)</f>
        <v>#NAME?</v>
      </c>
      <c r="E436" s="1" t="e">
        <f t="array" aca="1" ref="E436" ca="1">_xludf.XLOOKUP(C436,'country region mapping'!$A$2:$A$267,'country region mapping'!$F$2:$F$267)</f>
        <v>#NAME?</v>
      </c>
      <c r="F436" s="1" t="e">
        <f t="array" aca="1" ref="F436" ca="1">_xludf.XLOOKUP(C436,'country region mapping'!$A$2:$A$267,'country region mapping'!$G$2:$G$267)</f>
        <v>#NAME?</v>
      </c>
      <c r="G436" s="1">
        <v>3.2450000000000001</v>
      </c>
      <c r="H436" s="1">
        <v>74</v>
      </c>
      <c r="I436" s="1">
        <v>129</v>
      </c>
      <c r="J436" s="1">
        <v>122</v>
      </c>
      <c r="K436" s="1">
        <v>111</v>
      </c>
      <c r="L436" s="1">
        <v>119</v>
      </c>
      <c r="M436" s="1">
        <v>85</v>
      </c>
      <c r="N436" s="1">
        <v>113</v>
      </c>
      <c r="O436" s="1">
        <v>128</v>
      </c>
      <c r="P436" s="1">
        <v>133</v>
      </c>
      <c r="Q436" s="1">
        <v>85</v>
      </c>
      <c r="R436" s="1">
        <v>21</v>
      </c>
      <c r="S436" s="1">
        <v>7</v>
      </c>
    </row>
    <row r="437" spans="1:19">
      <c r="A437" s="1">
        <v>2023</v>
      </c>
      <c r="B437" s="1">
        <v>141</v>
      </c>
      <c r="C437" s="1" t="s">
        <v>321</v>
      </c>
      <c r="D437" s="1" t="e">
        <f t="array" aca="1" ref="D437" ca="1">_xludf.XLOOKUP(C437,'country region mapping'!$A$2:$A$250, 'country region mapping'!$E$2:$E$250)</f>
        <v>#NAME?</v>
      </c>
      <c r="E437" s="1" t="e">
        <f t="array" aca="1" ref="E437" ca="1">_xludf.XLOOKUP(C437,'country region mapping'!$A$2:$A$267,'country region mapping'!$F$2:$F$267)</f>
        <v>#NAME?</v>
      </c>
      <c r="F437" s="1" t="e">
        <f t="array" aca="1" ref="F437" ca="1">_xludf.XLOOKUP(C437,'country region mapping'!$A$2:$A$267,'country region mapping'!$G$2:$G$267)</f>
        <v>#NAME?</v>
      </c>
      <c r="G437" s="1">
        <v>3.1859999999999999</v>
      </c>
      <c r="H437" s="1"/>
      <c r="I437" s="1"/>
      <c r="J437" s="1"/>
      <c r="K437" s="1"/>
      <c r="L437" s="1"/>
      <c r="M437" s="1"/>
      <c r="N437" s="1"/>
      <c r="O437" s="1"/>
      <c r="P437" s="1"/>
      <c r="S437" s="1"/>
    </row>
    <row r="438" spans="1:19">
      <c r="A438" s="1">
        <v>2023</v>
      </c>
      <c r="B438" s="1">
        <v>142</v>
      </c>
      <c r="C438" s="1" t="s">
        <v>154</v>
      </c>
      <c r="D438" s="1" t="e">
        <f t="array" aca="1" ref="D438" ca="1">_xludf.XLOOKUP(C438,'country region mapping'!$A$2:$A$250, 'country region mapping'!$E$2:$E$250)</f>
        <v>#NAME?</v>
      </c>
      <c r="E438" s="1" t="e">
        <f t="array" aca="1" ref="E438" ca="1">_xludf.XLOOKUP(C438,'country region mapping'!$A$2:$A$267,'country region mapping'!$F$2:$F$267)</f>
        <v>#NAME?</v>
      </c>
      <c r="F438" s="1" t="e">
        <f t="array" aca="1" ref="F438" ca="1">_xludf.XLOOKUP(C438,'country region mapping'!$A$2:$A$267,'country region mapping'!$G$2:$G$267)</f>
        <v>#NAME?</v>
      </c>
      <c r="G438" s="1">
        <v>2.7069999999999999</v>
      </c>
      <c r="H438" s="1">
        <v>70</v>
      </c>
      <c r="I438" s="1">
        <v>112</v>
      </c>
      <c r="J438" s="1">
        <v>89</v>
      </c>
      <c r="K438" s="1">
        <v>66</v>
      </c>
      <c r="L438" s="1">
        <v>136</v>
      </c>
      <c r="M438" s="1">
        <v>103</v>
      </c>
      <c r="N438" s="1">
        <v>125</v>
      </c>
      <c r="O438" s="1">
        <v>139</v>
      </c>
      <c r="P438" s="1">
        <v>118</v>
      </c>
      <c r="Q438" s="1">
        <v>103</v>
      </c>
      <c r="R438" s="1">
        <v>134</v>
      </c>
      <c r="S438" s="1">
        <v>125</v>
      </c>
    </row>
    <row r="439" spans="1:19">
      <c r="A439" s="1">
        <v>2023</v>
      </c>
      <c r="B439" s="1">
        <v>143</v>
      </c>
      <c r="C439" s="1" t="s">
        <v>245</v>
      </c>
      <c r="D439" s="1" t="e">
        <f t="array" aca="1" ref="D439" ca="1">_xludf.XLOOKUP(C439,'country region mapping'!$A$2:$A$250, 'country region mapping'!$E$2:$E$250)</f>
        <v>#NAME?</v>
      </c>
      <c r="E439" s="1" t="e">
        <f t="array" aca="1" ref="E439" ca="1">_xludf.XLOOKUP(C439,'country region mapping'!$A$2:$A$267,'country region mapping'!$F$2:$F$267)</f>
        <v>#NAME?</v>
      </c>
      <c r="F439" s="1" t="e">
        <f t="array" aca="1" ref="F439" ca="1">_xludf.XLOOKUP(C439,'country region mapping'!$A$2:$A$267,'country region mapping'!$G$2:$G$267)</f>
        <v>#NAME?</v>
      </c>
      <c r="G439" s="1">
        <v>1.7210000000000001</v>
      </c>
      <c r="H439" s="1">
        <v>1</v>
      </c>
      <c r="I439" s="1">
        <v>141</v>
      </c>
      <c r="J439" s="1">
        <v>129</v>
      </c>
      <c r="K439" s="1">
        <v>116</v>
      </c>
      <c r="L439" s="1">
        <v>139</v>
      </c>
      <c r="M439" s="1">
        <v>136</v>
      </c>
      <c r="N439" s="1">
        <v>54</v>
      </c>
      <c r="O439" s="1">
        <v>141</v>
      </c>
      <c r="P439" s="1">
        <v>136</v>
      </c>
      <c r="Q439" s="1">
        <v>136</v>
      </c>
      <c r="R439" s="1">
        <v>128</v>
      </c>
      <c r="S439" s="1">
        <v>112</v>
      </c>
    </row>
    <row r="440" spans="1:19">
      <c r="A440" s="1">
        <v>2022</v>
      </c>
      <c r="B440" s="1"/>
      <c r="C440" s="1" t="s">
        <v>233</v>
      </c>
      <c r="D440" s="1" t="e">
        <f t="array" aca="1" ref="D440" ca="1">_xludf.XLOOKUP(C440,'country region mapping'!$A$2:$A$250, 'country region mapping'!$E$2:$E$250)</f>
        <v>#NAME?</v>
      </c>
      <c r="E440" s="1" t="e">
        <f t="array" aca="1" ref="E440" ca="1">_xludf.XLOOKUP(C440,'country region mapping'!$A$2:$A$267,'country region mapping'!$F$2:$F$267)</f>
        <v>#NAME?</v>
      </c>
      <c r="F440" s="1" t="e">
        <f t="array" aca="1" ref="F440" ca="1">_xludf.XLOOKUP(C440,'country region mapping'!$A$2:$A$267,'country region mapping'!$G$2:$G$267)</f>
        <v>#NAME?</v>
      </c>
      <c r="G440" s="1"/>
      <c r="H440" s="1">
        <v>81</v>
      </c>
      <c r="I440" s="1">
        <v>54</v>
      </c>
      <c r="J440" s="1"/>
      <c r="K440" s="1"/>
      <c r="L440" s="1">
        <v>126</v>
      </c>
      <c r="M440" s="1">
        <v>139</v>
      </c>
      <c r="N440" s="1">
        <v>74</v>
      </c>
      <c r="O440" s="1">
        <v>135</v>
      </c>
      <c r="P440" s="1">
        <v>54</v>
      </c>
      <c r="Q440" s="1">
        <v>139</v>
      </c>
      <c r="R440" s="1">
        <v>135</v>
      </c>
      <c r="S440" s="1">
        <v>126</v>
      </c>
    </row>
    <row r="441" spans="1:19">
      <c r="A441" s="1">
        <v>2022</v>
      </c>
      <c r="B441" s="1">
        <v>1</v>
      </c>
      <c r="C441" s="1" t="s">
        <v>37</v>
      </c>
      <c r="D441" s="1" t="e">
        <f t="array" aca="1" ref="D441" ca="1">_xludf.XLOOKUP(C441,'country region mapping'!$A$2:$A$250, 'country region mapping'!$E$2:$E$250)</f>
        <v>#NAME?</v>
      </c>
      <c r="E441" s="1" t="e">
        <f t="array" aca="1" ref="E441" ca="1">_xludf.XLOOKUP(C441,'country region mapping'!$A$2:$A$267,'country region mapping'!$F$2:$F$267)</f>
        <v>#NAME?</v>
      </c>
      <c r="F441" s="1" t="e">
        <f t="array" aca="1" ref="F441" ca="1">_xludf.XLOOKUP(C441,'country region mapping'!$A$2:$A$267,'country region mapping'!$G$2:$G$267)</f>
        <v>#NAME?</v>
      </c>
      <c r="G441" s="1">
        <v>7.8040000000000003</v>
      </c>
      <c r="H441" s="1">
        <v>4</v>
      </c>
      <c r="I441" s="1">
        <v>2</v>
      </c>
      <c r="J441" s="1">
        <v>19</v>
      </c>
      <c r="K441" s="1">
        <v>18</v>
      </c>
      <c r="L441" s="1">
        <v>4</v>
      </c>
      <c r="M441" s="1">
        <v>32</v>
      </c>
      <c r="N441" s="1">
        <v>1</v>
      </c>
      <c r="O441" s="1">
        <v>32</v>
      </c>
      <c r="P441" s="1">
        <v>20</v>
      </c>
      <c r="Q441" s="1">
        <v>32</v>
      </c>
      <c r="R441" s="1">
        <v>61</v>
      </c>
      <c r="S441" s="1">
        <v>88</v>
      </c>
    </row>
    <row r="442" spans="1:19">
      <c r="A442" s="1">
        <v>2022</v>
      </c>
      <c r="B442" s="1">
        <v>2</v>
      </c>
      <c r="C442" s="1" t="s">
        <v>30</v>
      </c>
      <c r="D442" s="1" t="e">
        <f t="array" aca="1" ref="D442" ca="1">_xludf.XLOOKUP(C442,'country region mapping'!$A$2:$A$250, 'country region mapping'!$E$2:$E$250)</f>
        <v>#NAME?</v>
      </c>
      <c r="E442" s="1" t="e">
        <f t="array" aca="1" ref="E442" ca="1">_xludf.XLOOKUP(C442,'country region mapping'!$A$2:$A$267,'country region mapping'!$F$2:$F$267)</f>
        <v>#NAME?</v>
      </c>
      <c r="F442" s="1" t="e">
        <f t="array" aca="1" ref="F442" ca="1">_xludf.XLOOKUP(C442,'country region mapping'!$A$2:$A$267,'country region mapping'!$G$2:$G$267)</f>
        <v>#NAME?</v>
      </c>
      <c r="G442" s="1">
        <v>7.5860000000000003</v>
      </c>
      <c r="H442" s="1">
        <v>11</v>
      </c>
      <c r="I442" s="1">
        <v>3</v>
      </c>
      <c r="J442" s="1">
        <v>8</v>
      </c>
      <c r="K442" s="1">
        <v>15</v>
      </c>
      <c r="L442" s="1">
        <v>14</v>
      </c>
      <c r="M442" s="1">
        <v>7</v>
      </c>
      <c r="N442" s="1">
        <v>2</v>
      </c>
      <c r="O442" s="1">
        <v>12</v>
      </c>
      <c r="P442" s="1">
        <v>28</v>
      </c>
      <c r="Q442" s="1">
        <v>7</v>
      </c>
      <c r="R442" s="1">
        <v>60</v>
      </c>
      <c r="S442" s="1">
        <v>69</v>
      </c>
    </row>
    <row r="443" spans="1:19">
      <c r="A443" s="1">
        <v>2022</v>
      </c>
      <c r="B443" s="1">
        <v>3</v>
      </c>
      <c r="C443" s="1" t="s">
        <v>34</v>
      </c>
      <c r="D443" s="1" t="e">
        <f t="array" aca="1" ref="D443" ca="1">_xludf.XLOOKUP(C443,'country region mapping'!$A$2:$A$250, 'country region mapping'!$E$2:$E$250)</f>
        <v>#NAME?</v>
      </c>
      <c r="E443" s="1" t="e">
        <f t="array" aca="1" ref="E443" ca="1">_xludf.XLOOKUP(C443,'country region mapping'!$A$2:$A$267,'country region mapping'!$F$2:$F$267)</f>
        <v>#NAME?</v>
      </c>
      <c r="F443" s="1" t="e">
        <f t="array" aca="1" ref="F443" ca="1">_xludf.XLOOKUP(C443,'country region mapping'!$A$2:$A$267,'country region mapping'!$G$2:$G$267)</f>
        <v>#NAME?</v>
      </c>
      <c r="G443" s="1">
        <v>7.53</v>
      </c>
      <c r="H443" s="1">
        <v>8</v>
      </c>
      <c r="I443" s="1">
        <v>1</v>
      </c>
      <c r="J443" s="1">
        <v>11</v>
      </c>
      <c r="K443" s="1">
        <v>4</v>
      </c>
      <c r="L443" s="1">
        <v>11</v>
      </c>
      <c r="M443" s="1">
        <v>9</v>
      </c>
      <c r="N443" s="1">
        <v>39</v>
      </c>
      <c r="O443" s="1">
        <v>19</v>
      </c>
      <c r="P443" s="1">
        <v>13</v>
      </c>
      <c r="Q443" s="1">
        <v>9</v>
      </c>
      <c r="R443" s="1">
        <v>86</v>
      </c>
      <c r="S443" s="1">
        <v>117</v>
      </c>
    </row>
    <row r="444" spans="1:19">
      <c r="A444" s="1">
        <v>2022</v>
      </c>
      <c r="B444" s="1">
        <v>4</v>
      </c>
      <c r="C444" s="1" t="s">
        <v>47</v>
      </c>
      <c r="D444" s="1" t="e">
        <f t="array" aca="1" ref="D444" ca="1">_xludf.XLOOKUP(C444,'country region mapping'!$A$2:$A$250, 'country region mapping'!$E$2:$E$250)</f>
        <v>#NAME?</v>
      </c>
      <c r="E444" s="1" t="e">
        <f t="array" aca="1" ref="E444" ca="1">_xludf.XLOOKUP(C444,'country region mapping'!$A$2:$A$267,'country region mapping'!$F$2:$F$267)</f>
        <v>#NAME?</v>
      </c>
      <c r="F444" s="1" t="e">
        <f t="array" aca="1" ref="F444" ca="1">_xludf.XLOOKUP(C444,'country region mapping'!$A$2:$A$267,'country region mapping'!$G$2:$G$267)</f>
        <v>#NAME?</v>
      </c>
      <c r="G444" s="1">
        <v>7.4729999999999999</v>
      </c>
      <c r="H444" s="1">
        <v>3</v>
      </c>
      <c r="I444" s="1">
        <v>6</v>
      </c>
      <c r="J444" s="1">
        <v>29</v>
      </c>
      <c r="K444" s="1">
        <v>9</v>
      </c>
      <c r="L444" s="1">
        <v>81</v>
      </c>
      <c r="M444" s="1">
        <v>48</v>
      </c>
      <c r="N444" s="1">
        <v>29</v>
      </c>
      <c r="O444" s="1">
        <v>105</v>
      </c>
      <c r="P444" s="1">
        <v>16</v>
      </c>
      <c r="Q444" s="1">
        <v>48</v>
      </c>
      <c r="R444" s="1">
        <v>85</v>
      </c>
      <c r="S444" s="1">
        <v>102</v>
      </c>
    </row>
    <row r="445" spans="1:19">
      <c r="A445" s="1">
        <v>2022</v>
      </c>
      <c r="B445" s="1">
        <v>5</v>
      </c>
      <c r="C445" s="1" t="s">
        <v>40</v>
      </c>
      <c r="D445" s="1" t="e">
        <f t="array" aca="1" ref="D445" ca="1">_xludf.XLOOKUP(C445,'country region mapping'!$A$2:$A$267,'country region mapping'!$E$2:$E$267)</f>
        <v>#NAME?</v>
      </c>
      <c r="E445" s="1" t="e">
        <f t="array" aca="1" ref="E445" ca="1">_xludf.XLOOKUP(C445,'country region mapping'!$A$2:$A$267,'country region mapping'!$F$2:$F$267)</f>
        <v>#NAME?</v>
      </c>
      <c r="F445" s="1" t="e">
        <f t="array" aca="1" ref="F445" ca="1">_xludf.XLOOKUP(C445,'country region mapping'!$A$2:$A$267,'country region mapping'!$G$2:$G$267)</f>
        <v>#NAME?</v>
      </c>
      <c r="G445" s="1">
        <v>7.4029999999999996</v>
      </c>
      <c r="H445" s="1">
        <v>2</v>
      </c>
      <c r="I445" s="1">
        <v>19</v>
      </c>
      <c r="J445" s="1">
        <v>7</v>
      </c>
      <c r="K445" s="1"/>
      <c r="L445" s="1">
        <v>37</v>
      </c>
      <c r="M445" s="1">
        <v>8</v>
      </c>
      <c r="N445" s="1">
        <v>15</v>
      </c>
      <c r="O445" s="1">
        <v>52</v>
      </c>
      <c r="P445" s="1">
        <v>22</v>
      </c>
      <c r="Q445" s="1">
        <v>8</v>
      </c>
      <c r="R445" s="1">
        <v>38</v>
      </c>
      <c r="S445" s="1">
        <v>123</v>
      </c>
    </row>
    <row r="446" spans="1:19">
      <c r="A446" s="1">
        <v>2022</v>
      </c>
      <c r="B446" s="1">
        <v>6</v>
      </c>
      <c r="C446" s="1" t="s">
        <v>45</v>
      </c>
      <c r="D446" s="1" t="e">
        <f t="array" aca="1" ref="D446" ca="1">_xludf.XLOOKUP(C446,'country region mapping'!$A$2:$A$250, 'country region mapping'!$E$2:$E$250)</f>
        <v>#NAME?</v>
      </c>
      <c r="E446" s="1" t="e">
        <f t="array" aca="1" ref="E446" ca="1">_xludf.XLOOKUP(C446,'country region mapping'!$A$2:$A$267,'country region mapping'!$F$2:$F$267)</f>
        <v>#NAME?</v>
      </c>
      <c r="F446" s="1" t="e">
        <f t="array" aca="1" ref="F446" ca="1">_xludf.XLOOKUP(C446,'country region mapping'!$A$2:$A$267,'country region mapping'!$G$2:$G$267)</f>
        <v>#NAME?</v>
      </c>
      <c r="G446" s="1">
        <v>7.3949999999999996</v>
      </c>
      <c r="H446" s="1">
        <v>7</v>
      </c>
      <c r="I446" s="1">
        <v>9</v>
      </c>
      <c r="J446" s="1">
        <v>13</v>
      </c>
      <c r="K446" s="1">
        <v>7</v>
      </c>
      <c r="L446" s="1">
        <v>9</v>
      </c>
      <c r="M446" s="1">
        <v>6</v>
      </c>
      <c r="N446" s="1">
        <v>3</v>
      </c>
      <c r="O446" s="1">
        <v>28</v>
      </c>
      <c r="P446" s="1">
        <v>9</v>
      </c>
      <c r="Q446" s="1">
        <v>6</v>
      </c>
      <c r="R446" s="1">
        <v>70</v>
      </c>
      <c r="S446" s="1">
        <v>94</v>
      </c>
    </row>
    <row r="447" spans="1:19">
      <c r="A447" s="1">
        <v>2022</v>
      </c>
      <c r="B447" s="1">
        <v>7</v>
      </c>
      <c r="C447" s="1" t="s">
        <v>35</v>
      </c>
      <c r="D447" s="1" t="e">
        <f t="array" aca="1" ref="D447" ca="1">_xludf.XLOOKUP(C447,'country region mapping'!$A$2:$A$250, 'country region mapping'!$E$2:$E$250)</f>
        <v>#NAME?</v>
      </c>
      <c r="E447" s="1" t="e">
        <f t="array" aca="1" ref="E447" ca="1">_xludf.XLOOKUP(C447,'country region mapping'!$A$2:$A$267,'country region mapping'!$F$2:$F$267)</f>
        <v>#NAME?</v>
      </c>
      <c r="F447" s="1" t="e">
        <f t="array" aca="1" ref="F447" ca="1">_xludf.XLOOKUP(C447,'country region mapping'!$A$2:$A$267,'country region mapping'!$G$2:$G$267)</f>
        <v>#NAME?</v>
      </c>
      <c r="G447" s="1">
        <v>7.3150000000000004</v>
      </c>
      <c r="H447" s="1">
        <v>20</v>
      </c>
      <c r="I447" s="1">
        <v>22</v>
      </c>
      <c r="J447" s="1">
        <v>4</v>
      </c>
      <c r="K447" s="1">
        <v>5</v>
      </c>
      <c r="L447" s="1">
        <v>10</v>
      </c>
      <c r="M447" s="1">
        <v>13</v>
      </c>
      <c r="N447" s="1">
        <v>6</v>
      </c>
      <c r="O447" s="1">
        <v>24</v>
      </c>
      <c r="P447" s="1">
        <v>32</v>
      </c>
      <c r="Q447" s="1">
        <v>13</v>
      </c>
      <c r="R447" s="1">
        <v>49</v>
      </c>
      <c r="S447" s="1">
        <v>77</v>
      </c>
    </row>
    <row r="448" spans="1:19">
      <c r="A448" s="1">
        <v>2022</v>
      </c>
      <c r="B448" s="1">
        <v>8</v>
      </c>
      <c r="C448" s="1" t="s">
        <v>32</v>
      </c>
      <c r="D448" s="1" t="e">
        <f t="array" aca="1" ref="D448" ca="1">_xludf.XLOOKUP(C448,'country region mapping'!$A$2:$A$250, 'country region mapping'!$E$2:$E$250)</f>
        <v>#NAME?</v>
      </c>
      <c r="E448" s="1" t="e">
        <f t="array" aca="1" ref="E448" ca="1">_xludf.XLOOKUP(C448,'country region mapping'!$A$2:$A$267,'country region mapping'!$F$2:$F$267)</f>
        <v>#NAME?</v>
      </c>
      <c r="F448" s="1" t="e">
        <f t="array" aca="1" ref="F448" ca="1">_xludf.XLOOKUP(C448,'country region mapping'!$A$2:$A$267,'country region mapping'!$G$2:$G$267)</f>
        <v>#NAME?</v>
      </c>
      <c r="G448" s="1">
        <v>7.24</v>
      </c>
      <c r="H448" s="1">
        <v>36</v>
      </c>
      <c r="I448" s="1">
        <v>45</v>
      </c>
      <c r="J448" s="1">
        <v>5</v>
      </c>
      <c r="K448" s="1">
        <v>6</v>
      </c>
      <c r="L448" s="1">
        <v>49</v>
      </c>
      <c r="M448" s="1">
        <v>20</v>
      </c>
      <c r="N448" s="1">
        <v>4</v>
      </c>
      <c r="O448" s="1">
        <v>54</v>
      </c>
      <c r="P448" s="1">
        <v>14</v>
      </c>
      <c r="Q448" s="1">
        <v>20</v>
      </c>
      <c r="R448" s="1">
        <v>51</v>
      </c>
      <c r="S448" s="1">
        <v>129</v>
      </c>
    </row>
    <row r="449" spans="1:19">
      <c r="A449" s="1">
        <v>2022</v>
      </c>
      <c r="B449" s="1">
        <v>9</v>
      </c>
      <c r="C449" s="1" t="s">
        <v>59</v>
      </c>
      <c r="D449" s="1" t="e">
        <f t="array" aca="1" ref="D449" ca="1">_xludf.XLOOKUP(C449,'country region mapping'!$A$2:$A$250, 'country region mapping'!$E$2:$E$250)</f>
        <v>#NAME?</v>
      </c>
      <c r="E449" s="1" t="e">
        <f t="array" aca="1" ref="E449" ca="1">_xludf.XLOOKUP(C449,'country region mapping'!$A$2:$A$267,'country region mapping'!$F$2:$F$267)</f>
        <v>#NAME?</v>
      </c>
      <c r="F449" s="1" t="e">
        <f t="array" aca="1" ref="F449" ca="1">_xludf.XLOOKUP(C449,'country region mapping'!$A$2:$A$267,'country region mapping'!$G$2:$G$267)</f>
        <v>#NAME?</v>
      </c>
      <c r="G449" s="1">
        <v>7.2279999999999998</v>
      </c>
      <c r="H449" s="1">
        <v>9</v>
      </c>
      <c r="I449" s="1">
        <v>48</v>
      </c>
      <c r="J449" s="1">
        <v>1</v>
      </c>
      <c r="K449" s="1"/>
      <c r="L449" s="1">
        <v>16</v>
      </c>
      <c r="M449" s="1">
        <v>36</v>
      </c>
      <c r="N449" s="1">
        <v>7</v>
      </c>
      <c r="O449" s="1">
        <v>46</v>
      </c>
      <c r="P449" s="1">
        <v>34</v>
      </c>
      <c r="Q449" s="1">
        <v>36</v>
      </c>
      <c r="R449" s="1">
        <v>43</v>
      </c>
      <c r="S449" s="1">
        <v>128</v>
      </c>
    </row>
    <row r="450" spans="1:19">
      <c r="A450" s="1">
        <v>2022</v>
      </c>
      <c r="B450" s="1">
        <v>10</v>
      </c>
      <c r="C450" s="1" t="s">
        <v>42</v>
      </c>
      <c r="D450" s="1" t="e">
        <f t="array" aca="1" ref="D450" ca="1">_xludf.XLOOKUP(C450,'country region mapping'!$A$2:$A$250, 'country region mapping'!$E$2:$E$250)</f>
        <v>#NAME?</v>
      </c>
      <c r="E450" s="1" t="e">
        <f t="array" aca="1" ref="E450" ca="1">_xludf.XLOOKUP(C450,'country region mapping'!$A$2:$A$267,'country region mapping'!$F$2:$F$267)</f>
        <v>#NAME?</v>
      </c>
      <c r="F450" s="1" t="e">
        <f t="array" aca="1" ref="F450" ca="1">_xludf.XLOOKUP(C450,'country region mapping'!$A$2:$A$267,'country region mapping'!$G$2:$G$267)</f>
        <v>#NAME?</v>
      </c>
      <c r="G450" s="1">
        <v>7.1230000000000002</v>
      </c>
      <c r="H450" s="1">
        <v>13</v>
      </c>
      <c r="I450" s="1">
        <v>5</v>
      </c>
      <c r="J450" s="1">
        <v>27</v>
      </c>
      <c r="K450" s="1">
        <v>17</v>
      </c>
      <c r="L450" s="1">
        <v>54</v>
      </c>
      <c r="M450" s="1">
        <v>17</v>
      </c>
      <c r="N450" s="1">
        <v>5</v>
      </c>
      <c r="O450" s="1">
        <v>58</v>
      </c>
      <c r="P450" s="1">
        <v>31</v>
      </c>
      <c r="Q450" s="1">
        <v>17</v>
      </c>
      <c r="R450" s="1">
        <v>20</v>
      </c>
      <c r="S450" s="1">
        <v>54</v>
      </c>
    </row>
    <row r="451" spans="1:19">
      <c r="A451" s="1">
        <v>2022</v>
      </c>
      <c r="B451" s="1">
        <v>11</v>
      </c>
      <c r="C451" s="1" t="s">
        <v>49</v>
      </c>
      <c r="D451" s="1" t="e">
        <f t="array" aca="1" ref="D451" ca="1">_xludf.XLOOKUP(C451,'country region mapping'!$A$2:$A$250, 'country region mapping'!$E$2:$E$250)</f>
        <v>#NAME?</v>
      </c>
      <c r="E451" s="1" t="e">
        <f t="array" aca="1" ref="E451" ca="1">_xludf.XLOOKUP(C451,'country region mapping'!$A$2:$A$267,'country region mapping'!$F$2:$F$267)</f>
        <v>#NAME?</v>
      </c>
      <c r="F451" s="1" t="e">
        <f t="array" aca="1" ref="F451" ca="1">_xludf.XLOOKUP(C451,'country region mapping'!$A$2:$A$267,'country region mapping'!$G$2:$G$267)</f>
        <v>#NAME?</v>
      </c>
      <c r="G451" s="1">
        <v>7.0970000000000004</v>
      </c>
      <c r="H451" s="1">
        <v>28</v>
      </c>
      <c r="I451" s="1">
        <v>50</v>
      </c>
      <c r="J451" s="1">
        <v>10</v>
      </c>
      <c r="K451" s="1">
        <v>19</v>
      </c>
      <c r="L451" s="1">
        <v>45</v>
      </c>
      <c r="M451" s="1">
        <v>21</v>
      </c>
      <c r="N451" s="1">
        <v>17</v>
      </c>
      <c r="O451" s="1">
        <v>45</v>
      </c>
      <c r="P451" s="1">
        <v>38</v>
      </c>
      <c r="Q451" s="1">
        <v>21</v>
      </c>
      <c r="R451" s="1">
        <v>56</v>
      </c>
      <c r="S451" s="1">
        <v>111</v>
      </c>
    </row>
    <row r="452" spans="1:19">
      <c r="A452" s="1">
        <v>2022</v>
      </c>
      <c r="B452" s="1">
        <v>12</v>
      </c>
      <c r="C452" s="1" t="s">
        <v>43</v>
      </c>
      <c r="D452" s="1" t="e">
        <f t="array" aca="1" ref="D452" ca="1">_xludf.XLOOKUP(C452,'country region mapping'!$A$2:$A$250, 'country region mapping'!$E$2:$E$250)</f>
        <v>#NAME?</v>
      </c>
      <c r="E452" s="1" t="e">
        <f t="array" aca="1" ref="E452" ca="1">_xludf.XLOOKUP(C452,'country region mapping'!$A$2:$A$267,'country region mapping'!$F$2:$F$267)</f>
        <v>#NAME?</v>
      </c>
      <c r="F452" s="1" t="e">
        <f t="array" aca="1" ref="F452" ca="1">_xludf.XLOOKUP(C452,'country region mapping'!$A$2:$A$267,'country region mapping'!$G$2:$G$267)</f>
        <v>#NAME?</v>
      </c>
      <c r="G452" s="1">
        <v>7.0949999999999998</v>
      </c>
      <c r="H452" s="1">
        <v>19</v>
      </c>
      <c r="I452" s="1">
        <v>12</v>
      </c>
      <c r="J452" s="1">
        <v>16</v>
      </c>
      <c r="K452" s="1">
        <v>12</v>
      </c>
      <c r="L452" s="1">
        <v>46</v>
      </c>
      <c r="M452" s="1">
        <v>19</v>
      </c>
      <c r="N452" s="1">
        <v>19</v>
      </c>
      <c r="O452" s="1">
        <v>51</v>
      </c>
      <c r="P452" s="1">
        <v>47</v>
      </c>
      <c r="Q452" s="1">
        <v>19</v>
      </c>
      <c r="R452" s="1">
        <v>42</v>
      </c>
      <c r="S452" s="1">
        <v>56</v>
      </c>
    </row>
    <row r="453" spans="1:19">
      <c r="A453" s="1">
        <v>2022</v>
      </c>
      <c r="B453" s="1">
        <v>13</v>
      </c>
      <c r="C453" s="1" t="s">
        <v>38</v>
      </c>
      <c r="D453" s="1" t="e">
        <f t="array" aca="1" ref="D453" ca="1">_xludf.XLOOKUP(C453,'country region mapping'!$A$2:$A$250, 'country region mapping'!$E$2:$E$250)</f>
        <v>#NAME?</v>
      </c>
      <c r="E453" s="1" t="e">
        <f t="array" aca="1" ref="E453" ca="1">_xludf.XLOOKUP(C453,'country region mapping'!$A$2:$A$267,'country region mapping'!$F$2:$F$267)</f>
        <v>#NAME?</v>
      </c>
      <c r="F453" s="1" t="e">
        <f t="array" aca="1" ref="F453" ca="1">_xludf.XLOOKUP(C453,'country region mapping'!$A$2:$A$267,'country region mapping'!$G$2:$G$267)</f>
        <v>#NAME?</v>
      </c>
      <c r="G453" s="1">
        <v>6.9610000000000003</v>
      </c>
      <c r="H453" s="1">
        <v>32</v>
      </c>
      <c r="I453" s="1">
        <v>18</v>
      </c>
      <c r="J453" s="1">
        <v>17</v>
      </c>
      <c r="K453" s="1">
        <v>21</v>
      </c>
      <c r="L453" s="1">
        <v>51</v>
      </c>
      <c r="M453" s="1">
        <v>11</v>
      </c>
      <c r="N453" s="1">
        <v>14</v>
      </c>
      <c r="O453" s="1">
        <v>42</v>
      </c>
      <c r="P453" s="1">
        <v>74</v>
      </c>
      <c r="Q453" s="1">
        <v>11</v>
      </c>
      <c r="R453" s="1">
        <v>37</v>
      </c>
      <c r="S453" s="1">
        <v>47</v>
      </c>
    </row>
    <row r="454" spans="1:19">
      <c r="A454" s="1">
        <v>2022</v>
      </c>
      <c r="B454" s="1">
        <v>14</v>
      </c>
      <c r="C454" s="1" t="s">
        <v>57</v>
      </c>
      <c r="D454" s="1" t="e">
        <f t="array" aca="1" ref="D454" ca="1">_xludf.XLOOKUP(C454,'country region mapping'!$A$2:$A$250, 'country region mapping'!$E$2:$E$250)</f>
        <v>#NAME?</v>
      </c>
      <c r="E454" s="1" t="e">
        <f t="array" aca="1" ref="E454" ca="1">_xludf.XLOOKUP(C454,'country region mapping'!$A$2:$A$267,'country region mapping'!$F$2:$F$267)</f>
        <v>#NAME?</v>
      </c>
      <c r="F454" s="1" t="e">
        <f t="array" aca="1" ref="F454" ca="1">_xludf.XLOOKUP(C454,'country region mapping'!$A$2:$A$267,'country region mapping'!$G$2:$G$267)</f>
        <v>#NAME?</v>
      </c>
      <c r="G454" s="1">
        <v>6.9109999999999996</v>
      </c>
      <c r="H454" s="1">
        <v>26</v>
      </c>
      <c r="I454" s="1">
        <v>28</v>
      </c>
      <c r="J454" s="1">
        <v>3</v>
      </c>
      <c r="K454" s="1">
        <v>16</v>
      </c>
      <c r="L454" s="1">
        <v>26</v>
      </c>
      <c r="M454" s="1">
        <v>14</v>
      </c>
      <c r="N454" s="1">
        <v>8</v>
      </c>
      <c r="O454" s="1">
        <v>35</v>
      </c>
      <c r="P454" s="1">
        <v>41</v>
      </c>
      <c r="Q454" s="1">
        <v>14</v>
      </c>
      <c r="R454" s="1">
        <v>35</v>
      </c>
      <c r="S454" s="1">
        <v>91</v>
      </c>
    </row>
    <row r="455" spans="1:19">
      <c r="A455" s="1">
        <v>2022</v>
      </c>
      <c r="B455" s="1">
        <v>15</v>
      </c>
      <c r="C455" s="1" t="s">
        <v>51</v>
      </c>
      <c r="D455" s="1" t="e">
        <f t="array" aca="1" ref="D455" ca="1">_xludf.XLOOKUP(C455,'country region mapping'!$A$2:$A$267,'country region mapping'!$E$2:$E$267)</f>
        <v>#NAME?</v>
      </c>
      <c r="E455" s="1" t="e">
        <f t="array" aca="1" ref="E455" ca="1">_xludf.XLOOKUP(C455,'country region mapping'!$A$2:$A$267,'country region mapping'!$F$2:$F$267)</f>
        <v>#NAME?</v>
      </c>
      <c r="F455" s="1" t="e">
        <f t="array" aca="1" ref="F455" ca="1">_xludf.XLOOKUP(C455,'country region mapping'!$A$2:$A$267,'country region mapping'!$G$2:$G$267)</f>
        <v>#NAME?</v>
      </c>
      <c r="G455" s="1">
        <v>6.8940000000000001</v>
      </c>
      <c r="H455" s="1">
        <v>44</v>
      </c>
      <c r="I455" s="1">
        <v>31</v>
      </c>
      <c r="J455" s="1">
        <v>6</v>
      </c>
      <c r="K455" s="1">
        <v>56</v>
      </c>
      <c r="L455" s="1">
        <v>94</v>
      </c>
      <c r="M455" s="1">
        <v>12</v>
      </c>
      <c r="N455" s="1">
        <v>41</v>
      </c>
      <c r="O455" s="1">
        <v>50</v>
      </c>
      <c r="P455" s="1">
        <v>62</v>
      </c>
      <c r="Q455" s="1">
        <v>12</v>
      </c>
      <c r="R455" s="1">
        <v>10</v>
      </c>
      <c r="S455" s="1">
        <v>9</v>
      </c>
    </row>
    <row r="456" spans="1:19">
      <c r="A456" s="1">
        <v>2022</v>
      </c>
      <c r="B456" s="1">
        <v>16</v>
      </c>
      <c r="C456" s="1" t="s">
        <v>539</v>
      </c>
      <c r="D456" s="1" t="e">
        <f t="array" aca="1" ref="D456" ca="1">_xludf.XLOOKUP(C456,'country region mapping'!$A$2:$A$250, 'country region mapping'!$E$2:$E$250)</f>
        <v>#NAME?</v>
      </c>
      <c r="E456" s="1" t="e">
        <f t="array" aca="1" ref="E456" ca="1">_xludf.XLOOKUP(C456,'country region mapping'!$A$2:$A$267,'country region mapping'!$F$2:$F$267)</f>
        <v>#NAME?</v>
      </c>
      <c r="F456" s="1" t="e">
        <f t="array" aca="1" ref="F456" ca="1">_xludf.XLOOKUP(C456,'country region mapping'!$A$2:$A$267,'country region mapping'!$G$2:$G$267)</f>
        <v>#NAME?</v>
      </c>
      <c r="G456" s="1">
        <v>6.8920000000000003</v>
      </c>
      <c r="H456" s="1">
        <v>39</v>
      </c>
      <c r="I456" s="1">
        <v>26</v>
      </c>
      <c r="J456" s="1">
        <v>14</v>
      </c>
      <c r="K456" s="1">
        <v>24</v>
      </c>
      <c r="L456" s="1">
        <v>25</v>
      </c>
      <c r="M456" s="1">
        <v>35</v>
      </c>
      <c r="N456" s="1">
        <v>12</v>
      </c>
      <c r="O456" s="1">
        <v>70</v>
      </c>
      <c r="P456" s="1">
        <v>23</v>
      </c>
      <c r="Q456" s="1">
        <v>35</v>
      </c>
      <c r="R456" s="1">
        <v>90</v>
      </c>
      <c r="S456" s="1">
        <v>59</v>
      </c>
    </row>
    <row r="457" spans="1:19">
      <c r="A457" s="1">
        <v>2022</v>
      </c>
      <c r="B457" s="1">
        <v>17</v>
      </c>
      <c r="C457" s="1" t="s">
        <v>415</v>
      </c>
      <c r="D457" s="1" t="e">
        <f t="array" aca="1" ref="D457" ca="1">_xludf.XLOOKUP(C457,'country region mapping'!$A$2:$A$250, 'country region mapping'!$E$2:$E$250)</f>
        <v>#NAME?</v>
      </c>
      <c r="E457" s="1" t="e">
        <f t="array" aca="1" ref="E457" ca="1">_xludf.XLOOKUP(C457,'country region mapping'!$A$2:$A$267,'country region mapping'!$F$2:$F$267)</f>
        <v>#NAME?</v>
      </c>
      <c r="F457" s="1" t="e">
        <f t="array" aca="1" ref="F457" ca="1">_xludf.XLOOKUP(C457,'country region mapping'!$A$2:$A$267,'country region mapping'!$G$2:$G$267)</f>
        <v>#NAME?</v>
      </c>
      <c r="G457" s="1">
        <v>6.859</v>
      </c>
      <c r="H457" s="1">
        <v>10</v>
      </c>
      <c r="I457" s="1">
        <v>24</v>
      </c>
      <c r="J457" s="1">
        <v>15</v>
      </c>
      <c r="K457" s="1">
        <v>20</v>
      </c>
      <c r="L457" s="1">
        <v>29</v>
      </c>
      <c r="M457" s="1">
        <v>33</v>
      </c>
      <c r="N457" s="1">
        <v>16</v>
      </c>
      <c r="O457" s="1">
        <v>44</v>
      </c>
      <c r="P457" s="1">
        <v>42</v>
      </c>
      <c r="Q457" s="1">
        <v>33</v>
      </c>
      <c r="R457" s="1">
        <v>68</v>
      </c>
      <c r="S457" s="1">
        <v>109</v>
      </c>
    </row>
    <row r="458" spans="1:19">
      <c r="A458" s="1">
        <v>2022</v>
      </c>
      <c r="B458" s="1">
        <v>18</v>
      </c>
      <c r="C458" s="1" t="s">
        <v>70</v>
      </c>
      <c r="D458" s="1" t="e">
        <f t="array" aca="1" ref="D458" ca="1">_xludf.XLOOKUP(C458,'country region mapping'!$A$2:$A$250, 'country region mapping'!$E$2:$E$250)</f>
        <v>#NAME?</v>
      </c>
      <c r="E458" s="1" t="e">
        <f t="array" aca="1" ref="E458" ca="1">_xludf.XLOOKUP(C458,'country region mapping'!$A$2:$A$267,'country region mapping'!$F$2:$F$267)</f>
        <v>#NAME?</v>
      </c>
      <c r="F458" s="1" t="e">
        <f t="array" aca="1" ref="F458" ca="1">_xludf.XLOOKUP(C458,'country region mapping'!$A$2:$A$267,'country region mapping'!$G$2:$G$267)</f>
        <v>#NAME?</v>
      </c>
      <c r="G458" s="1">
        <v>6.8449999999999998</v>
      </c>
      <c r="H458" s="1">
        <v>30</v>
      </c>
      <c r="I458" s="1">
        <v>10</v>
      </c>
      <c r="J458" s="1">
        <v>28</v>
      </c>
      <c r="K458" s="1">
        <v>36</v>
      </c>
      <c r="L458" s="1">
        <v>20</v>
      </c>
      <c r="M458" s="1">
        <v>37</v>
      </c>
      <c r="N458" s="1">
        <v>89</v>
      </c>
      <c r="O458" s="1">
        <v>30</v>
      </c>
      <c r="P458" s="1">
        <v>48</v>
      </c>
      <c r="Q458" s="1">
        <v>37</v>
      </c>
      <c r="R458" s="1">
        <v>75</v>
      </c>
      <c r="S458" s="1">
        <v>62</v>
      </c>
    </row>
    <row r="459" spans="1:19">
      <c r="A459" s="1">
        <v>2022</v>
      </c>
      <c r="B459" s="1">
        <v>20</v>
      </c>
      <c r="C459" s="1" t="s">
        <v>114</v>
      </c>
      <c r="D459" s="1" t="e">
        <f t="array" aca="1" ref="D459" ca="1">_xludf.XLOOKUP(C459,'country region mapping'!$A$2:$A$250, 'country region mapping'!$E$2:$E$250)</f>
        <v>#NAME?</v>
      </c>
      <c r="E459" s="1" t="e">
        <f t="array" aca="1" ref="E459" ca="1">_xludf.XLOOKUP(C459,'country region mapping'!$A$2:$A$267,'country region mapping'!$F$2:$F$267)</f>
        <v>#NAME?</v>
      </c>
      <c r="F459" s="1" t="e">
        <f t="array" aca="1" ref="F459" ca="1">_xludf.XLOOKUP(C459,'country region mapping'!$A$2:$A$267,'country region mapping'!$G$2:$G$267)</f>
        <v>#NAME?</v>
      </c>
      <c r="G459" s="1">
        <v>6.7629999999999999</v>
      </c>
      <c r="H459" s="1">
        <v>12</v>
      </c>
      <c r="I459" s="1">
        <v>13</v>
      </c>
      <c r="J459" s="1">
        <v>32</v>
      </c>
      <c r="K459" s="1">
        <v>52</v>
      </c>
      <c r="L459" s="1">
        <v>107</v>
      </c>
      <c r="M459" s="1">
        <v>105</v>
      </c>
      <c r="N459" s="1">
        <v>37</v>
      </c>
      <c r="O459" s="1">
        <v>133</v>
      </c>
      <c r="P459" s="1">
        <v>3</v>
      </c>
      <c r="Q459" s="1">
        <v>105</v>
      </c>
      <c r="R459" s="1">
        <v>116</v>
      </c>
      <c r="S459" s="1">
        <v>131</v>
      </c>
    </row>
    <row r="460" spans="1:19">
      <c r="A460" s="1">
        <v>2022</v>
      </c>
      <c r="B460" s="1">
        <v>21</v>
      </c>
      <c r="C460" s="1" t="s">
        <v>76</v>
      </c>
      <c r="D460" s="1" t="e">
        <f t="array" aca="1" ref="D460" ca="1">_xludf.XLOOKUP(C460,'country region mapping'!$A$2:$A$250, 'country region mapping'!$E$2:$E$250)</f>
        <v>#NAME?</v>
      </c>
      <c r="E460" s="1" t="e">
        <f t="array" aca="1" ref="E460" ca="1">_xludf.XLOOKUP(C460,'country region mapping'!$A$2:$A$267,'country region mapping'!$F$2:$F$267)</f>
        <v>#NAME?</v>
      </c>
      <c r="F460" s="1" t="e">
        <f t="array" aca="1" ref="F460" ca="1">_xludf.XLOOKUP(C460,'country region mapping'!$A$2:$A$267,'country region mapping'!$G$2:$G$267)</f>
        <v>#NAME?</v>
      </c>
      <c r="G460" s="1">
        <v>6.6609999999999996</v>
      </c>
      <c r="H460" s="1">
        <v>29</v>
      </c>
      <c r="I460" s="1">
        <v>59</v>
      </c>
      <c r="J460" s="1">
        <v>21</v>
      </c>
      <c r="K460" s="1">
        <v>14</v>
      </c>
      <c r="L460" s="1">
        <v>67</v>
      </c>
      <c r="M460" s="1">
        <v>55</v>
      </c>
      <c r="N460" s="1">
        <v>18</v>
      </c>
      <c r="O460" s="1">
        <v>61</v>
      </c>
      <c r="P460" s="1">
        <v>49</v>
      </c>
      <c r="Q460" s="1">
        <v>55</v>
      </c>
      <c r="R460" s="1">
        <v>30</v>
      </c>
      <c r="S460" s="1">
        <v>133</v>
      </c>
    </row>
    <row r="461" spans="1:19">
      <c r="A461" s="1">
        <v>2022</v>
      </c>
      <c r="B461" s="1">
        <v>22</v>
      </c>
      <c r="C461" s="1" t="s">
        <v>116</v>
      </c>
      <c r="D461" s="1" t="e">
        <f t="array" aca="1" ref="D461" ca="1">_xludf.XLOOKUP(C461,'country region mapping'!$A$2:$A$250, 'country region mapping'!$E$2:$E$250)</f>
        <v>#NAME?</v>
      </c>
      <c r="E461" s="1" t="e">
        <f t="array" aca="1" ref="E461" ca="1">_xludf.XLOOKUP(C461,'country region mapping'!$A$2:$A$267,'country region mapping'!$F$2:$F$267)</f>
        <v>#NAME?</v>
      </c>
      <c r="F461" s="1" t="e">
        <f t="array" aca="1" ref="F461" ca="1">_xludf.XLOOKUP(C461,'country region mapping'!$A$2:$A$267,'country region mapping'!$G$2:$G$267)</f>
        <v>#NAME?</v>
      </c>
      <c r="G461" s="1">
        <v>6.65</v>
      </c>
      <c r="H461" s="1">
        <v>31</v>
      </c>
      <c r="I461" s="1">
        <v>11</v>
      </c>
      <c r="J461" s="1">
        <v>30</v>
      </c>
      <c r="K461" s="1">
        <v>23</v>
      </c>
      <c r="L461" s="1">
        <v>13</v>
      </c>
      <c r="M461" s="1">
        <v>34</v>
      </c>
      <c r="N461" s="1">
        <v>65</v>
      </c>
      <c r="O461" s="1">
        <v>89</v>
      </c>
      <c r="P461" s="1">
        <v>46</v>
      </c>
      <c r="Q461" s="1">
        <v>34</v>
      </c>
      <c r="R461" s="1">
        <v>52</v>
      </c>
      <c r="S461" s="1">
        <v>115</v>
      </c>
    </row>
    <row r="462" spans="1:19">
      <c r="A462" s="1">
        <v>2022</v>
      </c>
      <c r="B462" s="1">
        <v>23</v>
      </c>
      <c r="C462" s="1" t="s">
        <v>52</v>
      </c>
      <c r="D462" s="1" t="e">
        <f t="array" aca="1" ref="D462" ca="1">_xludf.XLOOKUP(C462,'country region mapping'!$A$2:$A$250, 'country region mapping'!$E$2:$E$250)</f>
        <v>#NAME?</v>
      </c>
      <c r="E462" s="1" t="e">
        <f t="array" aca="1" ref="E462" ca="1">_xludf.XLOOKUP(C462,'country region mapping'!$A$2:$A$267,'country region mapping'!$F$2:$F$267)</f>
        <v>#NAME?</v>
      </c>
      <c r="F462" s="1" t="e">
        <f t="array" aca="1" ref="F462" ca="1">_xludf.XLOOKUP(C462,'country region mapping'!$A$2:$A$267,'country region mapping'!$G$2:$G$267)</f>
        <v>#NAME?</v>
      </c>
      <c r="G462" s="1">
        <v>6.609</v>
      </c>
      <c r="H462" s="1">
        <v>55</v>
      </c>
      <c r="I462" s="1">
        <v>30</v>
      </c>
      <c r="J462" s="1">
        <v>53</v>
      </c>
      <c r="K462" s="1">
        <v>29</v>
      </c>
      <c r="L462" s="1">
        <v>19</v>
      </c>
      <c r="M462" s="1">
        <v>73</v>
      </c>
      <c r="N462" s="1">
        <v>58</v>
      </c>
      <c r="O462" s="1">
        <v>9</v>
      </c>
      <c r="P462" s="1">
        <v>67</v>
      </c>
      <c r="Q462" s="1">
        <v>73</v>
      </c>
      <c r="R462" s="1">
        <v>83</v>
      </c>
      <c r="S462" s="1">
        <v>22</v>
      </c>
    </row>
    <row r="463" spans="1:19">
      <c r="A463" s="1">
        <v>2022</v>
      </c>
      <c r="B463" s="1">
        <v>24</v>
      </c>
      <c r="C463" s="1" t="s">
        <v>128</v>
      </c>
      <c r="D463" s="1" t="e">
        <f t="array" aca="1" ref="D463" ca="1">_xludf.XLOOKUP(C463,'country region mapping'!$A$2:$A$250, 'country region mapping'!$E$2:$E$250)</f>
        <v>#NAME?</v>
      </c>
      <c r="E463" s="1" t="e">
        <f t="array" aca="1" ref="E463" ca="1">_xludf.XLOOKUP(C463,'country region mapping'!$A$2:$A$267,'country region mapping'!$F$2:$F$267)</f>
        <v>#NAME?</v>
      </c>
      <c r="F463" s="1" t="e">
        <f t="array" aca="1" ref="F463" ca="1">_xludf.XLOOKUP(C463,'country region mapping'!$A$2:$A$267,'country region mapping'!$G$2:$G$267)</f>
        <v>#NAME?</v>
      </c>
      <c r="G463" s="1">
        <v>6.5890000000000004</v>
      </c>
      <c r="H463" s="1">
        <v>71</v>
      </c>
      <c r="I463" s="1">
        <v>71</v>
      </c>
      <c r="J463" s="1">
        <v>39</v>
      </c>
      <c r="K463" s="1">
        <v>58</v>
      </c>
      <c r="L463" s="1">
        <v>53</v>
      </c>
      <c r="M463" s="1">
        <v>102</v>
      </c>
      <c r="N463" s="1">
        <v>134</v>
      </c>
      <c r="O463" s="1">
        <v>93</v>
      </c>
      <c r="P463" s="1">
        <v>55</v>
      </c>
      <c r="Q463" s="1">
        <v>102</v>
      </c>
      <c r="R463" s="1">
        <v>121</v>
      </c>
      <c r="S463" s="1">
        <v>92</v>
      </c>
    </row>
    <row r="464" spans="1:19">
      <c r="A464" s="1">
        <v>2015</v>
      </c>
      <c r="B464" s="1">
        <v>18</v>
      </c>
      <c r="C464" s="1" t="s">
        <v>415</v>
      </c>
      <c r="D464" s="1" t="e">
        <f t="array" aca="1" ref="D464" ca="1">_xludf.XLOOKUP(C464,'country region mapping'!$A$2:$A$250, 'country region mapping'!$E$2:$E$250)</f>
        <v>#NAME?</v>
      </c>
      <c r="E464" s="1" t="e">
        <f t="array" aca="1" ref="E464" ca="1">_xludf.XLOOKUP(C464,'country region mapping'!$A$2:$A$267,'country region mapping'!$F$2:$F$267)</f>
        <v>#NAME?</v>
      </c>
      <c r="F464" s="1" t="e">
        <f t="array" aca="1" ref="F464" ca="1">_xludf.XLOOKUP(C464,'country region mapping'!$A$2:$A$267,'country region mapping'!$G$2:$G$267)</f>
        <v>#NAME?</v>
      </c>
      <c r="G464" s="1">
        <v>6.9290000000000003</v>
      </c>
      <c r="H464" s="1">
        <v>6</v>
      </c>
      <c r="I464" s="1">
        <v>44</v>
      </c>
      <c r="J464" s="1">
        <v>15</v>
      </c>
      <c r="K464" s="1">
        <v>28</v>
      </c>
      <c r="L464" s="1">
        <v>30</v>
      </c>
      <c r="M464" s="1">
        <v>35</v>
      </c>
      <c r="N464" s="1">
        <v>17</v>
      </c>
      <c r="O464" s="1">
        <v>34</v>
      </c>
      <c r="P464" s="1">
        <v>52</v>
      </c>
      <c r="Q464" s="1">
        <v>35</v>
      </c>
      <c r="R464" s="1">
        <v>37</v>
      </c>
      <c r="S464" s="1">
        <v>60</v>
      </c>
    </row>
    <row r="465" spans="1:19">
      <c r="A465" s="1">
        <v>2022</v>
      </c>
      <c r="B465" s="1">
        <v>25</v>
      </c>
      <c r="C465" s="1" t="s">
        <v>63</v>
      </c>
      <c r="D465" s="1" t="e">
        <f t="array" aca="1" ref="D465" ca="1">_xludf.XLOOKUP(C465,'country region mapping'!$A$2:$A$250, 'country region mapping'!$E$2:$E$250)</f>
        <v>#NAME?</v>
      </c>
      <c r="E465" s="1" t="e">
        <f t="array" aca="1" ref="E465" ca="1">_xludf.XLOOKUP(C465,'country region mapping'!$A$2:$A$267,'country region mapping'!$F$2:$F$267)</f>
        <v>#NAME?</v>
      </c>
      <c r="F465" s="1" t="e">
        <f t="array" aca="1" ref="F465" ca="1">_xludf.XLOOKUP(C465,'country region mapping'!$A$2:$A$267,'country region mapping'!$G$2:$G$267)</f>
        <v>#NAME?</v>
      </c>
      <c r="G465" s="1">
        <v>6.5869999999999997</v>
      </c>
      <c r="H465" s="1">
        <v>21</v>
      </c>
      <c r="I465" s="1">
        <v>67</v>
      </c>
      <c r="J465" s="1">
        <v>2</v>
      </c>
      <c r="K465" s="1">
        <v>1</v>
      </c>
      <c r="L465" s="1">
        <v>36</v>
      </c>
      <c r="M465" s="1">
        <v>22</v>
      </c>
      <c r="O465" s="14">
        <v>60</v>
      </c>
      <c r="P465" s="14">
        <v>30</v>
      </c>
      <c r="Q465" s="14">
        <v>22</v>
      </c>
      <c r="R465" s="14">
        <v>66</v>
      </c>
      <c r="S465" s="14">
        <v>44</v>
      </c>
    </row>
    <row r="466" spans="1:19">
      <c r="A466" s="1">
        <v>2015</v>
      </c>
      <c r="B466" s="1">
        <v>28</v>
      </c>
      <c r="C466" s="1" t="s">
        <v>71</v>
      </c>
      <c r="D466" s="1" t="e">
        <f t="array" aca="1" ref="D466" ca="1">_xludf.XLOOKUP(C466,'country region mapping'!$A$2:$A$250, 'country region mapping'!$E$2:$E$250)</f>
        <v>#NAME?</v>
      </c>
      <c r="E466" s="1" t="e">
        <f t="array" aca="1" ref="E466" ca="1">_xludf.XLOOKUP(C466,'country region mapping'!$A$2:$A$267,'country region mapping'!$F$2:$F$267)</f>
        <v>#NAME?</v>
      </c>
      <c r="F466" s="1" t="e">
        <f t="array" aca="1" ref="F466" ca="1">_xludf.XLOOKUP(C466,'country region mapping'!$A$2:$A$267,'country region mapping'!$G$2:$G$267)</f>
        <v>#NAME?</v>
      </c>
      <c r="G466" s="1">
        <v>6.5730000000000004</v>
      </c>
      <c r="H466" s="1">
        <v>73</v>
      </c>
      <c r="I466" s="1">
        <v>72</v>
      </c>
      <c r="J466" s="1">
        <v>7</v>
      </c>
      <c r="K466" s="1">
        <v>30</v>
      </c>
      <c r="L466" s="1">
        <v>15</v>
      </c>
      <c r="M466" s="1">
        <v>16</v>
      </c>
      <c r="O466" s="14">
        <v>46</v>
      </c>
      <c r="P466" s="14">
        <v>83</v>
      </c>
      <c r="Q466" s="14">
        <v>16</v>
      </c>
      <c r="R466" s="14">
        <v>61</v>
      </c>
      <c r="S466" s="14">
        <v>10</v>
      </c>
    </row>
    <row r="467" spans="1:19">
      <c r="A467" s="1">
        <v>2022</v>
      </c>
      <c r="B467" s="1">
        <v>28</v>
      </c>
      <c r="C467" s="1" t="s">
        <v>73</v>
      </c>
      <c r="D467" s="1" t="e">
        <f t="array" aca="1" ref="D467" ca="1">_xludf.XLOOKUP(C467,'country region mapping'!$A$2:$A$250, 'country region mapping'!$E$2:$E$250)</f>
        <v>#NAME?</v>
      </c>
      <c r="E467" s="1" t="e">
        <f t="array" aca="1" ref="E467" ca="1">_xludf.XLOOKUP(C467,'country region mapping'!$A$2:$A$267,'country region mapping'!$F$2:$F$267)</f>
        <v>#NAME?</v>
      </c>
      <c r="F467" s="1" t="e">
        <f t="array" aca="1" ref="F467" ca="1">_xludf.XLOOKUP(C467,'country region mapping'!$A$2:$A$267,'country region mapping'!$G$2:$G$267)</f>
        <v>#NAME?</v>
      </c>
      <c r="G467" s="1">
        <v>6.4939999999999998</v>
      </c>
      <c r="H467" s="1">
        <v>54</v>
      </c>
      <c r="I467" s="1">
        <v>29</v>
      </c>
      <c r="J467" s="1">
        <v>49</v>
      </c>
      <c r="K467" s="1">
        <v>45</v>
      </c>
      <c r="L467" s="1">
        <v>34</v>
      </c>
      <c r="M467" s="1">
        <v>71</v>
      </c>
      <c r="N467" s="1">
        <v>27</v>
      </c>
      <c r="O467" s="1">
        <v>14</v>
      </c>
      <c r="P467" s="1">
        <v>63</v>
      </c>
      <c r="Q467" s="1">
        <v>71</v>
      </c>
      <c r="R467" s="1">
        <v>72</v>
      </c>
      <c r="S467" s="1">
        <v>24</v>
      </c>
    </row>
    <row r="468" spans="1:19">
      <c r="A468" s="1">
        <v>2022</v>
      </c>
      <c r="B468" s="1">
        <v>29</v>
      </c>
      <c r="C468" s="1" t="s">
        <v>95</v>
      </c>
      <c r="D468" s="1" t="e">
        <f t="array" aca="1" ref="D468" ca="1">_xludf.XLOOKUP(C468,'country region mapping'!$A$2:$A$250, 'country region mapping'!$E$2:$E$250)</f>
        <v>#NAME?</v>
      </c>
      <c r="E468" s="1" t="e">
        <f t="array" aca="1" ref="E468" ca="1">_xludf.XLOOKUP(C468,'country region mapping'!$A$2:$A$267,'country region mapping'!$F$2:$F$267)</f>
        <v>#NAME?</v>
      </c>
      <c r="F468" s="1" t="e">
        <f t="array" aca="1" ref="F468" ca="1">_xludf.XLOOKUP(C468,'country region mapping'!$A$2:$A$267,'country region mapping'!$G$2:$G$267)</f>
        <v>#NAME?</v>
      </c>
      <c r="G468" s="1">
        <v>6.4690000000000003</v>
      </c>
      <c r="H468" s="1">
        <v>17</v>
      </c>
      <c r="I468" s="1">
        <v>4</v>
      </c>
      <c r="J468" s="1">
        <v>40</v>
      </c>
      <c r="K468" s="1">
        <v>47</v>
      </c>
      <c r="L468" s="1">
        <v>96</v>
      </c>
      <c r="M468" s="1">
        <v>83</v>
      </c>
      <c r="N468" s="1">
        <v>97</v>
      </c>
      <c r="O468" s="1">
        <v>71</v>
      </c>
      <c r="P468" s="1">
        <v>59</v>
      </c>
      <c r="Q468" s="1">
        <v>83</v>
      </c>
      <c r="R468" s="1">
        <v>99</v>
      </c>
      <c r="S468" s="1">
        <v>120</v>
      </c>
    </row>
    <row r="469" spans="1:19">
      <c r="A469" s="1">
        <v>2022</v>
      </c>
      <c r="B469" s="1">
        <v>26</v>
      </c>
      <c r="C469" s="1" t="s">
        <v>71</v>
      </c>
      <c r="D469" s="1" t="e">
        <f t="array" aca="1" ref="D469" ca="1">_xludf.XLOOKUP(C469,'country region mapping'!$A$2:$A$250, 'country region mapping'!$E$2:$E$250)</f>
        <v>#NAME?</v>
      </c>
      <c r="E469" s="1" t="e">
        <f t="array" aca="1" ref="E469" ca="1">_xludf.XLOOKUP(C469,'country region mapping'!$A$2:$A$267,'country region mapping'!$F$2:$F$267)</f>
        <v>#NAME?</v>
      </c>
      <c r="F469" s="1" t="e">
        <f t="array" aca="1" ref="F469" ca="1">_xludf.XLOOKUP(C469,'country region mapping'!$A$2:$A$267,'country region mapping'!$G$2:$G$267)</f>
        <v>#NAME?</v>
      </c>
      <c r="G469" s="1">
        <v>6.5709999999999997</v>
      </c>
      <c r="H469" s="1">
        <v>69</v>
      </c>
      <c r="I469" s="1">
        <v>89</v>
      </c>
      <c r="J469" s="1">
        <v>9</v>
      </c>
      <c r="K469" s="1">
        <v>30</v>
      </c>
      <c r="L469" s="1">
        <v>12</v>
      </c>
      <c r="M469" s="1">
        <v>15</v>
      </c>
      <c r="O469" s="14">
        <v>49</v>
      </c>
      <c r="P469" s="14">
        <v>45</v>
      </c>
      <c r="Q469" s="14">
        <v>15</v>
      </c>
      <c r="R469" s="14">
        <v>25</v>
      </c>
      <c r="S469" s="14">
        <v>68</v>
      </c>
    </row>
    <row r="470" spans="1:19">
      <c r="A470" s="1">
        <v>2022</v>
      </c>
      <c r="B470" s="1">
        <v>31</v>
      </c>
      <c r="C470" s="1" t="s">
        <v>129</v>
      </c>
      <c r="D470" s="1" t="e">
        <f t="array" aca="1" ref="D470" ca="1">_xludf.XLOOKUP(C470,'country region mapping'!$A$2:$A$250, 'country region mapping'!$E$2:$E$250)</f>
        <v>#NAME?</v>
      </c>
      <c r="E470" s="1" t="e">
        <f t="array" aca="1" ref="E470" ca="1">_xludf.XLOOKUP(C470,'country region mapping'!$A$2:$A$267,'country region mapping'!$F$2:$F$267)</f>
        <v>#NAME?</v>
      </c>
      <c r="F470" s="1" t="e">
        <f t="array" aca="1" ref="F470" ca="1">_xludf.XLOOKUP(C470,'country region mapping'!$A$2:$A$267,'country region mapping'!$G$2:$G$267)</f>
        <v>#NAME?</v>
      </c>
      <c r="G470" s="1">
        <v>6.4550000000000001</v>
      </c>
      <c r="H470" s="1">
        <v>16</v>
      </c>
      <c r="I470" s="1">
        <v>16</v>
      </c>
      <c r="J470" s="1">
        <v>34</v>
      </c>
      <c r="K470" s="1">
        <v>32</v>
      </c>
      <c r="L470" s="1">
        <v>21</v>
      </c>
      <c r="M470" s="1">
        <v>28</v>
      </c>
      <c r="N470" s="1">
        <v>10</v>
      </c>
      <c r="O470" s="1">
        <v>20</v>
      </c>
      <c r="P470" s="1">
        <v>17</v>
      </c>
      <c r="Q470" s="1">
        <v>28</v>
      </c>
      <c r="R470" s="1">
        <v>78</v>
      </c>
      <c r="S470" s="1">
        <v>83</v>
      </c>
    </row>
    <row r="471" spans="1:19">
      <c r="A471" s="1">
        <v>2022</v>
      </c>
      <c r="B471" s="1">
        <v>32</v>
      </c>
      <c r="C471" s="1" t="s">
        <v>274</v>
      </c>
      <c r="D471" s="1" t="e">
        <f t="array" aca="1" ref="D471" ca="1">_xludf.XLOOKUP(C471,'country region mapping'!$A$2:$A$250, 'country region mapping'!$E$2:$E$250)</f>
        <v>#NAME?</v>
      </c>
      <c r="E471" s="1" t="e">
        <f t="array" aca="1" ref="E471" ca="1">_xludf.XLOOKUP(C471,'country region mapping'!$A$2:$A$267,'country region mapping'!$F$2:$F$267)</f>
        <v>#NAME?</v>
      </c>
      <c r="F471" s="1" t="e">
        <f t="array" aca="1" ref="F471" ca="1">_xludf.XLOOKUP(C471,'country region mapping'!$A$2:$A$267,'country region mapping'!$G$2:$G$267)</f>
        <v>#NAME?</v>
      </c>
      <c r="G471" s="1">
        <v>6.4359999999999999</v>
      </c>
      <c r="H471" s="1">
        <v>27</v>
      </c>
      <c r="I471" s="1">
        <v>15</v>
      </c>
      <c r="J471" s="1">
        <v>31</v>
      </c>
      <c r="K471" s="1">
        <v>8</v>
      </c>
      <c r="L471" s="1">
        <v>76</v>
      </c>
      <c r="M471" s="1">
        <v>49</v>
      </c>
      <c r="N471" s="1">
        <v>36</v>
      </c>
      <c r="O471" s="1">
        <v>82</v>
      </c>
      <c r="P471" s="1">
        <v>92</v>
      </c>
      <c r="Q471" s="1">
        <v>49</v>
      </c>
      <c r="R471" s="1">
        <v>96</v>
      </c>
      <c r="S471" s="1">
        <v>96</v>
      </c>
    </row>
    <row r="472" spans="1:19">
      <c r="A472" s="1">
        <v>2022</v>
      </c>
      <c r="B472" s="1">
        <v>33</v>
      </c>
      <c r="C472" s="1" t="s">
        <v>100</v>
      </c>
      <c r="D472" s="1" t="e">
        <f t="array" aca="1" ref="D472" ca="1">_xludf.XLOOKUP(C472,'country region mapping'!$A$2:$A$250, 'country region mapping'!$E$2:$E$250)</f>
        <v>#NAME?</v>
      </c>
      <c r="E472" s="1" t="e">
        <f t="array" aca="1" ref="E472" ca="1">_xludf.XLOOKUP(C472,'country region mapping'!$A$2:$A$267,'country region mapping'!$F$2:$F$267)</f>
        <v>#NAME?</v>
      </c>
      <c r="F472" s="1" t="e">
        <f t="array" aca="1" ref="F472" ca="1">_xludf.XLOOKUP(C472,'country region mapping'!$A$2:$A$267,'country region mapping'!$G$2:$G$267)</f>
        <v>#NAME?</v>
      </c>
      <c r="G472" s="1">
        <v>6.4050000000000002</v>
      </c>
      <c r="H472" s="1">
        <v>22</v>
      </c>
      <c r="I472" s="1">
        <v>55</v>
      </c>
      <c r="J472" s="1">
        <v>23</v>
      </c>
      <c r="K472" s="1">
        <v>13</v>
      </c>
      <c r="L472" s="1">
        <v>106</v>
      </c>
      <c r="M472" s="1">
        <v>40</v>
      </c>
      <c r="N472" s="1">
        <v>86</v>
      </c>
      <c r="O472" s="1">
        <v>90</v>
      </c>
      <c r="P472" s="1">
        <v>83</v>
      </c>
      <c r="Q472" s="1">
        <v>40</v>
      </c>
      <c r="R472" s="1">
        <v>104</v>
      </c>
      <c r="S472" s="1">
        <v>103</v>
      </c>
    </row>
    <row r="473" spans="1:19">
      <c r="A473" s="1">
        <v>2015</v>
      </c>
      <c r="B473" s="1">
        <v>34</v>
      </c>
      <c r="C473" s="1" t="s">
        <v>79</v>
      </c>
      <c r="D473" s="1" t="e">
        <f t="array" aca="1" ref="D473" ca="1">_xludf.XLOOKUP(C473,'country region mapping'!$A$2:$A$250, 'country region mapping'!$E$2:$E$250)</f>
        <v>#NAME?</v>
      </c>
      <c r="E473" s="1" t="e">
        <f t="array" aca="1" ref="E473" ca="1">_xludf.XLOOKUP(C473,'country region mapping'!$A$2:$A$267,'country region mapping'!$F$2:$F$267)</f>
        <v>#NAME?</v>
      </c>
      <c r="F473" s="1" t="e">
        <f t="array" aca="1" ref="F473" ca="1">_xludf.XLOOKUP(C473,'country region mapping'!$A$2:$A$267,'country region mapping'!$G$2:$G$267)</f>
        <v>#NAME?</v>
      </c>
      <c r="G473" s="1">
        <v>6.3789999999999996</v>
      </c>
      <c r="H473" s="1">
        <v>117</v>
      </c>
      <c r="I473" s="1">
        <v>75</v>
      </c>
      <c r="J473" s="1">
        <v>20</v>
      </c>
      <c r="K473" s="1">
        <v>56</v>
      </c>
      <c r="L473" s="1">
        <v>45</v>
      </c>
      <c r="M473" s="1">
        <v>45</v>
      </c>
      <c r="O473" s="14">
        <v>67</v>
      </c>
      <c r="P473" s="14">
        <v>103</v>
      </c>
      <c r="Q473" s="14">
        <v>45</v>
      </c>
      <c r="R473" s="14">
        <v>97</v>
      </c>
      <c r="S473" s="14">
        <v>9</v>
      </c>
    </row>
    <row r="474" spans="1:19">
      <c r="A474" s="1">
        <v>2022</v>
      </c>
      <c r="B474" s="1">
        <v>35</v>
      </c>
      <c r="C474" s="1" t="s">
        <v>66</v>
      </c>
      <c r="D474" s="1" t="e">
        <f t="array" aca="1" ref="D474" ca="1">_xludf.XLOOKUP(C474,'country region mapping'!$A$2:$A$250, 'country region mapping'!$E$2:$E$250)</f>
        <v>#NAME?</v>
      </c>
      <c r="E474" s="1" t="e">
        <f t="array" aca="1" ref="E474" ca="1">_xludf.XLOOKUP(C474,'country region mapping'!$A$2:$A$267,'country region mapping'!$F$2:$F$267)</f>
        <v>#NAME?</v>
      </c>
      <c r="F474" s="1" t="e">
        <f t="array" aca="1" ref="F474" ca="1">_xludf.XLOOKUP(C474,'country region mapping'!$A$2:$A$267,'country region mapping'!$G$2:$G$267)</f>
        <v>#NAME?</v>
      </c>
      <c r="G474" s="1">
        <v>6.3339999999999996</v>
      </c>
      <c r="H474" s="1">
        <v>41</v>
      </c>
      <c r="I474" s="1">
        <v>41</v>
      </c>
      <c r="J474" s="1">
        <v>50</v>
      </c>
      <c r="K474" s="1">
        <v>28</v>
      </c>
      <c r="L474" s="1">
        <v>70</v>
      </c>
      <c r="M474" s="1">
        <v>62</v>
      </c>
      <c r="N474" s="1">
        <v>77</v>
      </c>
      <c r="O474" s="1">
        <v>15</v>
      </c>
      <c r="P474" s="1">
        <v>51</v>
      </c>
      <c r="Q474" s="1">
        <v>62</v>
      </c>
      <c r="R474" s="1">
        <v>97</v>
      </c>
      <c r="S474" s="1">
        <v>36</v>
      </c>
    </row>
    <row r="475" spans="1:19">
      <c r="A475" s="1">
        <v>2022</v>
      </c>
      <c r="B475" s="1">
        <v>36</v>
      </c>
      <c r="C475" s="1" t="s">
        <v>61</v>
      </c>
      <c r="D475" s="1" t="e">
        <f t="array" aca="1" ref="D475" ca="1">_xludf.XLOOKUP(C475,'country region mapping'!$A$2:$A$250, 'country region mapping'!$E$2:$E$250)</f>
        <v>#NAME?</v>
      </c>
      <c r="E475" s="1" t="e">
        <f t="array" aca="1" ref="E475" ca="1">_xludf.XLOOKUP(C475,'country region mapping'!$A$2:$A$267,'country region mapping'!$F$2:$F$267)</f>
        <v>#NAME?</v>
      </c>
      <c r="F475" s="1" t="e">
        <f t="array" aca="1" ref="F475" ca="1">_xludf.XLOOKUP(C475,'country region mapping'!$A$2:$A$267,'country region mapping'!$G$2:$G$267)</f>
        <v>#NAME?</v>
      </c>
      <c r="G475" s="1">
        <v>6.33</v>
      </c>
      <c r="H475" s="1">
        <v>53</v>
      </c>
      <c r="I475" s="1">
        <v>65</v>
      </c>
      <c r="J475" s="1">
        <v>58</v>
      </c>
      <c r="K475" s="1">
        <v>79</v>
      </c>
      <c r="L475" s="1">
        <v>41</v>
      </c>
      <c r="M475" s="1">
        <v>97</v>
      </c>
      <c r="N475" s="1">
        <v>73</v>
      </c>
      <c r="O475" s="1">
        <v>6</v>
      </c>
      <c r="P475" s="1">
        <v>27</v>
      </c>
      <c r="Q475" s="1">
        <v>97</v>
      </c>
      <c r="R475" s="1">
        <v>89</v>
      </c>
      <c r="S475" s="1">
        <v>72</v>
      </c>
    </row>
    <row r="476" spans="1:19">
      <c r="A476" s="1">
        <v>2022</v>
      </c>
      <c r="B476" s="1">
        <v>37</v>
      </c>
      <c r="C476" s="1" t="s">
        <v>74</v>
      </c>
      <c r="D476" s="1" t="e">
        <f t="array" aca="1" ref="D476" ca="1">_xludf.XLOOKUP(C476,'country region mapping'!$A$2:$A$250, 'country region mapping'!$E$2:$E$250)</f>
        <v>#NAME?</v>
      </c>
      <c r="E476" s="1" t="e">
        <f t="array" aca="1" ref="E476" ca="1">_xludf.XLOOKUP(C476,'country region mapping'!$A$2:$A$267,'country region mapping'!$F$2:$F$267)</f>
        <v>#NAME?</v>
      </c>
      <c r="F476" s="1" t="e">
        <f t="array" aca="1" ref="F476" ca="1">_xludf.XLOOKUP(C476,'country region mapping'!$A$2:$A$267,'country region mapping'!$G$2:$G$267)</f>
        <v>#NAME?</v>
      </c>
      <c r="G476" s="1">
        <v>6.3</v>
      </c>
      <c r="H476" s="1">
        <v>40</v>
      </c>
      <c r="I476" s="1">
        <v>17</v>
      </c>
      <c r="J476" s="1">
        <v>18</v>
      </c>
      <c r="K476" s="1">
        <v>11</v>
      </c>
      <c r="L476" s="1">
        <v>52</v>
      </c>
      <c r="M476" s="1">
        <v>5</v>
      </c>
      <c r="N476" s="1">
        <v>62</v>
      </c>
      <c r="O476" s="1">
        <v>67</v>
      </c>
      <c r="P476" s="1">
        <v>109</v>
      </c>
      <c r="Q476" s="1">
        <v>5</v>
      </c>
      <c r="R476" s="1">
        <v>62</v>
      </c>
      <c r="S476" s="1">
        <v>90</v>
      </c>
    </row>
    <row r="477" spans="1:19">
      <c r="A477" s="1">
        <v>2022</v>
      </c>
      <c r="B477" s="1">
        <v>38</v>
      </c>
      <c r="C477" s="1" t="s">
        <v>67</v>
      </c>
      <c r="D477" s="1" t="e">
        <f t="array" aca="1" ref="D477" ca="1">_xludf.XLOOKUP(C477,'country region mapping'!$A$2:$A$250, 'country region mapping'!$E$2:$E$250)</f>
        <v>#NAME?</v>
      </c>
      <c r="E477" s="1" t="e">
        <f t="array" aca="1" ref="E477" ca="1">_xludf.XLOOKUP(C477,'country region mapping'!$A$2:$A$267,'country region mapping'!$F$2:$F$267)</f>
        <v>#NAME?</v>
      </c>
      <c r="F477" s="1" t="e">
        <f t="array" aca="1" ref="F477" ca="1">_xludf.XLOOKUP(C477,'country region mapping'!$A$2:$A$267,'country region mapping'!$G$2:$G$267)</f>
        <v>#NAME?</v>
      </c>
      <c r="G477" s="1">
        <v>6.2649999999999997</v>
      </c>
      <c r="H477" s="1">
        <v>116</v>
      </c>
      <c r="I477" s="1">
        <v>38</v>
      </c>
      <c r="J477" s="1">
        <v>44</v>
      </c>
      <c r="K477" s="1">
        <v>33</v>
      </c>
      <c r="L477" s="1">
        <v>24</v>
      </c>
      <c r="M477" s="1">
        <v>82</v>
      </c>
      <c r="N477" s="1">
        <v>123</v>
      </c>
      <c r="O477" s="1">
        <v>5</v>
      </c>
      <c r="P477" s="1">
        <v>57</v>
      </c>
      <c r="Q477" s="1">
        <v>82</v>
      </c>
      <c r="R477" s="1">
        <v>32</v>
      </c>
      <c r="S477" s="1">
        <v>39</v>
      </c>
    </row>
    <row r="478" spans="1:19">
      <c r="A478" s="1">
        <v>2022</v>
      </c>
      <c r="B478" s="1">
        <v>39</v>
      </c>
      <c r="C478" s="1" t="s">
        <v>109</v>
      </c>
      <c r="D478" s="1" t="e">
        <f t="array" aca="1" ref="D478" ca="1">_xludf.XLOOKUP(C478,'country region mapping'!$A$2:$A$250, 'country region mapping'!$E$2:$E$250)</f>
        <v>#NAME?</v>
      </c>
      <c r="E478" s="1" t="e">
        <f t="array" aca="1" ref="E478" ca="1">_xludf.XLOOKUP(C478,'country region mapping'!$A$2:$A$267,'country region mapping'!$F$2:$F$267)</f>
        <v>#NAME?</v>
      </c>
      <c r="F478" s="1" t="e">
        <f t="array" aca="1" ref="F478" ca="1">_xludf.XLOOKUP(C478,'country region mapping'!$A$2:$A$267,'country region mapping'!$G$2:$G$267)</f>
        <v>#NAME?</v>
      </c>
      <c r="G478" s="1">
        <v>6.26</v>
      </c>
      <c r="H478" s="1">
        <v>5</v>
      </c>
      <c r="I478" s="1">
        <v>43</v>
      </c>
      <c r="J478" s="1">
        <v>35</v>
      </c>
      <c r="K478" s="1">
        <v>40</v>
      </c>
      <c r="L478" s="1">
        <v>65</v>
      </c>
      <c r="M478" s="1">
        <v>113</v>
      </c>
      <c r="N478" s="1">
        <v>34</v>
      </c>
      <c r="O478" s="1">
        <v>98</v>
      </c>
      <c r="P478" s="1">
        <v>5</v>
      </c>
      <c r="Q478" s="1">
        <v>113</v>
      </c>
      <c r="R478" s="1">
        <v>139</v>
      </c>
      <c r="S478" s="1">
        <v>139</v>
      </c>
    </row>
    <row r="479" spans="1:19">
      <c r="A479" s="1">
        <v>2022</v>
      </c>
      <c r="B479" s="1">
        <v>40</v>
      </c>
      <c r="C479" s="1" t="s">
        <v>98</v>
      </c>
      <c r="D479" s="1" t="e">
        <f t="array" aca="1" ref="D479" ca="1">_xludf.XLOOKUP(C479,'country region mapping'!$A$2:$A$250, 'country region mapping'!$E$2:$E$250)</f>
        <v>#NAME?</v>
      </c>
      <c r="E479" s="1" t="e">
        <f t="array" aca="1" ref="E479" ca="1">_xludf.XLOOKUP(C479,'country region mapping'!$A$2:$A$267,'country region mapping'!$F$2:$F$267)</f>
        <v>#NAME?</v>
      </c>
      <c r="F479" s="1" t="e">
        <f t="array" aca="1" ref="F479" ca="1">_xludf.XLOOKUP(C479,'country region mapping'!$A$2:$A$267,'country region mapping'!$G$2:$G$267)</f>
        <v>#NAME?</v>
      </c>
      <c r="G479" s="1">
        <v>6.2590000000000003</v>
      </c>
      <c r="H479" s="1">
        <v>130</v>
      </c>
      <c r="I479" s="1">
        <v>69</v>
      </c>
      <c r="J479" s="1">
        <v>100</v>
      </c>
      <c r="K479" s="1">
        <v>50</v>
      </c>
      <c r="L479" s="1">
        <v>18</v>
      </c>
      <c r="M479" s="1">
        <v>84</v>
      </c>
      <c r="N479" s="1">
        <v>20</v>
      </c>
      <c r="O479" s="1">
        <v>11</v>
      </c>
      <c r="P479" s="1">
        <v>97</v>
      </c>
      <c r="Q479" s="1">
        <v>84</v>
      </c>
      <c r="R479" s="1">
        <v>46</v>
      </c>
      <c r="S479" s="1">
        <v>66</v>
      </c>
    </row>
    <row r="480" spans="1:19">
      <c r="A480" s="1">
        <v>2022</v>
      </c>
      <c r="B480" s="1">
        <v>41</v>
      </c>
      <c r="C480" s="1" t="s">
        <v>123</v>
      </c>
      <c r="D480" s="1" t="e">
        <f t="array" aca="1" ref="D480" ca="1">_xludf.XLOOKUP(C480,'country region mapping'!$A$2:$A$250, 'country region mapping'!$E$2:$E$250)</f>
        <v>#NAME?</v>
      </c>
      <c r="E480" s="1" t="e">
        <f t="array" aca="1" ref="E480" ca="1">_xludf.XLOOKUP(C480,'country region mapping'!$A$2:$A$267,'country region mapping'!$F$2:$F$267)</f>
        <v>#NAME?</v>
      </c>
      <c r="F480" s="1" t="e">
        <f t="array" aca="1" ref="F480" ca="1">_xludf.XLOOKUP(C480,'country region mapping'!$A$2:$A$267,'country region mapping'!$G$2:$G$267)</f>
        <v>#NAME?</v>
      </c>
      <c r="G480" s="1">
        <v>6.2130000000000001</v>
      </c>
      <c r="H480" s="1">
        <v>24</v>
      </c>
      <c r="I480" s="1">
        <v>20</v>
      </c>
      <c r="J480" s="1">
        <v>42</v>
      </c>
      <c r="K480" s="1">
        <v>59</v>
      </c>
      <c r="L480" s="1">
        <v>61</v>
      </c>
      <c r="M480" s="1">
        <v>47</v>
      </c>
      <c r="N480" s="1">
        <v>98</v>
      </c>
      <c r="O480" s="1">
        <v>83</v>
      </c>
      <c r="P480" s="1">
        <v>8</v>
      </c>
      <c r="Q480" s="1">
        <v>47</v>
      </c>
      <c r="R480" s="1">
        <v>108</v>
      </c>
      <c r="S480" s="1">
        <v>86</v>
      </c>
    </row>
    <row r="481" spans="1:19">
      <c r="A481" s="1">
        <v>2022</v>
      </c>
      <c r="B481" s="1">
        <v>42</v>
      </c>
      <c r="C481" s="1" t="s">
        <v>90</v>
      </c>
      <c r="D481" s="1" t="e">
        <f t="array" aca="1" ref="D481" ca="1">_xludf.XLOOKUP(C481,'country region mapping'!$A$2:$A$250, 'country region mapping'!$E$2:$E$250)</f>
        <v>#NAME?</v>
      </c>
      <c r="E481" s="1" t="e">
        <f t="array" aca="1" ref="E481" ca="1">_xludf.XLOOKUP(C481,'country region mapping'!$A$2:$A$267,'country region mapping'!$F$2:$F$267)</f>
        <v>#NAME?</v>
      </c>
      <c r="F481" s="1" t="e">
        <f t="array" aca="1" ref="F481" ca="1">_xludf.XLOOKUP(C481,'country region mapping'!$A$2:$A$267,'country region mapping'!$G$2:$G$267)</f>
        <v>#NAME?</v>
      </c>
      <c r="G481" s="1">
        <v>6.173</v>
      </c>
      <c r="H481" s="1"/>
      <c r="I481" s="1"/>
      <c r="J481" s="1"/>
      <c r="K481" s="1"/>
      <c r="L481" s="1"/>
      <c r="M481" s="1"/>
      <c r="N481" s="1"/>
      <c r="O481" s="1"/>
      <c r="S481" s="1"/>
    </row>
    <row r="482" spans="1:19">
      <c r="A482" s="1">
        <v>2022</v>
      </c>
      <c r="B482" s="1">
        <v>43</v>
      </c>
      <c r="C482" s="1" t="s">
        <v>86</v>
      </c>
      <c r="D482" s="1" t="e">
        <f t="array" aca="1" ref="D482" ca="1">_xludf.XLOOKUP(C482,'country region mapping'!$A$2:$A$250, 'country region mapping'!$E$2:$E$250)</f>
        <v>#NAME?</v>
      </c>
      <c r="E482" s="1" t="e">
        <f t="array" aca="1" ref="E482" ca="1">_xludf.XLOOKUP(C482,'country region mapping'!$A$2:$A$267,'country region mapping'!$F$2:$F$267)</f>
        <v>#NAME?</v>
      </c>
      <c r="F482" s="1" t="e">
        <f t="array" aca="1" ref="F482" ca="1">_xludf.XLOOKUP(C482,'country region mapping'!$A$2:$A$267,'country region mapping'!$G$2:$G$267)</f>
        <v>#NAME?</v>
      </c>
      <c r="G482" s="1">
        <v>6.15</v>
      </c>
      <c r="H482" s="1">
        <v>110</v>
      </c>
      <c r="I482" s="1">
        <v>86</v>
      </c>
      <c r="J482" s="1">
        <v>85</v>
      </c>
      <c r="K482" s="1"/>
      <c r="L482" s="1">
        <v>43</v>
      </c>
      <c r="M482" s="1">
        <v>95</v>
      </c>
      <c r="N482" s="1">
        <v>91</v>
      </c>
      <c r="O482" s="1">
        <v>1</v>
      </c>
      <c r="P482" s="1">
        <v>60</v>
      </c>
      <c r="Q482" s="1">
        <v>95</v>
      </c>
      <c r="R482" s="1">
        <v>27</v>
      </c>
      <c r="S482" s="1">
        <v>71</v>
      </c>
    </row>
    <row r="483" spans="1:19">
      <c r="A483" s="1">
        <v>2022</v>
      </c>
      <c r="B483" s="1">
        <v>45</v>
      </c>
      <c r="C483" s="1" t="s">
        <v>145</v>
      </c>
      <c r="D483" s="1" t="e">
        <f t="array" aca="1" ref="D483" ca="1">_xludf.XLOOKUP(C483,'country region mapping'!$A$2:$A$250, 'country region mapping'!$E$2:$E$250)</f>
        <v>#NAME?</v>
      </c>
      <c r="E483" s="1" t="e">
        <f t="array" aca="1" ref="E483" ca="1">_xludf.XLOOKUP(C483,'country region mapping'!$A$2:$A$267,'country region mapping'!$F$2:$F$267)</f>
        <v>#NAME?</v>
      </c>
      <c r="F483" s="1" t="e">
        <f t="array" aca="1" ref="F483" ca="1">_xludf.XLOOKUP(C483,'country region mapping'!$A$2:$A$267,'country region mapping'!$G$2:$G$267)</f>
        <v>#NAME?</v>
      </c>
      <c r="G483" s="1">
        <v>6.1440000000000001</v>
      </c>
      <c r="H483" s="1">
        <v>60</v>
      </c>
      <c r="I483" s="1">
        <v>36</v>
      </c>
      <c r="J483" s="1">
        <v>55</v>
      </c>
      <c r="K483" s="1">
        <v>57</v>
      </c>
      <c r="L483" s="1">
        <v>75</v>
      </c>
      <c r="M483" s="1">
        <v>41</v>
      </c>
      <c r="N483" s="1">
        <v>79</v>
      </c>
      <c r="O483" s="1">
        <v>127</v>
      </c>
      <c r="P483" s="1">
        <v>68</v>
      </c>
      <c r="Q483" s="1">
        <v>41</v>
      </c>
      <c r="R483" s="1">
        <v>136</v>
      </c>
      <c r="S483" s="1">
        <v>134</v>
      </c>
    </row>
    <row r="484" spans="1:19">
      <c r="A484" s="1">
        <v>2022</v>
      </c>
      <c r="B484" s="1">
        <v>44</v>
      </c>
      <c r="C484" s="1" t="s">
        <v>106</v>
      </c>
      <c r="D484" s="1" t="e">
        <f t="array" aca="1" ref="D484" ca="1">_xludf.XLOOKUP(C484,'country region mapping'!$A$2:$A$250, 'country region mapping'!$E$2:$E$250)</f>
        <v>#NAME?</v>
      </c>
      <c r="E484" s="1" t="e">
        <f t="array" aca="1" ref="E484" ca="1">_xludf.XLOOKUP(C484,'country region mapping'!$A$2:$A$267,'country region mapping'!$F$2:$F$267)</f>
        <v>#NAME?</v>
      </c>
      <c r="F484" s="1" t="e">
        <f t="array" aca="1" ref="F484" ca="1">_xludf.XLOOKUP(C484,'country region mapping'!$A$2:$A$267,'country region mapping'!$G$2:$G$267)</f>
        <v>#NAME?</v>
      </c>
      <c r="G484" s="1">
        <v>6.1440000000000001</v>
      </c>
      <c r="H484" s="1">
        <v>38</v>
      </c>
      <c r="I484" s="1">
        <v>23</v>
      </c>
      <c r="J484" s="1">
        <v>45</v>
      </c>
      <c r="K484" s="1">
        <v>77</v>
      </c>
      <c r="L484" s="1">
        <v>32</v>
      </c>
      <c r="M484" s="1">
        <v>51</v>
      </c>
      <c r="N484" s="1">
        <v>48</v>
      </c>
      <c r="O484" s="1">
        <v>77</v>
      </c>
      <c r="P484" s="1">
        <v>4</v>
      </c>
      <c r="Q484" s="1">
        <v>51</v>
      </c>
      <c r="R484" s="1">
        <v>109</v>
      </c>
      <c r="S484" s="1">
        <v>118</v>
      </c>
    </row>
    <row r="485" spans="1:19">
      <c r="A485" s="1">
        <v>2022</v>
      </c>
      <c r="B485" s="1">
        <v>46</v>
      </c>
      <c r="C485" s="1" t="s">
        <v>124</v>
      </c>
      <c r="D485" s="1" t="e">
        <f t="array" aca="1" ref="D485" ca="1">_xludf.XLOOKUP(C485,'country region mapping'!$A$2:$A$250, 'country region mapping'!$E$2:$E$250)</f>
        <v>#NAME?</v>
      </c>
      <c r="E485" s="1" t="e">
        <f t="array" aca="1" ref="E485" ca="1">_xludf.XLOOKUP(C485,'country region mapping'!$A$2:$A$267,'country region mapping'!$F$2:$F$267)</f>
        <v>#NAME?</v>
      </c>
      <c r="F485" s="1" t="e">
        <f t="array" aca="1" ref="F485" ca="1">_xludf.XLOOKUP(C485,'country region mapping'!$A$2:$A$267,'country region mapping'!$G$2:$G$267)</f>
        <v>#NAME?</v>
      </c>
      <c r="G485" s="1">
        <v>6.13</v>
      </c>
      <c r="H485" s="1">
        <v>58</v>
      </c>
      <c r="I485" s="1">
        <v>78</v>
      </c>
      <c r="J485" s="1">
        <v>24</v>
      </c>
      <c r="K485" s="1">
        <v>10</v>
      </c>
      <c r="L485" s="1">
        <v>111</v>
      </c>
      <c r="M485" s="1">
        <v>43</v>
      </c>
      <c r="N485" s="1">
        <v>124</v>
      </c>
      <c r="O485" s="1">
        <v>75</v>
      </c>
      <c r="P485" s="1">
        <v>82</v>
      </c>
      <c r="Q485" s="1">
        <v>43</v>
      </c>
      <c r="R485" s="1">
        <v>67</v>
      </c>
      <c r="S485" s="1">
        <v>64</v>
      </c>
    </row>
    <row r="486" spans="1:19">
      <c r="A486" s="1">
        <v>2022</v>
      </c>
      <c r="B486" s="1">
        <v>47</v>
      </c>
      <c r="C486" s="1" t="s">
        <v>104</v>
      </c>
      <c r="D486" s="1" t="e">
        <f t="array" aca="1" ref="D486" ca="1">_xludf.XLOOKUP(C486,'country region mapping'!$A$2:$A$250, 'country region mapping'!$E$2:$E$250)</f>
        <v>#NAME?</v>
      </c>
      <c r="E486" s="1" t="e">
        <f t="array" aca="1" ref="E486" ca="1">_xludf.XLOOKUP(C486,'country region mapping'!$A$2:$A$267,'country region mapping'!$F$2:$F$267)</f>
        <v>#NAME?</v>
      </c>
      <c r="F486" s="1" t="e">
        <f t="array" aca="1" ref="F486" ca="1">_xludf.XLOOKUP(C486,'country region mapping'!$A$2:$A$267,'country region mapping'!$G$2:$G$267)</f>
        <v>#NAME?</v>
      </c>
      <c r="G486" s="1">
        <v>6.1289999999999996</v>
      </c>
      <c r="H486" s="1">
        <v>42</v>
      </c>
      <c r="I486" s="1">
        <v>35</v>
      </c>
      <c r="J486" s="1">
        <v>33</v>
      </c>
      <c r="K486" s="1">
        <v>2</v>
      </c>
      <c r="L486" s="1">
        <v>73</v>
      </c>
      <c r="M486" s="1">
        <v>122</v>
      </c>
      <c r="N486" s="1">
        <v>28</v>
      </c>
      <c r="O486" s="1">
        <v>68</v>
      </c>
      <c r="P486" s="1">
        <v>10</v>
      </c>
      <c r="Q486" s="1">
        <v>122</v>
      </c>
      <c r="R486" s="1">
        <v>100</v>
      </c>
      <c r="S486" s="1">
        <v>140</v>
      </c>
    </row>
    <row r="487" spans="1:19">
      <c r="A487" s="1">
        <v>2022</v>
      </c>
      <c r="B487" s="1">
        <v>49</v>
      </c>
      <c r="C487" s="1" t="s">
        <v>54</v>
      </c>
      <c r="D487" s="1" t="e">
        <f t="array" aca="1" ref="D487" ca="1">_xludf.XLOOKUP(C487,'country region mapping'!$A$2:$A$250, 'country region mapping'!$E$2:$E$250)</f>
        <v>#NAME?</v>
      </c>
      <c r="E487" s="1" t="e">
        <f t="array" aca="1" ref="E487" ca="1">_xludf.XLOOKUP(C487,'country region mapping'!$A$2:$A$267,'country region mapping'!$F$2:$F$267)</f>
        <v>#NAME?</v>
      </c>
      <c r="F487" s="1" t="e">
        <f t="array" aca="1" ref="F487" ca="1">_xludf.XLOOKUP(C487,'country region mapping'!$A$2:$A$267,'country region mapping'!$G$2:$G$267)</f>
        <v>#NAME?</v>
      </c>
      <c r="G487" s="1">
        <v>6.125</v>
      </c>
      <c r="H487" s="1">
        <v>94</v>
      </c>
      <c r="I487" s="1">
        <v>58</v>
      </c>
      <c r="J487" s="1">
        <v>65</v>
      </c>
      <c r="K487" s="1">
        <v>75</v>
      </c>
      <c r="L487" s="1">
        <v>55</v>
      </c>
      <c r="M487" s="1">
        <v>78</v>
      </c>
      <c r="N487" s="1">
        <v>54</v>
      </c>
      <c r="O487" s="1">
        <v>63</v>
      </c>
      <c r="P487" s="1">
        <v>98</v>
      </c>
      <c r="Q487" s="1">
        <v>78</v>
      </c>
      <c r="R487" s="1">
        <v>80</v>
      </c>
      <c r="S487" s="1">
        <v>58</v>
      </c>
    </row>
    <row r="488" spans="1:19">
      <c r="A488" s="1">
        <v>2022</v>
      </c>
      <c r="B488" s="1">
        <v>48</v>
      </c>
      <c r="C488" s="1" t="s">
        <v>131</v>
      </c>
      <c r="D488" s="1" t="e">
        <f t="array" aca="1" ref="D488" ca="1">_xludf.XLOOKUP(C488,'country region mapping'!$A$2:$A$250, 'country region mapping'!$E$2:$E$250)</f>
        <v>#NAME?</v>
      </c>
      <c r="E488" s="1" t="e">
        <f t="array" aca="1" ref="E488" ca="1">_xludf.XLOOKUP(C488,'country region mapping'!$A$2:$A$267,'country region mapping'!$F$2:$F$267)</f>
        <v>#NAME?</v>
      </c>
      <c r="F488" s="1" t="e">
        <f t="array" aca="1" ref="F488" ca="1">_xludf.XLOOKUP(C488,'country region mapping'!$A$2:$A$267,'country region mapping'!$G$2:$G$267)</f>
        <v>#NAME?</v>
      </c>
      <c r="G488" s="1">
        <v>6.125</v>
      </c>
      <c r="H488" s="1">
        <v>47</v>
      </c>
      <c r="I488" s="1">
        <v>27</v>
      </c>
      <c r="J488" s="1">
        <v>38</v>
      </c>
      <c r="K488" s="1">
        <v>31</v>
      </c>
      <c r="L488" s="1">
        <v>128</v>
      </c>
      <c r="M488" s="1">
        <v>118</v>
      </c>
      <c r="N488" s="1">
        <v>116</v>
      </c>
      <c r="O488" s="1">
        <v>109</v>
      </c>
      <c r="P488" s="1">
        <v>61</v>
      </c>
      <c r="Q488" s="1">
        <v>118</v>
      </c>
      <c r="R488" s="1">
        <v>134</v>
      </c>
      <c r="S488" s="1">
        <v>137</v>
      </c>
    </row>
    <row r="489" spans="1:19">
      <c r="A489" s="1">
        <v>2022</v>
      </c>
      <c r="B489" s="1">
        <v>50</v>
      </c>
      <c r="C489" s="1" t="s">
        <v>96</v>
      </c>
      <c r="D489" s="1" t="e">
        <f t="array" aca="1" ref="D489" ca="1">_xludf.XLOOKUP(C489,'country region mapping'!$A$2:$A$250, 'country region mapping'!$E$2:$E$250)</f>
        <v>#NAME?</v>
      </c>
      <c r="E489" s="1" t="e">
        <f t="array" aca="1" ref="E489" ca="1">_xludf.XLOOKUP(C489,'country region mapping'!$A$2:$A$267,'country region mapping'!$F$2:$F$267)</f>
        <v>#NAME?</v>
      </c>
      <c r="F489" s="1" t="e">
        <f t="array" aca="1" ref="F489" ca="1">_xludf.XLOOKUP(C489,'country region mapping'!$A$2:$A$267,'country region mapping'!$G$2:$G$267)</f>
        <v>#NAME?</v>
      </c>
      <c r="G489" s="1">
        <v>6.1219999999999999</v>
      </c>
      <c r="H489" s="1">
        <v>105</v>
      </c>
      <c r="I489" s="1">
        <v>96</v>
      </c>
      <c r="J489" s="1">
        <v>88</v>
      </c>
      <c r="K489" s="1">
        <v>73</v>
      </c>
      <c r="L489" s="1">
        <v>17</v>
      </c>
      <c r="M489" s="1">
        <v>114</v>
      </c>
      <c r="N489" s="1">
        <v>26</v>
      </c>
      <c r="O489" s="1">
        <v>3</v>
      </c>
      <c r="P489" s="1">
        <v>81</v>
      </c>
      <c r="Q489" s="1">
        <v>114</v>
      </c>
      <c r="R489" s="1">
        <v>55</v>
      </c>
      <c r="S489" s="1">
        <v>55</v>
      </c>
    </row>
    <row r="490" spans="1:19">
      <c r="A490" s="1">
        <v>2022</v>
      </c>
      <c r="B490" s="1">
        <v>51</v>
      </c>
      <c r="C490" s="1" t="s">
        <v>151</v>
      </c>
      <c r="D490" s="1" t="e">
        <f t="array" aca="1" ref="D490" ca="1">_xludf.XLOOKUP(C490,'country region mapping'!$A$2:$A$250, 'country region mapping'!$E$2:$E$250)</f>
        <v>#NAME?</v>
      </c>
      <c r="E490" s="1" t="e">
        <f t="array" aca="1" ref="E490" ca="1">_xludf.XLOOKUP(C490,'country region mapping'!$A$2:$A$267,'country region mapping'!$F$2:$F$267)</f>
        <v>#NAME?</v>
      </c>
      <c r="F490" s="1" t="e">
        <f t="array" aca="1" ref="F490" ca="1">_xludf.XLOOKUP(C490,'country region mapping'!$A$2:$A$267,'country region mapping'!$G$2:$G$267)</f>
        <v>#NAME?</v>
      </c>
      <c r="G490" s="1">
        <v>6.0410000000000004</v>
      </c>
      <c r="H490" s="1">
        <v>37</v>
      </c>
      <c r="I490" s="1">
        <v>14</v>
      </c>
      <c r="J490" s="1">
        <v>37</v>
      </c>
      <c r="K490" s="1">
        <v>48</v>
      </c>
      <c r="L490" s="1">
        <v>80</v>
      </c>
      <c r="M490" s="1">
        <v>56</v>
      </c>
      <c r="N490" s="1">
        <v>102</v>
      </c>
      <c r="O490" s="1">
        <v>87</v>
      </c>
      <c r="P490" s="1">
        <v>50</v>
      </c>
      <c r="Q490" s="1">
        <v>56</v>
      </c>
      <c r="R490" s="1">
        <v>115</v>
      </c>
      <c r="S490" s="1">
        <v>15</v>
      </c>
    </row>
    <row r="491" spans="1:19">
      <c r="A491" s="1">
        <v>2022</v>
      </c>
      <c r="B491" s="1">
        <v>52</v>
      </c>
      <c r="C491" s="1" t="s">
        <v>69</v>
      </c>
      <c r="D491" s="1" t="e">
        <f t="array" aca="1" ref="D491" ca="1">_xludf.XLOOKUP(C491,'country region mapping'!$A$2:$A$250, 'country region mapping'!$E$2:$E$250)</f>
        <v>#NAME?</v>
      </c>
      <c r="E491" s="1" t="e">
        <f t="array" aca="1" ref="E491" ca="1">_xludf.XLOOKUP(C491,'country region mapping'!$A$2:$A$267,'country region mapping'!$F$2:$F$267)</f>
        <v>#NAME?</v>
      </c>
      <c r="F491" s="1" t="e">
        <f t="array" aca="1" ref="F491" ca="1">_xludf.XLOOKUP(C491,'country region mapping'!$A$2:$A$267,'country region mapping'!$G$2:$G$267)</f>
        <v>#NAME?</v>
      </c>
      <c r="G491" s="1">
        <v>6.024</v>
      </c>
      <c r="H491" s="1">
        <v>68</v>
      </c>
      <c r="I491" s="1">
        <v>37</v>
      </c>
      <c r="J491" s="1">
        <v>51</v>
      </c>
      <c r="K491" s="1">
        <v>49</v>
      </c>
      <c r="L491" s="1">
        <v>58</v>
      </c>
      <c r="M491" s="1">
        <v>96</v>
      </c>
      <c r="N491" s="1">
        <v>84</v>
      </c>
      <c r="O491" s="1">
        <v>38</v>
      </c>
      <c r="P491" s="1">
        <v>72</v>
      </c>
      <c r="Q491" s="1">
        <v>96</v>
      </c>
      <c r="R491" s="1">
        <v>79</v>
      </c>
      <c r="S491" s="1">
        <v>51</v>
      </c>
    </row>
    <row r="492" spans="1:19">
      <c r="A492" s="1">
        <v>2022</v>
      </c>
      <c r="B492" s="1">
        <v>53</v>
      </c>
      <c r="C492" s="1" t="s">
        <v>167</v>
      </c>
      <c r="D492" s="1" t="e">
        <f t="array" aca="1" ref="D492" ca="1">_xludf.XLOOKUP(C492,'country region mapping'!$A$2:$A$250, 'country region mapping'!$E$2:$E$250)</f>
        <v>#NAME?</v>
      </c>
      <c r="E492" s="1" t="e">
        <f t="array" aca="1" ref="E492" ca="1">_xludf.XLOOKUP(C492,'country region mapping'!$A$2:$A$267,'country region mapping'!$F$2:$F$267)</f>
        <v>#NAME?</v>
      </c>
      <c r="F492" s="1" t="e">
        <f t="array" aca="1" ref="F492" ca="1">_xludf.XLOOKUP(C492,'country region mapping'!$A$2:$A$267,'country region mapping'!$G$2:$G$267)</f>
        <v>#NAME?</v>
      </c>
      <c r="G492" s="1">
        <v>6.0229999999999997</v>
      </c>
      <c r="H492" s="1">
        <v>132</v>
      </c>
      <c r="I492" s="1">
        <v>105</v>
      </c>
      <c r="J492" s="1">
        <v>103</v>
      </c>
      <c r="K492" s="1">
        <v>90</v>
      </c>
      <c r="L492" s="1">
        <v>48</v>
      </c>
      <c r="M492" s="1">
        <v>65</v>
      </c>
      <c r="N492" s="1">
        <v>90</v>
      </c>
      <c r="O492" s="1">
        <v>16</v>
      </c>
      <c r="P492" s="1">
        <v>78</v>
      </c>
      <c r="Q492" s="1">
        <v>65</v>
      </c>
      <c r="R492" s="1">
        <v>21</v>
      </c>
      <c r="S492" s="1">
        <v>40</v>
      </c>
    </row>
    <row r="493" spans="1:19">
      <c r="A493" s="1">
        <v>2022</v>
      </c>
      <c r="B493" s="1">
        <v>54</v>
      </c>
      <c r="C493" s="1" t="s">
        <v>99</v>
      </c>
      <c r="D493" s="1" t="e">
        <f t="array" aca="1" ref="D493" ca="1">_xludf.XLOOKUP(C493,'country region mapping'!$A$2:$A$250, 'country region mapping'!$E$2:$E$250)</f>
        <v>#NAME?</v>
      </c>
      <c r="E493" s="1" t="e">
        <f t="array" aca="1" ref="E493" ca="1">_xludf.XLOOKUP(C493,'country region mapping'!$A$2:$A$267,'country region mapping'!$F$2:$F$267)</f>
        <v>#NAME?</v>
      </c>
      <c r="F493" s="1" t="e">
        <f t="array" aca="1" ref="F493" ca="1">_xludf.XLOOKUP(C493,'country region mapping'!$A$2:$A$267,'country region mapping'!$G$2:$G$267)</f>
        <v>#NAME?</v>
      </c>
      <c r="G493" s="1">
        <v>6.0140000000000002</v>
      </c>
      <c r="H493" s="1">
        <v>84</v>
      </c>
      <c r="I493" s="1">
        <v>46</v>
      </c>
      <c r="J493" s="1">
        <v>93</v>
      </c>
      <c r="K493" s="1">
        <v>65</v>
      </c>
      <c r="L493" s="1">
        <v>3</v>
      </c>
      <c r="M493" s="1">
        <v>16</v>
      </c>
      <c r="N493" s="1">
        <v>24</v>
      </c>
      <c r="O493" s="1">
        <v>31</v>
      </c>
      <c r="P493" s="1">
        <v>37</v>
      </c>
      <c r="Q493" s="1">
        <v>16</v>
      </c>
      <c r="R493" s="1">
        <v>92</v>
      </c>
      <c r="S493" s="1">
        <v>79</v>
      </c>
    </row>
    <row r="494" spans="1:19">
      <c r="A494" s="1">
        <v>2022</v>
      </c>
      <c r="B494" s="1">
        <v>55</v>
      </c>
      <c r="C494" s="1" t="s">
        <v>97</v>
      </c>
      <c r="D494" s="1" t="e">
        <f t="array" aca="1" ref="D494" ca="1">_xludf.XLOOKUP(C494,'country region mapping'!$A$2:$A$250, 'country region mapping'!$E$2:$E$250)</f>
        <v>#NAME?</v>
      </c>
      <c r="E494" s="1" t="e">
        <f t="array" aca="1" ref="E494" ca="1">_xludf.XLOOKUP(C494,'country region mapping'!$A$2:$A$267,'country region mapping'!$F$2:$F$267)</f>
        <v>#NAME?</v>
      </c>
      <c r="F494" s="1" t="e">
        <f t="array" aca="1" ref="F494" ca="1">_xludf.XLOOKUP(C494,'country region mapping'!$A$2:$A$267,'country region mapping'!$G$2:$G$267)</f>
        <v>#NAME?</v>
      </c>
      <c r="G494" s="1">
        <v>6.0119999999999996</v>
      </c>
      <c r="H494" s="1">
        <v>50</v>
      </c>
      <c r="I494" s="1">
        <v>81</v>
      </c>
      <c r="J494" s="1">
        <v>47</v>
      </c>
      <c r="K494" s="1">
        <v>55</v>
      </c>
      <c r="L494" s="1">
        <v>5</v>
      </c>
      <c r="M494" s="1">
        <v>18</v>
      </c>
      <c r="N494" s="1">
        <v>75</v>
      </c>
      <c r="O494" s="1">
        <v>21</v>
      </c>
      <c r="P494" s="1">
        <v>18</v>
      </c>
      <c r="Q494" s="1">
        <v>18</v>
      </c>
      <c r="R494" s="1">
        <v>59</v>
      </c>
      <c r="S494" s="1">
        <v>93</v>
      </c>
    </row>
    <row r="495" spans="1:19">
      <c r="A495" s="1">
        <v>2022</v>
      </c>
      <c r="B495" s="1">
        <v>56</v>
      </c>
      <c r="C495" s="1" t="s">
        <v>155</v>
      </c>
      <c r="D495" s="1" t="e">
        <f t="array" aca="1" ref="D495" ca="1">_xludf.XLOOKUP(C495,'country region mapping'!$A$2:$A$250, 'country region mapping'!$E$2:$E$250)</f>
        <v>#NAME?</v>
      </c>
      <c r="E495" s="1" t="e">
        <f t="array" aca="1" ref="E495" ca="1">_xludf.XLOOKUP(C495,'country region mapping'!$A$2:$A$267,'country region mapping'!$F$2:$F$267)</f>
        <v>#NAME?</v>
      </c>
      <c r="F495" s="1" t="e">
        <f t="array" aca="1" ref="F495" ca="1">_xludf.XLOOKUP(C495,'country region mapping'!$A$2:$A$267,'country region mapping'!$G$2:$G$267)</f>
        <v>#NAME?</v>
      </c>
      <c r="G495" s="1">
        <v>5.968</v>
      </c>
      <c r="H495" s="1">
        <v>65</v>
      </c>
      <c r="I495" s="1">
        <v>63</v>
      </c>
      <c r="J495" s="1">
        <v>36</v>
      </c>
      <c r="K495" s="1">
        <v>22</v>
      </c>
      <c r="L495" s="1">
        <v>23</v>
      </c>
      <c r="M495" s="1">
        <v>86</v>
      </c>
      <c r="N495" s="1">
        <v>125</v>
      </c>
      <c r="O495" s="1">
        <v>80</v>
      </c>
      <c r="P495" s="1">
        <v>90</v>
      </c>
      <c r="Q495" s="1">
        <v>86</v>
      </c>
      <c r="R495" s="1">
        <v>106</v>
      </c>
      <c r="S495" s="1">
        <v>106</v>
      </c>
    </row>
    <row r="496" spans="1:19">
      <c r="A496" s="1">
        <v>2022</v>
      </c>
      <c r="B496" s="1">
        <v>57</v>
      </c>
      <c r="C496" s="1" t="s">
        <v>110</v>
      </c>
      <c r="D496" s="1" t="e">
        <f t="array" aca="1" ref="D496" ca="1">_xludf.XLOOKUP(C496,'country region mapping'!$A$2:$A$267,'country region mapping'!$E$2:$E$267)</f>
        <v>#NAME?</v>
      </c>
      <c r="E496" s="1" t="e">
        <f t="array" aca="1" ref="E496" ca="1">_xludf.XLOOKUP(C496,'country region mapping'!$A$2:$A$267,'country region mapping'!$F$2:$F$267)</f>
        <v>#NAME?</v>
      </c>
      <c r="F496" s="1" t="e">
        <f t="array" aca="1" ref="F496" ca="1">_xludf.XLOOKUP(C496,'country region mapping'!$A$2:$A$267,'country region mapping'!$G$2:$G$267)</f>
        <v>#NAME?</v>
      </c>
      <c r="G496" s="1">
        <v>5.9509999999999996</v>
      </c>
      <c r="H496" s="1">
        <v>56</v>
      </c>
      <c r="I496" s="1">
        <v>84</v>
      </c>
      <c r="J496" s="1">
        <v>26</v>
      </c>
      <c r="K496" s="1">
        <v>3</v>
      </c>
      <c r="L496" s="1">
        <v>99</v>
      </c>
      <c r="M496" s="1">
        <v>44</v>
      </c>
      <c r="N496" s="1">
        <v>57</v>
      </c>
      <c r="O496" s="1">
        <v>102</v>
      </c>
      <c r="P496" s="1">
        <v>39</v>
      </c>
      <c r="Q496" s="1">
        <v>44</v>
      </c>
      <c r="R496" s="1">
        <v>95</v>
      </c>
      <c r="S496" s="1">
        <v>89</v>
      </c>
    </row>
    <row r="497" spans="1:19">
      <c r="A497" s="1">
        <v>2022</v>
      </c>
      <c r="B497" s="1">
        <v>58</v>
      </c>
      <c r="C497" s="1" t="s">
        <v>160</v>
      </c>
      <c r="D497" s="1" t="e">
        <f t="array" aca="1" ref="D497" ca="1">_xludf.XLOOKUP(C497,'country region mapping'!$A$2:$A$250, 'country region mapping'!$E$2:$E$250)</f>
        <v>#NAME?</v>
      </c>
      <c r="E497" s="1" t="e">
        <f t="array" aca="1" ref="E497" ca="1">_xludf.XLOOKUP(C497,'country region mapping'!$A$2:$A$267,'country region mapping'!$F$2:$F$267)</f>
        <v>#NAME?</v>
      </c>
      <c r="F497" s="1" t="e">
        <f t="array" aca="1" ref="F497" ca="1">_xludf.XLOOKUP(C497,'country region mapping'!$A$2:$A$267,'country region mapping'!$G$2:$G$267)</f>
        <v>#NAME?</v>
      </c>
      <c r="G497" s="1">
        <v>5.931</v>
      </c>
      <c r="H497" s="1">
        <v>23</v>
      </c>
      <c r="I497" s="1">
        <v>52</v>
      </c>
      <c r="J497" s="1">
        <v>43</v>
      </c>
      <c r="K497" s="1">
        <v>27</v>
      </c>
      <c r="L497" s="1">
        <v>130</v>
      </c>
      <c r="M497" s="1">
        <v>138</v>
      </c>
      <c r="N497" s="1">
        <v>115</v>
      </c>
      <c r="O497" s="1">
        <v>99</v>
      </c>
      <c r="P497" s="1">
        <v>15</v>
      </c>
      <c r="Q497" s="1">
        <v>138</v>
      </c>
      <c r="R497" s="1">
        <v>137</v>
      </c>
      <c r="S497" s="1">
        <v>127</v>
      </c>
    </row>
    <row r="498" spans="1:19">
      <c r="A498" s="1">
        <v>2022</v>
      </c>
      <c r="B498" s="1">
        <v>59</v>
      </c>
      <c r="C498" s="1" t="s">
        <v>121</v>
      </c>
      <c r="D498" s="1" t="e">
        <f t="array" aca="1" ref="D498" ca="1">_xludf.XLOOKUP(C498,'country region mapping'!$A$2:$A$250, 'country region mapping'!$E$2:$E$250)</f>
        <v>#NAME?</v>
      </c>
      <c r="E498" s="1" t="e">
        <f t="array" aca="1" ref="E498" ca="1">_xludf.XLOOKUP(C498,'country region mapping'!$A$2:$A$267,'country region mapping'!$F$2:$F$267)</f>
        <v>#NAME?</v>
      </c>
      <c r="F498" s="1" t="e">
        <f t="array" aca="1" ref="F498" ca="1">_xludf.XLOOKUP(C498,'country region mapping'!$A$2:$A$267,'country region mapping'!$G$2:$G$267)</f>
        <v>#NAME?</v>
      </c>
      <c r="G498" s="1">
        <v>5.9020000000000001</v>
      </c>
      <c r="H498" s="1">
        <v>73</v>
      </c>
      <c r="I498" s="1">
        <v>40</v>
      </c>
      <c r="J498" s="1">
        <v>54</v>
      </c>
      <c r="K498" s="1">
        <v>61</v>
      </c>
      <c r="L498" s="1">
        <v>68</v>
      </c>
      <c r="M498" s="1">
        <v>69</v>
      </c>
      <c r="N498" s="1">
        <v>69</v>
      </c>
      <c r="O498" s="1">
        <v>37</v>
      </c>
      <c r="P498" s="1">
        <v>12</v>
      </c>
      <c r="Q498" s="1">
        <v>69</v>
      </c>
      <c r="R498" s="1">
        <v>36</v>
      </c>
      <c r="S498" s="1">
        <v>119</v>
      </c>
    </row>
    <row r="499" spans="1:19">
      <c r="A499" s="1">
        <v>2022</v>
      </c>
      <c r="B499" s="1">
        <v>60</v>
      </c>
      <c r="C499" s="1" t="s">
        <v>78</v>
      </c>
      <c r="D499" s="1" t="e">
        <f t="array" aca="1" ref="D499" ca="1">_xludf.XLOOKUP(C499,'country region mapping'!$A$2:$A$250, 'country region mapping'!$E$2:$E$250)</f>
        <v>#NAME?</v>
      </c>
      <c r="E499" s="1" t="e">
        <f t="array" aca="1" ref="E499" ca="1">_xludf.XLOOKUP(C499,'country region mapping'!$A$2:$A$267,'country region mapping'!$F$2:$F$267)</f>
        <v>#NAME?</v>
      </c>
      <c r="F499" s="1" t="e">
        <f t="array" aca="1" ref="F499" ca="1">_xludf.XLOOKUP(C499,'country region mapping'!$A$2:$A$267,'country region mapping'!$G$2:$G$267)</f>
        <v>#NAME?</v>
      </c>
      <c r="G499" s="1">
        <v>5.843</v>
      </c>
      <c r="H499" s="1">
        <v>62</v>
      </c>
      <c r="I499" s="1">
        <v>57</v>
      </c>
      <c r="J499" s="1">
        <v>61</v>
      </c>
      <c r="K499" s="1">
        <v>37</v>
      </c>
      <c r="L499" s="1">
        <v>33</v>
      </c>
      <c r="M499" s="1">
        <v>10</v>
      </c>
      <c r="N499" s="1">
        <v>114</v>
      </c>
      <c r="O499" s="1">
        <v>18</v>
      </c>
      <c r="P499" s="1">
        <v>35</v>
      </c>
      <c r="Q499" s="1">
        <v>10</v>
      </c>
      <c r="R499" s="1">
        <v>87</v>
      </c>
      <c r="S499" s="1">
        <v>107</v>
      </c>
    </row>
    <row r="500" spans="1:19">
      <c r="A500" s="1">
        <v>2022</v>
      </c>
      <c r="B500" s="1">
        <v>61</v>
      </c>
      <c r="C500" s="1" t="s">
        <v>163</v>
      </c>
      <c r="D500" s="1" t="e">
        <f t="array" aca="1" ref="D500" ca="1">_xludf.XLOOKUP(C500,'country region mapping'!$A$2:$A$250, 'country region mapping'!$E$2:$E$250)</f>
        <v>#NAME?</v>
      </c>
      <c r="E500" s="1" t="e">
        <f t="array" aca="1" ref="E500" ca="1">_xludf.XLOOKUP(C500,'country region mapping'!$A$2:$A$267,'country region mapping'!$F$2:$F$267)</f>
        <v>#NAME?</v>
      </c>
      <c r="F500" s="1" t="e">
        <f t="array" aca="1" ref="F500" ca="1">_xludf.XLOOKUP(C500,'country region mapping'!$A$2:$A$267,'country region mapping'!$G$2:$G$267)</f>
        <v>#NAME?</v>
      </c>
      <c r="G500" s="1">
        <v>5.84</v>
      </c>
      <c r="H500" s="1">
        <v>63</v>
      </c>
      <c r="I500" s="1">
        <v>8</v>
      </c>
      <c r="J500" s="1">
        <v>72</v>
      </c>
      <c r="K500" s="1">
        <v>80</v>
      </c>
      <c r="L500" s="1">
        <v>102</v>
      </c>
      <c r="M500" s="1">
        <v>30</v>
      </c>
      <c r="N500" s="1">
        <v>101</v>
      </c>
      <c r="O500" s="1">
        <v>116</v>
      </c>
      <c r="P500" s="1">
        <v>29</v>
      </c>
      <c r="Q500" s="1">
        <v>30</v>
      </c>
      <c r="R500" s="1">
        <v>18</v>
      </c>
      <c r="S500" s="1">
        <v>113</v>
      </c>
    </row>
    <row r="501" spans="1:19">
      <c r="A501" s="1">
        <v>2022</v>
      </c>
      <c r="B501" s="1">
        <v>62</v>
      </c>
      <c r="C501" s="1" t="s">
        <v>144</v>
      </c>
      <c r="D501" s="1" t="e">
        <f t="array" aca="1" ref="D501" ca="1">_xludf.XLOOKUP(C501,'country region mapping'!$A$2:$A$250, 'country region mapping'!$E$2:$E$250)</f>
        <v>#NAME?</v>
      </c>
      <c r="E501" s="1" t="e">
        <f t="array" aca="1" ref="E501" ca="1">_xludf.XLOOKUP(C501,'country region mapping'!$A$2:$A$267,'country region mapping'!$F$2:$F$267)</f>
        <v>#NAME?</v>
      </c>
      <c r="F501" s="1" t="e">
        <f t="array" aca="1" ref="F501" ca="1">_xludf.XLOOKUP(C501,'country region mapping'!$A$2:$A$267,'country region mapping'!$G$2:$G$267)</f>
        <v>#NAME?</v>
      </c>
      <c r="G501" s="1">
        <v>5.8250000000000002</v>
      </c>
      <c r="H501" s="1">
        <v>33</v>
      </c>
      <c r="I501" s="1">
        <v>21</v>
      </c>
      <c r="J501" s="1">
        <v>106</v>
      </c>
      <c r="K501" s="1">
        <v>64</v>
      </c>
      <c r="L501" s="1">
        <v>7</v>
      </c>
      <c r="M501" s="1">
        <v>38</v>
      </c>
      <c r="N501" s="1">
        <v>117</v>
      </c>
      <c r="O501" s="1">
        <v>78</v>
      </c>
      <c r="P501" s="1">
        <v>25</v>
      </c>
      <c r="Q501" s="1">
        <v>38</v>
      </c>
      <c r="R501" s="1">
        <v>76</v>
      </c>
      <c r="S501" s="1">
        <v>45</v>
      </c>
    </row>
    <row r="502" spans="1:19">
      <c r="A502" s="1">
        <v>2022</v>
      </c>
      <c r="B502" s="1">
        <v>63</v>
      </c>
      <c r="C502" s="1" t="s">
        <v>285</v>
      </c>
      <c r="D502" s="1" t="e">
        <f t="array" aca="1" ref="D502" ca="1">_xludf.XLOOKUP(C502,'country region mapping'!$A$2:$A$267,'country region mapping'!$E$2:$E$267)</f>
        <v>#NAME?</v>
      </c>
      <c r="E502" s="1" t="e">
        <f t="array" aca="1" ref="E502" ca="1">_xludf.XLOOKUP(C502,'country region mapping'!$A$2:$A$267,'country region mapping'!$F$2:$F$267)</f>
        <v>#NAME?</v>
      </c>
      <c r="F502" s="1" t="e">
        <f t="array" aca="1" ref="F502" ca="1">_xludf.XLOOKUP(C502,'country region mapping'!$A$2:$A$267,'country region mapping'!$G$2:$G$267)</f>
        <v>#NAME?</v>
      </c>
      <c r="G502" s="1">
        <v>5.819</v>
      </c>
      <c r="H502" s="1">
        <v>75</v>
      </c>
      <c r="I502" s="1">
        <v>80</v>
      </c>
      <c r="J502" s="1">
        <v>73</v>
      </c>
      <c r="K502" s="1">
        <v>81</v>
      </c>
      <c r="L502" s="1">
        <v>57</v>
      </c>
      <c r="M502" s="1">
        <v>94</v>
      </c>
      <c r="N502" s="1">
        <v>122</v>
      </c>
      <c r="O502" s="1">
        <v>115</v>
      </c>
      <c r="P502" s="1">
        <v>69</v>
      </c>
      <c r="Q502" s="1">
        <v>94</v>
      </c>
      <c r="R502" s="1">
        <v>111</v>
      </c>
      <c r="S502" s="1">
        <v>43</v>
      </c>
    </row>
    <row r="503" spans="1:19">
      <c r="A503" s="1">
        <v>2022</v>
      </c>
      <c r="B503" s="1">
        <v>64</v>
      </c>
      <c r="C503" s="1" t="s">
        <v>142</v>
      </c>
      <c r="D503" s="1" t="e">
        <f t="array" aca="1" ref="D503" ca="1">_xludf.XLOOKUP(C503,'country region mapping'!$A$2:$A$250, 'country region mapping'!$E$2:$E$250)</f>
        <v>#NAME?</v>
      </c>
      <c r="E503" s="1" t="e">
        <f t="array" aca="1" ref="E503" ca="1">_xludf.XLOOKUP(C503,'country region mapping'!$A$2:$A$267,'country region mapping'!$F$2:$F$267)</f>
        <v>#NAME?</v>
      </c>
      <c r="F503" s="1" t="e">
        <f t="array" aca="1" ref="F503" ca="1">_xludf.XLOOKUP(C503,'country region mapping'!$A$2:$A$267,'country region mapping'!$G$2:$G$267)</f>
        <v>#NAME?</v>
      </c>
      <c r="G503" s="1">
        <v>5.8179999999999996</v>
      </c>
      <c r="H503" s="1"/>
      <c r="I503" s="1"/>
      <c r="J503" s="1"/>
      <c r="K503" s="1">
        <v>26</v>
      </c>
      <c r="L503" s="1"/>
      <c r="M503" s="1"/>
      <c r="N503" s="1"/>
      <c r="O503" s="1"/>
      <c r="S503" s="1"/>
    </row>
    <row r="504" spans="1:19">
      <c r="A504" s="1">
        <v>2022</v>
      </c>
      <c r="B504" s="1">
        <v>65</v>
      </c>
      <c r="C504" s="1" t="s">
        <v>157</v>
      </c>
      <c r="D504" s="1" t="e">
        <f t="array" aca="1" ref="D504" ca="1">_xludf.XLOOKUP(C504,'country region mapping'!$A$2:$A$250, 'country region mapping'!$E$2:$E$250)</f>
        <v>#NAME?</v>
      </c>
      <c r="E504" s="1" t="e">
        <f t="array" aca="1" ref="E504" ca="1">_xludf.XLOOKUP(C504,'country region mapping'!$A$2:$A$267,'country region mapping'!$F$2:$F$267)</f>
        <v>#NAME?</v>
      </c>
      <c r="F504" s="1" t="e">
        <f t="array" aca="1" ref="F504" ca="1">_xludf.XLOOKUP(C504,'country region mapping'!$A$2:$A$267,'country region mapping'!$G$2:$G$267)</f>
        <v>#NAME?</v>
      </c>
      <c r="G504" s="1">
        <v>5.7629999999999999</v>
      </c>
      <c r="H504" s="1">
        <v>6</v>
      </c>
      <c r="I504" s="1">
        <v>47</v>
      </c>
      <c r="J504" s="1">
        <v>83</v>
      </c>
      <c r="K504" s="1">
        <v>41</v>
      </c>
      <c r="L504" s="1">
        <v>1</v>
      </c>
      <c r="M504" s="1">
        <v>129</v>
      </c>
      <c r="N504" s="1">
        <v>42</v>
      </c>
      <c r="O504" s="1">
        <v>17</v>
      </c>
      <c r="P504" s="1">
        <v>2</v>
      </c>
      <c r="Q504" s="1">
        <v>129</v>
      </c>
      <c r="R504" s="1">
        <v>118</v>
      </c>
      <c r="S504" s="1">
        <v>121</v>
      </c>
    </row>
    <row r="505" spans="1:19">
      <c r="A505" s="1">
        <v>2022</v>
      </c>
      <c r="B505" s="1">
        <v>66</v>
      </c>
      <c r="C505" s="1" t="s">
        <v>126</v>
      </c>
      <c r="D505" s="1" t="e">
        <f t="array" aca="1" ref="D505" ca="1">_xludf.XLOOKUP(C505,'country region mapping'!$A$2:$A$250, 'country region mapping'!$E$2:$E$250)</f>
        <v>#NAME?</v>
      </c>
      <c r="E505" s="1" t="e">
        <f t="array" aca="1" ref="E505" ca="1">_xludf.XLOOKUP(C505,'country region mapping'!$A$2:$A$267,'country region mapping'!$F$2:$F$267)</f>
        <v>#NAME?</v>
      </c>
      <c r="F505" s="1" t="e">
        <f t="array" aca="1" ref="F505" ca="1">_xludf.XLOOKUP(C505,'country region mapping'!$A$2:$A$267,'country region mapping'!$G$2:$G$267)</f>
        <v>#NAME?</v>
      </c>
      <c r="G505" s="1">
        <v>5.7380000000000004</v>
      </c>
      <c r="H505" s="1">
        <v>91</v>
      </c>
      <c r="I505" s="1">
        <v>33</v>
      </c>
      <c r="J505" s="1">
        <v>74</v>
      </c>
      <c r="K505" s="1">
        <v>84</v>
      </c>
      <c r="L505" s="1">
        <v>15</v>
      </c>
      <c r="M505" s="1">
        <v>72</v>
      </c>
      <c r="N505" s="1">
        <v>95</v>
      </c>
      <c r="O505" s="1">
        <v>4</v>
      </c>
      <c r="P505" s="1">
        <v>43</v>
      </c>
      <c r="Q505" s="1">
        <v>72</v>
      </c>
      <c r="R505" s="1">
        <v>33</v>
      </c>
      <c r="S505" s="1">
        <v>27</v>
      </c>
    </row>
    <row r="506" spans="1:19">
      <c r="A506" s="1">
        <v>2022</v>
      </c>
      <c r="B506" s="1">
        <v>67</v>
      </c>
      <c r="C506" s="1" t="s">
        <v>147</v>
      </c>
      <c r="D506" s="1" t="e">
        <f t="array" aca="1" ref="D506" ca="1">_xludf.XLOOKUP(C506,'country region mapping'!$A$2:$A$250, 'country region mapping'!$E$2:$E$250)</f>
        <v>#NAME?</v>
      </c>
      <c r="E506" s="1" t="e">
        <f t="array" aca="1" ref="E506" ca="1">_xludf.XLOOKUP(C506,'country region mapping'!$A$2:$A$267,'country region mapping'!$F$2:$F$267)</f>
        <v>#NAME?</v>
      </c>
      <c r="F506" s="1" t="e">
        <f t="array" aca="1" ref="F506" ca="1">_xludf.XLOOKUP(C506,'country region mapping'!$A$2:$A$267,'country region mapping'!$G$2:$G$267)</f>
        <v>#NAME?</v>
      </c>
      <c r="G506" s="1">
        <v>5.7220000000000004</v>
      </c>
      <c r="H506" s="1">
        <v>43</v>
      </c>
      <c r="I506" s="1">
        <v>51</v>
      </c>
      <c r="J506" s="1">
        <v>52</v>
      </c>
      <c r="K506" s="1"/>
      <c r="L506" s="1">
        <v>77</v>
      </c>
      <c r="M506" s="1">
        <v>67</v>
      </c>
      <c r="N506" s="1">
        <v>81</v>
      </c>
      <c r="O506" s="1">
        <v>131</v>
      </c>
      <c r="P506" s="1">
        <v>91</v>
      </c>
      <c r="Q506" s="1">
        <v>67</v>
      </c>
      <c r="R506" s="1">
        <v>122</v>
      </c>
      <c r="S506" s="1">
        <v>135</v>
      </c>
    </row>
    <row r="507" spans="1:19">
      <c r="A507" s="1">
        <v>2022</v>
      </c>
      <c r="B507" s="1">
        <v>68</v>
      </c>
      <c r="C507" s="1" t="s">
        <v>130</v>
      </c>
      <c r="D507" s="1" t="e">
        <f t="array" aca="1" ref="D507" ca="1">_xludf.XLOOKUP(C507,'country region mapping'!$A$2:$A$250, 'country region mapping'!$E$2:$E$250)</f>
        <v>#NAME?</v>
      </c>
      <c r="E507" s="1" t="e">
        <f t="array" aca="1" ref="E507" ca="1">_xludf.XLOOKUP(C507,'country region mapping'!$A$2:$A$267,'country region mapping'!$F$2:$F$267)</f>
        <v>#NAME?</v>
      </c>
      <c r="F507" s="1" t="e">
        <f t="array" aca="1" ref="F507" ca="1">_xludf.XLOOKUP(C507,'country region mapping'!$A$2:$A$267,'country region mapping'!$G$2:$G$267)</f>
        <v>#NAME?</v>
      </c>
      <c r="G507" s="1">
        <v>5.7030000000000003</v>
      </c>
      <c r="H507" s="1">
        <v>128</v>
      </c>
      <c r="I507" s="1">
        <v>56</v>
      </c>
      <c r="J507" s="1">
        <v>89</v>
      </c>
      <c r="K507" s="1">
        <v>76</v>
      </c>
      <c r="L507" s="1">
        <v>35</v>
      </c>
      <c r="M507" s="1">
        <v>103</v>
      </c>
      <c r="N507" s="1">
        <v>130</v>
      </c>
      <c r="O507" s="1">
        <v>43</v>
      </c>
      <c r="P507" s="1">
        <v>65</v>
      </c>
      <c r="Q507" s="1">
        <v>103</v>
      </c>
      <c r="R507" s="1">
        <v>8</v>
      </c>
      <c r="S507" s="1">
        <v>1</v>
      </c>
    </row>
    <row r="508" spans="1:19">
      <c r="A508" s="1">
        <v>2022</v>
      </c>
      <c r="B508" s="1">
        <v>69</v>
      </c>
      <c r="C508" s="1" t="s">
        <v>112</v>
      </c>
      <c r="D508" s="1" t="e">
        <f t="array" aca="1" ref="D508" ca="1">_xludf.XLOOKUP(C508,'country region mapping'!$A$2:$A$267,'country region mapping'!$E$2:$E$267)</f>
        <v>#NAME?</v>
      </c>
      <c r="E508" s="1" t="e">
        <f t="array" aca="1" ref="E508" ca="1">_xludf.XLOOKUP(C508,'country region mapping'!$A$2:$A$267,'country region mapping'!$F$2:$F$267)</f>
        <v>#NAME?</v>
      </c>
      <c r="F508" s="1" t="e">
        <f t="array" aca="1" ref="F508" ca="1">_xludf.XLOOKUP(C508,'country region mapping'!$A$2:$A$267,'country region mapping'!$G$2:$G$267)</f>
        <v>#NAME?</v>
      </c>
      <c r="G508" s="1">
        <v>5.6840000000000002</v>
      </c>
      <c r="H508" s="1">
        <v>78</v>
      </c>
      <c r="I508" s="1">
        <v>75</v>
      </c>
      <c r="J508" s="1">
        <v>92</v>
      </c>
      <c r="K508" s="1">
        <v>98</v>
      </c>
      <c r="L508" s="1">
        <v>38</v>
      </c>
      <c r="M508" s="1">
        <v>106</v>
      </c>
      <c r="N508" s="1">
        <v>96</v>
      </c>
      <c r="O508" s="1">
        <v>34</v>
      </c>
      <c r="P508" s="1">
        <v>123</v>
      </c>
      <c r="Q508" s="1">
        <v>106</v>
      </c>
      <c r="R508" s="1">
        <v>50</v>
      </c>
      <c r="S508" s="1">
        <v>34</v>
      </c>
    </row>
    <row r="509" spans="1:19">
      <c r="A509" s="1">
        <v>2022</v>
      </c>
      <c r="B509" s="1">
        <v>70</v>
      </c>
      <c r="C509" s="1" t="s">
        <v>108</v>
      </c>
      <c r="D509" s="1" t="e">
        <f t="array" aca="1" ref="D509" ca="1">_xludf.XLOOKUP(C509,'country region mapping'!$A$2:$A$250, 'country region mapping'!$E$2:$E$250)</f>
        <v>#NAME?</v>
      </c>
      <c r="E509" s="1" t="e">
        <f t="array" aca="1" ref="E509" ca="1">_xludf.XLOOKUP(C509,'country region mapping'!$A$2:$A$267,'country region mapping'!$F$2:$F$267)</f>
        <v>#NAME?</v>
      </c>
      <c r="F509" s="1" t="e">
        <f t="array" aca="1" ref="F509" ca="1">_xludf.XLOOKUP(C509,'country region mapping'!$A$2:$A$267,'country region mapping'!$G$2:$G$267)</f>
        <v>#NAME?</v>
      </c>
      <c r="G509" s="1">
        <v>5.6609999999999996</v>
      </c>
      <c r="H509" s="1">
        <v>49</v>
      </c>
      <c r="I509" s="1">
        <v>25</v>
      </c>
      <c r="J509" s="1">
        <v>41</v>
      </c>
      <c r="K509" s="1">
        <v>83</v>
      </c>
      <c r="L509" s="1">
        <v>78</v>
      </c>
      <c r="M509" s="1">
        <v>75</v>
      </c>
      <c r="N509" s="1">
        <v>67</v>
      </c>
      <c r="O509" s="1">
        <v>94</v>
      </c>
      <c r="P509" s="1">
        <v>33</v>
      </c>
      <c r="Q509" s="1">
        <v>75</v>
      </c>
      <c r="R509" s="1">
        <v>101</v>
      </c>
      <c r="S509" s="1">
        <v>84</v>
      </c>
    </row>
    <row r="510" spans="1:19">
      <c r="A510" s="1">
        <v>2022</v>
      </c>
      <c r="B510" s="1">
        <v>71</v>
      </c>
      <c r="C510" s="1" t="s">
        <v>146</v>
      </c>
      <c r="D510" s="1" t="e">
        <f t="array" aca="1" ref="D510" ca="1">_xludf.XLOOKUP(C510,'country region mapping'!$A$2:$A$250, 'country region mapping'!$E$2:$E$250)</f>
        <v>#NAME?</v>
      </c>
      <c r="E510" s="1" t="e">
        <f t="array" aca="1" ref="E510" ca="1">_xludf.XLOOKUP(C510,'country region mapping'!$A$2:$A$267,'country region mapping'!$F$2:$F$267)</f>
        <v>#NAME?</v>
      </c>
      <c r="F510" s="1" t="e">
        <f t="array" aca="1" ref="F510" ca="1">_xludf.XLOOKUP(C510,'country region mapping'!$A$2:$A$267,'country region mapping'!$G$2:$G$267)</f>
        <v>#NAME?</v>
      </c>
      <c r="G510" s="1">
        <v>5.633</v>
      </c>
      <c r="H510" s="1">
        <v>52</v>
      </c>
      <c r="I510" s="1">
        <v>66</v>
      </c>
      <c r="J510" s="1">
        <v>62</v>
      </c>
      <c r="K510" s="1">
        <v>46</v>
      </c>
      <c r="L510" s="1">
        <v>90</v>
      </c>
      <c r="M510" s="1">
        <v>29</v>
      </c>
      <c r="N510" s="1">
        <v>131</v>
      </c>
      <c r="O510" s="1">
        <v>120</v>
      </c>
      <c r="P510" s="1">
        <v>73</v>
      </c>
      <c r="Q510" s="1">
        <v>29</v>
      </c>
      <c r="R510" s="1">
        <v>126</v>
      </c>
      <c r="S510" s="1">
        <v>100</v>
      </c>
    </row>
    <row r="511" spans="1:19">
      <c r="A511" s="1">
        <v>2022</v>
      </c>
      <c r="B511" s="1">
        <v>72</v>
      </c>
      <c r="C511" s="1" t="s">
        <v>75</v>
      </c>
      <c r="D511" s="1" t="e">
        <f t="array" aca="1" ref="D511" ca="1">_xludf.XLOOKUP(C511,'country region mapping'!$A$2:$A$250, 'country region mapping'!$E$2:$E$250)</f>
        <v>#NAME?</v>
      </c>
      <c r="E511" s="1" t="e">
        <f t="array" aca="1" ref="E511" ca="1">_xludf.XLOOKUP(C511,'country region mapping'!$A$2:$A$267,'country region mapping'!$F$2:$F$267)</f>
        <v>#NAME?</v>
      </c>
      <c r="F511" s="1" t="e">
        <f t="array" aca="1" ref="F511" ca="1">_xludf.XLOOKUP(C511,'country region mapping'!$A$2:$A$267,'country region mapping'!$G$2:$G$267)</f>
        <v>#NAME?</v>
      </c>
      <c r="G511" s="1">
        <v>5.63</v>
      </c>
      <c r="H511" s="1">
        <v>108</v>
      </c>
      <c r="I511" s="1">
        <v>49</v>
      </c>
      <c r="J511" s="1">
        <v>66</v>
      </c>
      <c r="K511" s="1">
        <v>44</v>
      </c>
      <c r="L511" s="1">
        <v>66</v>
      </c>
      <c r="M511" s="1">
        <v>120</v>
      </c>
      <c r="N511" s="1">
        <v>111</v>
      </c>
      <c r="O511" s="1">
        <v>22</v>
      </c>
      <c r="P511" s="1">
        <v>86</v>
      </c>
      <c r="Q511" s="1">
        <v>120</v>
      </c>
      <c r="R511" s="1">
        <v>81</v>
      </c>
      <c r="S511" s="1">
        <v>50</v>
      </c>
    </row>
    <row r="512" spans="1:19">
      <c r="A512" s="1">
        <v>2022</v>
      </c>
      <c r="B512" s="1">
        <v>73</v>
      </c>
      <c r="C512" s="1" t="s">
        <v>149</v>
      </c>
      <c r="D512" s="1" t="e">
        <f t="array" aca="1" ref="D512" ca="1">_xludf.XLOOKUP(C512,'country region mapping'!$A$2:$A$250, 'country region mapping'!$E$2:$E$250)</f>
        <v>#NAME?</v>
      </c>
      <c r="E512" s="1" t="e">
        <f t="array" aca="1" ref="E512" ca="1">_xludf.XLOOKUP(C512,'country region mapping'!$A$2:$A$267,'country region mapping'!$F$2:$F$267)</f>
        <v>#NAME?</v>
      </c>
      <c r="F512" s="1" t="e">
        <f t="array" aca="1" ref="F512" ca="1">_xludf.XLOOKUP(C512,'country region mapping'!$A$2:$A$267,'country region mapping'!$G$2:$G$267)</f>
        <v>#NAME?</v>
      </c>
      <c r="G512" s="1">
        <v>5.569</v>
      </c>
      <c r="H512" s="1">
        <v>136</v>
      </c>
      <c r="I512" s="1">
        <v>77</v>
      </c>
      <c r="J512" s="1">
        <v>57</v>
      </c>
      <c r="K512" s="1">
        <v>63</v>
      </c>
      <c r="L512" s="1">
        <v>47</v>
      </c>
      <c r="M512" s="1">
        <v>80</v>
      </c>
      <c r="N512" s="1">
        <v>31</v>
      </c>
      <c r="O512" s="1">
        <v>39</v>
      </c>
      <c r="P512" s="1">
        <v>87</v>
      </c>
      <c r="Q512" s="1">
        <v>80</v>
      </c>
      <c r="R512" s="1">
        <v>19</v>
      </c>
      <c r="S512" s="1">
        <v>14</v>
      </c>
    </row>
    <row r="513" spans="1:19">
      <c r="A513" s="1">
        <v>2022</v>
      </c>
      <c r="B513" s="1">
        <v>74</v>
      </c>
      <c r="C513" s="1" t="s">
        <v>102</v>
      </c>
      <c r="D513" s="1" t="e">
        <f t="array" aca="1" ref="D513" ca="1">_xludf.XLOOKUP(C513,'country region mapping'!$A$2:$A$250, 'country region mapping'!$E$2:$E$250)</f>
        <v>#NAME?</v>
      </c>
      <c r="E513" s="1" t="e">
        <f t="array" aca="1" ref="E513" ca="1">_xludf.XLOOKUP(C513,'country region mapping'!$A$2:$A$267,'country region mapping'!$F$2:$F$267)</f>
        <v>#NAME?</v>
      </c>
      <c r="F513" s="1" t="e">
        <f t="array" aca="1" ref="F513" ca="1">_xludf.XLOOKUP(C513,'country region mapping'!$A$2:$A$267,'country region mapping'!$G$2:$G$267)</f>
        <v>#NAME?</v>
      </c>
      <c r="G513" s="1">
        <v>5.5590000000000002</v>
      </c>
      <c r="H513" s="1">
        <v>95</v>
      </c>
      <c r="I513" s="1">
        <v>74</v>
      </c>
      <c r="J513" s="1">
        <v>76</v>
      </c>
      <c r="K513" s="1">
        <v>51</v>
      </c>
      <c r="L513" s="1">
        <v>86</v>
      </c>
      <c r="M513" s="1">
        <v>99</v>
      </c>
      <c r="N513" s="1">
        <v>113</v>
      </c>
      <c r="O513" s="1">
        <v>13</v>
      </c>
      <c r="P513" s="1">
        <v>104</v>
      </c>
      <c r="Q513" s="1">
        <v>99</v>
      </c>
      <c r="R513" s="1">
        <v>64</v>
      </c>
      <c r="S513" s="1">
        <v>53</v>
      </c>
    </row>
    <row r="514" spans="1:19">
      <c r="A514" s="1">
        <v>2022</v>
      </c>
      <c r="B514" s="1">
        <v>75</v>
      </c>
      <c r="C514" s="1" t="s">
        <v>118</v>
      </c>
      <c r="D514" s="1" t="e">
        <f t="array" aca="1" ref="D514" ca="1">_xludf.XLOOKUP(C514,'country region mapping'!$A$2:$A$250, 'country region mapping'!$E$2:$E$250)</f>
        <v>#NAME?</v>
      </c>
      <c r="E514" s="1" t="e">
        <f t="array" aca="1" ref="E514" ca="1">_xludf.XLOOKUP(C514,'country region mapping'!$A$2:$A$267,'country region mapping'!$F$2:$F$267)</f>
        <v>#NAME?</v>
      </c>
      <c r="F514" s="1" t="e">
        <f t="array" aca="1" ref="F514" ca="1">_xludf.XLOOKUP(C514,'country region mapping'!$A$2:$A$267,'country region mapping'!$G$2:$G$267)</f>
        <v>#NAME?</v>
      </c>
      <c r="G514" s="1">
        <v>5.5259999999999998</v>
      </c>
      <c r="H514" s="1">
        <v>86</v>
      </c>
      <c r="I514" s="1">
        <v>76</v>
      </c>
      <c r="J514" s="1">
        <v>70</v>
      </c>
      <c r="K514" s="1">
        <v>69</v>
      </c>
      <c r="L514" s="1">
        <v>83</v>
      </c>
      <c r="M514" s="1">
        <v>127</v>
      </c>
      <c r="N514" s="1">
        <v>121</v>
      </c>
      <c r="O514" s="1">
        <v>26</v>
      </c>
      <c r="P514" s="1">
        <v>110</v>
      </c>
      <c r="Q514" s="1">
        <v>127</v>
      </c>
      <c r="R514" s="1">
        <v>91</v>
      </c>
      <c r="S514" s="1">
        <v>60</v>
      </c>
    </row>
    <row r="515" spans="1:19">
      <c r="A515" s="1">
        <v>2022</v>
      </c>
      <c r="B515" s="1">
        <v>76</v>
      </c>
      <c r="C515" s="1" t="s">
        <v>141</v>
      </c>
      <c r="D515" s="1" t="e">
        <f t="array" aca="1" ref="D515" ca="1">_xludf.XLOOKUP(C515,'country region mapping'!$A$2:$A$250, 'country region mapping'!$E$2:$E$250)</f>
        <v>#NAME?</v>
      </c>
      <c r="E515" s="1" t="e">
        <f t="array" aca="1" ref="E515" ca="1">_xludf.XLOOKUP(C515,'country region mapping'!$A$2:$A$267,'country region mapping'!$F$2:$F$267)</f>
        <v>#NAME?</v>
      </c>
      <c r="F515" s="1" t="e">
        <f t="array" aca="1" ref="F515" ca="1">_xludf.XLOOKUP(C515,'country region mapping'!$A$2:$A$267,'country region mapping'!$G$2:$G$267)</f>
        <v>#NAME?</v>
      </c>
      <c r="G515" s="1">
        <v>5.5229999999999997</v>
      </c>
      <c r="H515" s="1">
        <v>99</v>
      </c>
      <c r="I515" s="1">
        <v>79</v>
      </c>
      <c r="J515" s="1">
        <v>94</v>
      </c>
      <c r="K515" s="1">
        <v>93</v>
      </c>
      <c r="L515" s="1">
        <v>6</v>
      </c>
      <c r="M515" s="1">
        <v>128</v>
      </c>
      <c r="N515" s="1">
        <v>61</v>
      </c>
      <c r="O515" s="1">
        <v>2</v>
      </c>
      <c r="P515" s="1">
        <v>84</v>
      </c>
      <c r="Q515" s="1">
        <v>128</v>
      </c>
      <c r="R515" s="1">
        <v>23</v>
      </c>
      <c r="S515" s="1">
        <v>87</v>
      </c>
    </row>
    <row r="516" spans="1:19">
      <c r="A516" s="1">
        <v>2022</v>
      </c>
      <c r="B516" s="1">
        <v>77</v>
      </c>
      <c r="C516" s="1" t="s">
        <v>205</v>
      </c>
      <c r="D516" s="1" t="e">
        <f t="array" aca="1" ref="D516" ca="1">_xludf.XLOOKUP(C516,'country region mapping'!$A$2:$A$250, 'country region mapping'!$E$2:$E$250)</f>
        <v>#NAME?</v>
      </c>
      <c r="E516" s="1" t="e">
        <f t="array" aca="1" ref="E516" ca="1">_xludf.XLOOKUP(C516,'country region mapping'!$A$2:$A$267,'country region mapping'!$F$2:$F$267)</f>
        <v>#NAME?</v>
      </c>
      <c r="F516" s="1" t="e">
        <f t="array" aca="1" ref="F516" ca="1">_xludf.XLOOKUP(C516,'country region mapping'!$A$2:$A$267,'country region mapping'!$G$2:$G$267)</f>
        <v>#NAME?</v>
      </c>
      <c r="G516" s="1">
        <v>5.4660000000000002</v>
      </c>
      <c r="H516" s="1">
        <v>46</v>
      </c>
      <c r="I516" s="1">
        <v>7</v>
      </c>
      <c r="J516" s="1">
        <v>48</v>
      </c>
      <c r="K516" s="1">
        <v>71</v>
      </c>
      <c r="L516" s="1">
        <v>91</v>
      </c>
      <c r="M516" s="1">
        <v>100</v>
      </c>
      <c r="N516" s="1">
        <v>135</v>
      </c>
      <c r="O516" s="1">
        <v>107</v>
      </c>
      <c r="P516" s="1">
        <v>11</v>
      </c>
      <c r="Q516" s="1">
        <v>100</v>
      </c>
      <c r="R516" s="1">
        <v>138</v>
      </c>
      <c r="S516" s="1">
        <v>125</v>
      </c>
    </row>
    <row r="517" spans="1:19">
      <c r="A517" s="1">
        <v>2022</v>
      </c>
      <c r="B517" s="1">
        <v>78</v>
      </c>
      <c r="C517" s="1" t="s">
        <v>172</v>
      </c>
      <c r="D517" s="1" t="e">
        <f t="array" aca="1" ref="D517" ca="1">_xludf.XLOOKUP(C517,'country region mapping'!$A$2:$A$250, 'country region mapping'!$E$2:$E$250)</f>
        <v>#NAME?</v>
      </c>
      <c r="E517" s="1" t="e">
        <f t="array" aca="1" ref="E517" ca="1">_xludf.XLOOKUP(C517,'country region mapping'!$A$2:$A$267,'country region mapping'!$F$2:$F$267)</f>
        <v>#NAME?</v>
      </c>
      <c r="F517" s="1" t="e">
        <f t="array" aca="1" ref="F517" ca="1">_xludf.XLOOKUP(C517,'country region mapping'!$A$2:$A$267,'country region mapping'!$G$2:$G$267)</f>
        <v>#NAME?</v>
      </c>
      <c r="G517" s="1">
        <v>5.36</v>
      </c>
      <c r="H517" s="1">
        <v>125</v>
      </c>
      <c r="I517" s="1">
        <v>100</v>
      </c>
      <c r="J517" s="1">
        <v>113</v>
      </c>
      <c r="K517" s="1">
        <v>89</v>
      </c>
      <c r="L517" s="1">
        <v>50</v>
      </c>
      <c r="M517" s="1">
        <v>53</v>
      </c>
      <c r="N517" s="1">
        <v>64</v>
      </c>
      <c r="O517" s="1">
        <v>132</v>
      </c>
      <c r="P517" s="1">
        <v>99</v>
      </c>
      <c r="Q517" s="1">
        <v>53</v>
      </c>
      <c r="R517" s="1">
        <v>16</v>
      </c>
      <c r="S517" s="1">
        <v>116</v>
      </c>
    </row>
    <row r="518" spans="1:19">
      <c r="A518" s="1">
        <v>2022</v>
      </c>
      <c r="B518" s="1">
        <v>79</v>
      </c>
      <c r="C518" s="1" t="s">
        <v>192</v>
      </c>
      <c r="D518" s="1" t="e">
        <f t="array" aca="1" ref="D518" ca="1">_xludf.XLOOKUP(C518,'country region mapping'!$A$2:$A$250, 'country region mapping'!$E$2:$E$250)</f>
        <v>#NAME?</v>
      </c>
      <c r="E518" s="1" t="e">
        <f t="array" aca="1" ref="E518" ca="1">_xludf.XLOOKUP(C518,'country region mapping'!$A$2:$A$267,'country region mapping'!$F$2:$F$267)</f>
        <v>#NAME?</v>
      </c>
      <c r="F518" s="1" t="e">
        <f t="array" aca="1" ref="F518" ca="1">_xludf.XLOOKUP(C518,'country region mapping'!$A$2:$A$267,'country region mapping'!$G$2:$G$267)</f>
        <v>#NAME?</v>
      </c>
      <c r="G518" s="1">
        <v>5.3419999999999996</v>
      </c>
      <c r="H518" s="1">
        <v>70</v>
      </c>
      <c r="I518" s="1">
        <v>83</v>
      </c>
      <c r="J518" s="1">
        <v>67</v>
      </c>
      <c r="K518" s="1">
        <v>53</v>
      </c>
      <c r="L518" s="1">
        <v>72</v>
      </c>
      <c r="M518" s="1">
        <v>117</v>
      </c>
      <c r="N518" s="1">
        <v>43</v>
      </c>
      <c r="O518" s="1">
        <v>123</v>
      </c>
      <c r="P518" s="1">
        <v>139</v>
      </c>
      <c r="Q518" s="1">
        <v>117</v>
      </c>
      <c r="R518" s="1">
        <v>120</v>
      </c>
      <c r="S518" s="1">
        <v>81</v>
      </c>
    </row>
    <row r="519" spans="1:19">
      <c r="A519" s="1">
        <v>2022</v>
      </c>
      <c r="B519" s="1">
        <v>27</v>
      </c>
      <c r="C519" s="1" t="s">
        <v>81</v>
      </c>
      <c r="D519" s="1" t="e">
        <f t="array" aca="1" ref="D519" ca="1">_xludf.XLOOKUP(C519,'country region mapping'!$A$2:$A$267,'country region mapping'!$E$2:$E$267)</f>
        <v>#NAME?</v>
      </c>
      <c r="E519" s="1" t="e">
        <f t="array" aca="1" ref="E519" ca="1">_xludf.XLOOKUP(C519,'country region mapping'!$A$2:$A$267,'country region mapping'!$F$2:$F$267)</f>
        <v>#NAME?</v>
      </c>
      <c r="F519" s="1" t="e">
        <f t="array" aca="1" ref="F519" ca="1">_xludf.XLOOKUP(C519,'country region mapping'!$A$2:$A$267,'country region mapping'!$G$2:$G$267)</f>
        <v>#NAME?</v>
      </c>
      <c r="G519" s="1">
        <v>6.5350000000000001</v>
      </c>
      <c r="H519" s="1">
        <v>18</v>
      </c>
      <c r="I519" s="1">
        <v>44</v>
      </c>
      <c r="K519" s="1"/>
      <c r="L519" s="1">
        <v>64</v>
      </c>
      <c r="M519" s="1">
        <v>52</v>
      </c>
      <c r="N519" s="1">
        <v>33</v>
      </c>
      <c r="O519" s="1">
        <v>47</v>
      </c>
      <c r="P519" s="1">
        <v>1</v>
      </c>
      <c r="Q519" s="1">
        <v>52</v>
      </c>
      <c r="R519" s="1">
        <v>117</v>
      </c>
      <c r="S519" s="1">
        <v>95</v>
      </c>
    </row>
    <row r="520" spans="1:19">
      <c r="A520" s="1">
        <v>2022</v>
      </c>
      <c r="B520" s="1">
        <v>81</v>
      </c>
      <c r="C520" s="1" t="s">
        <v>85</v>
      </c>
      <c r="D520" s="1" t="e">
        <f t="array" aca="1" ref="D520" ca="1">_xludf.XLOOKUP(C520,'country region mapping'!$A$2:$A$250, 'country region mapping'!$E$2:$E$250)</f>
        <v>#NAME?</v>
      </c>
      <c r="E520" s="1" t="e">
        <f t="array" aca="1" ref="E520" ca="1">_xludf.XLOOKUP(C520,'country region mapping'!$A$2:$A$267,'country region mapping'!$F$2:$F$267)</f>
        <v>#NAME?</v>
      </c>
      <c r="F520" s="1" t="e">
        <f t="array" aca="1" ref="F520" ca="1">_xludf.XLOOKUP(C520,'country region mapping'!$A$2:$A$267,'country region mapping'!$G$2:$G$267)</f>
        <v>#NAME?</v>
      </c>
      <c r="G520" s="1">
        <v>5.3289999999999997</v>
      </c>
      <c r="H520" s="1">
        <v>15</v>
      </c>
      <c r="I520" s="1">
        <v>92</v>
      </c>
      <c r="J520" s="1">
        <v>75</v>
      </c>
      <c r="K520" s="1">
        <v>39</v>
      </c>
      <c r="L520" s="1">
        <v>137</v>
      </c>
      <c r="M520" s="1">
        <v>79</v>
      </c>
      <c r="N520" s="1">
        <v>23</v>
      </c>
      <c r="O520" s="1">
        <v>106</v>
      </c>
      <c r="P520" s="1">
        <v>56</v>
      </c>
      <c r="Q520" s="1">
        <v>79</v>
      </c>
      <c r="R520" s="1">
        <v>88</v>
      </c>
      <c r="S520" s="1">
        <v>105</v>
      </c>
    </row>
    <row r="521" spans="1:19">
      <c r="A521" s="1">
        <v>2022</v>
      </c>
      <c r="B521" s="1">
        <v>82</v>
      </c>
      <c r="C521" s="1" t="s">
        <v>132</v>
      </c>
      <c r="D521" s="1" t="e">
        <f t="array" aca="1" ref="D521" ca="1">_xludf.XLOOKUP(C521,'country region mapping'!$A$2:$A$267,'country region mapping'!$E$2:$E$267)</f>
        <v>#NAME?</v>
      </c>
      <c r="E521" s="1" t="e">
        <f t="array" aca="1" ref="E521" ca="1">_xludf.XLOOKUP(C521,'country region mapping'!$A$2:$A$267,'country region mapping'!$F$2:$F$267)</f>
        <v>#NAME?</v>
      </c>
      <c r="F521" s="1" t="e">
        <f t="array" aca="1" ref="F521" ca="1">_xludf.XLOOKUP(C521,'country region mapping'!$A$2:$A$267,'country region mapping'!$G$2:$G$267)</f>
        <v>#NAME?</v>
      </c>
      <c r="G521" s="1">
        <v>5.3079999999999998</v>
      </c>
      <c r="H521" s="1">
        <v>25</v>
      </c>
      <c r="I521" s="1">
        <v>87</v>
      </c>
      <c r="J521" s="1">
        <v>12</v>
      </c>
      <c r="K521" s="1"/>
      <c r="L521" s="1">
        <v>113</v>
      </c>
      <c r="M521" s="1">
        <v>39</v>
      </c>
      <c r="N521" s="1">
        <v>9</v>
      </c>
      <c r="O521" s="1">
        <v>118</v>
      </c>
      <c r="P521" s="1">
        <v>24</v>
      </c>
      <c r="Q521" s="1">
        <v>39</v>
      </c>
      <c r="R521" s="1">
        <v>103</v>
      </c>
      <c r="S521" s="1">
        <v>97</v>
      </c>
    </row>
    <row r="522" spans="1:19">
      <c r="A522" s="1">
        <v>2022</v>
      </c>
      <c r="B522" s="1">
        <v>83</v>
      </c>
      <c r="C522" s="1" t="s">
        <v>174</v>
      </c>
      <c r="D522" s="1" t="e">
        <f t="array" aca="1" ref="D522" ca="1">_xludf.XLOOKUP(C522,'country region mapping'!$A$2:$A$250, 'country region mapping'!$E$2:$E$250)</f>
        <v>#NAME?</v>
      </c>
      <c r="E522" s="1" t="e">
        <f t="array" aca="1" ref="E522" ca="1">_xludf.XLOOKUP(C522,'country region mapping'!$A$2:$A$267,'country region mapping'!$F$2:$F$267)</f>
        <v>#NAME?</v>
      </c>
      <c r="F522" s="1" t="e">
        <f t="array" aca="1" ref="F522" ca="1">_xludf.XLOOKUP(C522,'country region mapping'!$A$2:$A$267,'country region mapping'!$G$2:$G$267)</f>
        <v>#NAME?</v>
      </c>
      <c r="G522" s="1">
        <v>5.2770000000000001</v>
      </c>
      <c r="H522" s="1">
        <v>106</v>
      </c>
      <c r="I522" s="1">
        <v>106</v>
      </c>
      <c r="J522" s="1">
        <v>68</v>
      </c>
      <c r="K522" s="1">
        <v>35</v>
      </c>
      <c r="L522" s="1">
        <v>62</v>
      </c>
      <c r="M522" s="1">
        <v>81</v>
      </c>
      <c r="N522" s="1">
        <v>99</v>
      </c>
      <c r="O522" s="1">
        <v>119</v>
      </c>
      <c r="P522" s="1">
        <v>53</v>
      </c>
      <c r="Q522" s="1">
        <v>81</v>
      </c>
      <c r="R522" s="1">
        <v>129</v>
      </c>
      <c r="S522" s="1">
        <v>108</v>
      </c>
    </row>
    <row r="523" spans="1:19">
      <c r="A523" s="1">
        <v>2022</v>
      </c>
      <c r="B523" s="1">
        <v>84</v>
      </c>
      <c r="C523" s="1" t="s">
        <v>137</v>
      </c>
      <c r="D523" s="1" t="e">
        <f t="array" aca="1" ref="D523" ca="1">_xludf.XLOOKUP(C523,'country region mapping'!$A$2:$A$250, 'country region mapping'!$E$2:$E$250)</f>
        <v>#NAME?</v>
      </c>
      <c r="E523" s="1" t="e">
        <f t="array" aca="1" ref="E523" ca="1">_xludf.XLOOKUP(C523,'country region mapping'!$A$2:$A$267,'country region mapping'!$F$2:$F$267)</f>
        <v>#NAME?</v>
      </c>
      <c r="F523" s="1" t="e">
        <f t="array" aca="1" ref="F523" ca="1">_xludf.XLOOKUP(C523,'country region mapping'!$A$2:$A$267,'country region mapping'!$G$2:$G$267)</f>
        <v>#NAME?</v>
      </c>
      <c r="G523" s="1">
        <v>5.2770000000000001</v>
      </c>
      <c r="H523" s="1">
        <v>76</v>
      </c>
      <c r="I523" s="1">
        <v>70</v>
      </c>
      <c r="J523" s="1">
        <v>80</v>
      </c>
      <c r="K523" s="1">
        <v>85</v>
      </c>
      <c r="L523" s="1">
        <v>22</v>
      </c>
      <c r="M523" s="1">
        <v>2</v>
      </c>
      <c r="N523" s="1">
        <v>109</v>
      </c>
      <c r="O523" s="1">
        <v>7</v>
      </c>
      <c r="P523" s="1">
        <v>64</v>
      </c>
      <c r="Q523" s="1">
        <v>2</v>
      </c>
      <c r="R523" s="1">
        <v>2</v>
      </c>
      <c r="S523" s="1">
        <v>75</v>
      </c>
    </row>
    <row r="524" spans="1:19">
      <c r="A524" s="1">
        <v>2022</v>
      </c>
      <c r="B524" s="1">
        <v>85</v>
      </c>
      <c r="C524" s="1" t="s">
        <v>185</v>
      </c>
      <c r="D524" s="1" t="e">
        <f t="array" aca="1" ref="D524" ca="1">_xludf.XLOOKUP(C524,'country region mapping'!$A$2:$A$250, 'country region mapping'!$E$2:$E$250)</f>
        <v>#NAME?</v>
      </c>
      <c r="E524" s="1" t="e">
        <f t="array" aca="1" ref="E524" ca="1">_xludf.XLOOKUP(C524,'country region mapping'!$A$2:$A$267,'country region mapping'!$F$2:$F$267)</f>
        <v>#NAME?</v>
      </c>
      <c r="F524" s="1" t="e">
        <f t="array" aca="1" ref="F524" ca="1">_xludf.XLOOKUP(C524,'country region mapping'!$A$2:$A$267,'country region mapping'!$G$2:$G$267)</f>
        <v>#NAME?</v>
      </c>
      <c r="G524" s="1">
        <v>5.2750000000000004</v>
      </c>
      <c r="H524" s="1">
        <v>93</v>
      </c>
      <c r="I524" s="1">
        <v>42</v>
      </c>
      <c r="J524" s="1">
        <v>78</v>
      </c>
      <c r="K524" s="1">
        <v>114</v>
      </c>
      <c r="L524" s="1">
        <v>105</v>
      </c>
      <c r="M524" s="1">
        <v>88</v>
      </c>
      <c r="N524" s="1">
        <v>127</v>
      </c>
      <c r="O524" s="1">
        <v>29</v>
      </c>
      <c r="P524" s="1">
        <v>44</v>
      </c>
      <c r="Q524" s="1">
        <v>88</v>
      </c>
      <c r="R524" s="1">
        <v>45</v>
      </c>
      <c r="S524" s="1">
        <v>21</v>
      </c>
    </row>
    <row r="525" spans="1:19">
      <c r="A525" s="1">
        <v>2022</v>
      </c>
      <c r="B525" s="1">
        <v>86</v>
      </c>
      <c r="C525" s="1" t="s">
        <v>202</v>
      </c>
      <c r="D525" s="1" t="e">
        <f t="array" aca="1" ref="D525" ca="1">_xludf.XLOOKUP(C525,'country region mapping'!$A$2:$A$250, 'country region mapping'!$E$2:$E$250)</f>
        <v>#NAME?</v>
      </c>
      <c r="E525" s="1" t="e">
        <f t="array" aca="1" ref="E525" ca="1">_xludf.XLOOKUP(C525,'country region mapping'!$A$2:$A$267,'country region mapping'!$F$2:$F$267)</f>
        <v>#NAME?</v>
      </c>
      <c r="F525" s="1" t="e">
        <f t="array" aca="1" ref="F525" ca="1">_xludf.XLOOKUP(C525,'country region mapping'!$A$2:$A$267,'country region mapping'!$G$2:$G$267)</f>
        <v>#NAME?</v>
      </c>
      <c r="G525" s="1">
        <v>5.2670000000000003</v>
      </c>
      <c r="H525" s="1">
        <v>139</v>
      </c>
      <c r="I525" s="1">
        <v>118</v>
      </c>
      <c r="J525" s="1">
        <v>105</v>
      </c>
      <c r="K525" s="1">
        <v>105</v>
      </c>
      <c r="L525" s="1">
        <v>112</v>
      </c>
      <c r="M525" s="1">
        <v>90</v>
      </c>
      <c r="N525" s="1">
        <v>63</v>
      </c>
      <c r="O525" s="1">
        <v>104</v>
      </c>
      <c r="P525" s="1">
        <v>134</v>
      </c>
      <c r="Q525" s="1">
        <v>90</v>
      </c>
      <c r="R525" s="1">
        <v>39</v>
      </c>
      <c r="S525" s="1">
        <v>13</v>
      </c>
    </row>
    <row r="526" spans="1:19">
      <c r="A526" s="1">
        <v>2022</v>
      </c>
      <c r="B526" s="1">
        <v>87</v>
      </c>
      <c r="C526" s="1" t="s">
        <v>156</v>
      </c>
      <c r="D526" s="1" t="e">
        <f t="array" aca="1" ref="D526" ca="1">_xludf.XLOOKUP(C526,'country region mapping'!$A$2:$A$250, 'country region mapping'!$E$2:$E$250)</f>
        <v>#NAME?</v>
      </c>
      <c r="E526" s="1" t="e">
        <f t="array" aca="1" ref="E526" ca="1">_xludf.XLOOKUP(C526,'country region mapping'!$A$2:$A$267,'country region mapping'!$F$2:$F$267)</f>
        <v>#NAME?</v>
      </c>
      <c r="F526" s="1" t="e">
        <f t="array" aca="1" ref="F526" ca="1">_xludf.XLOOKUP(C526,'country region mapping'!$A$2:$A$267,'country region mapping'!$G$2:$G$267)</f>
        <v>#NAME?</v>
      </c>
      <c r="G526" s="1">
        <v>5.2539999999999996</v>
      </c>
      <c r="H526" s="1">
        <v>74</v>
      </c>
      <c r="I526" s="1">
        <v>68</v>
      </c>
      <c r="J526" s="1">
        <v>56</v>
      </c>
      <c r="K526" s="1">
        <v>60</v>
      </c>
      <c r="L526" s="1">
        <v>100</v>
      </c>
      <c r="M526" s="1">
        <v>45</v>
      </c>
      <c r="N526" s="1">
        <v>133</v>
      </c>
      <c r="O526" s="1">
        <v>114</v>
      </c>
      <c r="P526" s="1">
        <v>70</v>
      </c>
      <c r="Q526" s="1">
        <v>45</v>
      </c>
      <c r="R526" s="1">
        <v>127</v>
      </c>
      <c r="S526" s="1">
        <v>114</v>
      </c>
    </row>
    <row r="527" spans="1:19">
      <c r="A527" s="1">
        <v>2015</v>
      </c>
      <c r="B527" s="1">
        <v>36</v>
      </c>
      <c r="C527" s="1" t="s">
        <v>349</v>
      </c>
      <c r="D527" s="1" t="e">
        <f t="array" aca="1" ref="D527" ca="1">_xludf.XLOOKUP(C527,'country region mapping'!$A$2:$A$250, 'country region mapping'!$E$2:$E$250)</f>
        <v>#NAME?</v>
      </c>
      <c r="E527" s="1" t="e">
        <f t="array" aca="1" ref="E527" ca="1">_xludf.XLOOKUP(C527,'country region mapping'!$A$2:$A$267,'country region mapping'!$F$2:$F$267)</f>
        <v>#NAME?</v>
      </c>
      <c r="F527" s="1" t="e">
        <f t="array" aca="1" ref="F527" ca="1">_xludf.XLOOKUP(C527,'country region mapping'!$A$2:$A$267,'country region mapping'!$G$2:$G$267)</f>
        <v>#NAME?</v>
      </c>
      <c r="G527" s="1">
        <v>6.375</v>
      </c>
      <c r="H527" s="1">
        <v>101</v>
      </c>
      <c r="I527" s="1"/>
      <c r="J527" s="1">
        <v>2</v>
      </c>
      <c r="K527" s="1">
        <v>43</v>
      </c>
      <c r="L527" s="1"/>
      <c r="M527" s="1"/>
      <c r="N527" s="1"/>
      <c r="O527" s="1"/>
      <c r="P527" s="1"/>
      <c r="Q527" s="1"/>
      <c r="R527" s="1"/>
      <c r="S527" s="1"/>
    </row>
    <row r="528" spans="1:19">
      <c r="A528" s="1">
        <v>2022</v>
      </c>
      <c r="B528" s="1">
        <v>89</v>
      </c>
      <c r="C528" s="1" t="s">
        <v>164</v>
      </c>
      <c r="D528" s="1" t="e">
        <f t="array" aca="1" ref="D528" ca="1">_xludf.XLOOKUP(C528,'country region mapping'!$A$2:$A$267,'country region mapping'!$E$2:$E$267)</f>
        <v>#NAME?</v>
      </c>
      <c r="E528" s="1" t="e">
        <f t="array" aca="1" ref="E528" ca="1">_xludf.XLOOKUP(C528,'country region mapping'!$A$2:$A$267,'country region mapping'!$F$2:$F$267)</f>
        <v>#NAME?</v>
      </c>
      <c r="F528" s="1" t="e">
        <f t="array" aca="1" ref="F528" ca="1">_xludf.XLOOKUP(C528,'country region mapping'!$A$2:$A$267,'country region mapping'!$G$2:$G$267)</f>
        <v>#NAME?</v>
      </c>
      <c r="G528" s="1">
        <v>5.1109999999999998</v>
      </c>
      <c r="H528" s="1">
        <v>83</v>
      </c>
      <c r="I528" s="1">
        <v>115</v>
      </c>
      <c r="J528" s="1">
        <v>98</v>
      </c>
      <c r="K528" s="1">
        <v>87</v>
      </c>
      <c r="L528" s="1">
        <v>28</v>
      </c>
      <c r="M528" s="1">
        <v>58</v>
      </c>
      <c r="N528" s="1">
        <v>44</v>
      </c>
      <c r="O528" s="1">
        <v>66</v>
      </c>
      <c r="P528" s="1">
        <v>95</v>
      </c>
      <c r="Q528" s="1">
        <v>58</v>
      </c>
      <c r="R528" s="1">
        <v>93</v>
      </c>
      <c r="S528" s="1">
        <v>132</v>
      </c>
    </row>
    <row r="529" spans="1:19">
      <c r="A529" s="1">
        <v>2022</v>
      </c>
      <c r="B529" s="1">
        <v>90</v>
      </c>
      <c r="C529" s="1" t="s">
        <v>201</v>
      </c>
      <c r="D529" s="1" t="e">
        <f t="array" aca="1" ref="D529" ca="1">_xludf.XLOOKUP(C529,'country region mapping'!$A$2:$A$250, 'country region mapping'!$E$2:$E$250)</f>
        <v>#NAME?</v>
      </c>
      <c r="E529" s="1" t="e">
        <f t="array" aca="1" ref="E529" ca="1">_xludf.XLOOKUP(C529,'country region mapping'!$A$2:$A$267,'country region mapping'!$F$2:$F$267)</f>
        <v>#NAME?</v>
      </c>
      <c r="F529" s="1" t="e">
        <f t="array" aca="1" ref="F529" ca="1">_xludf.XLOOKUP(C529,'country region mapping'!$A$2:$A$267,'country region mapping'!$G$2:$G$267)</f>
        <v>#NAME?</v>
      </c>
      <c r="G529" s="1">
        <v>5.109</v>
      </c>
      <c r="H529" s="1">
        <v>66</v>
      </c>
      <c r="I529" s="1">
        <v>99</v>
      </c>
      <c r="J529" s="1">
        <v>60</v>
      </c>
      <c r="K529" s="1">
        <v>70</v>
      </c>
      <c r="L529" s="1">
        <v>59</v>
      </c>
      <c r="M529" s="1">
        <v>135</v>
      </c>
      <c r="N529" s="1">
        <v>30</v>
      </c>
      <c r="O529" s="1">
        <v>128</v>
      </c>
      <c r="P529" s="1">
        <v>40</v>
      </c>
      <c r="Q529" s="1">
        <v>135</v>
      </c>
      <c r="R529" s="1">
        <v>74</v>
      </c>
      <c r="S529" s="1">
        <v>19</v>
      </c>
    </row>
    <row r="530" spans="1:19">
      <c r="A530" s="1">
        <v>2022</v>
      </c>
      <c r="B530" s="1">
        <v>91</v>
      </c>
      <c r="C530" s="1" t="s">
        <v>240</v>
      </c>
      <c r="D530" s="1" t="e">
        <f t="array" aca="1" ref="D530" ca="1">_xludf.XLOOKUP(C530,'country region mapping'!$A$2:$A$250, 'country region mapping'!$E$2:$E$250)</f>
        <v>#NAME?</v>
      </c>
      <c r="E530" s="1" t="e">
        <f t="array" aca="1" ref="E530" ca="1">_xludf.XLOOKUP(C530,'country region mapping'!$A$2:$A$267,'country region mapping'!$F$2:$F$267)</f>
        <v>#NAME?</v>
      </c>
      <c r="F530" s="1" t="e">
        <f t="array" aca="1" ref="F530" ca="1">_xludf.XLOOKUP(C530,'country region mapping'!$A$2:$A$267,'country region mapping'!$G$2:$G$267)</f>
        <v>#NAME?</v>
      </c>
      <c r="G530" s="1">
        <v>5.0720000000000001</v>
      </c>
      <c r="H530" s="1">
        <v>122</v>
      </c>
      <c r="I530" s="1">
        <v>130</v>
      </c>
      <c r="J530" s="1">
        <v>116</v>
      </c>
      <c r="K530" s="1">
        <v>110</v>
      </c>
      <c r="L530" s="1">
        <v>98</v>
      </c>
      <c r="M530" s="1">
        <v>64</v>
      </c>
      <c r="N530" s="1">
        <v>70</v>
      </c>
      <c r="O530" s="1">
        <v>59</v>
      </c>
      <c r="P530" s="1">
        <v>135</v>
      </c>
      <c r="Q530" s="1">
        <v>64</v>
      </c>
      <c r="R530" s="1">
        <v>11</v>
      </c>
      <c r="S530" s="1">
        <v>35</v>
      </c>
    </row>
    <row r="531" spans="1:19">
      <c r="A531" s="1">
        <v>2022</v>
      </c>
      <c r="B531" s="1">
        <v>92</v>
      </c>
      <c r="C531" s="1" t="s">
        <v>195</v>
      </c>
      <c r="D531" s="1" t="e">
        <f t="array" aca="1" ref="D531" ca="1">_xludf.XLOOKUP(C531,'country region mapping'!$A$2:$A$250, 'country region mapping'!$E$2:$E$250)</f>
        <v>#NAME?</v>
      </c>
      <c r="E531" s="1" t="e">
        <f t="array" aca="1" ref="E531" ca="1">_xludf.XLOOKUP(C531,'country region mapping'!$A$2:$A$267,'country region mapping'!$F$2:$F$267)</f>
        <v>#NAME?</v>
      </c>
      <c r="F531" s="1" t="e">
        <f t="array" aca="1" ref="F531" ca="1">_xludf.XLOOKUP(C531,'country region mapping'!$A$2:$A$267,'country region mapping'!$G$2:$G$267)</f>
        <v>#NAME?</v>
      </c>
      <c r="G531" s="1">
        <v>5.0709999999999997</v>
      </c>
      <c r="H531" s="1">
        <v>79</v>
      </c>
      <c r="I531" s="1">
        <v>62</v>
      </c>
      <c r="J531" s="1">
        <v>77</v>
      </c>
      <c r="K531" s="1">
        <v>78</v>
      </c>
      <c r="L531" s="1">
        <v>56</v>
      </c>
      <c r="M531" s="1">
        <v>4</v>
      </c>
      <c r="N531" s="1">
        <v>105</v>
      </c>
      <c r="O531" s="1">
        <v>124</v>
      </c>
      <c r="P531" s="1">
        <v>114</v>
      </c>
      <c r="Q531" s="1">
        <v>4</v>
      </c>
      <c r="R531" s="1">
        <v>12</v>
      </c>
      <c r="S531" s="1">
        <v>6</v>
      </c>
    </row>
    <row r="532" spans="1:19">
      <c r="A532" s="1">
        <v>2022</v>
      </c>
      <c r="B532" s="1">
        <v>93</v>
      </c>
      <c r="C532" s="1" t="s">
        <v>220</v>
      </c>
      <c r="D532" s="1" t="e">
        <f t="array" aca="1" ref="D532" ca="1">_xludf.XLOOKUP(C532,'country region mapping'!$A$2:$A$267,'country region mapping'!$E$2:$E$267)</f>
        <v>#NAME?</v>
      </c>
      <c r="E532" s="1" t="e">
        <f t="array" aca="1" ref="E532" ca="1">_xludf.XLOOKUP(C532,'country region mapping'!$A$2:$A$267,'country region mapping'!$F$2:$F$267)</f>
        <v>#NAME?</v>
      </c>
      <c r="F532" s="1" t="e">
        <f t="array" aca="1" ref="F532" ca="1">_xludf.XLOOKUP(C532,'country region mapping'!$A$2:$A$267,'country region mapping'!$G$2:$G$267)</f>
        <v>#NAME?</v>
      </c>
      <c r="G532" s="1">
        <v>5.0529999999999999</v>
      </c>
      <c r="H532" s="1">
        <v>123</v>
      </c>
      <c r="I532" s="1">
        <v>133</v>
      </c>
      <c r="J532" s="1">
        <v>104</v>
      </c>
      <c r="K532" s="1">
        <v>104</v>
      </c>
      <c r="L532" s="1"/>
      <c r="M532" s="1">
        <v>89</v>
      </c>
      <c r="N532" s="1">
        <v>55</v>
      </c>
      <c r="O532" s="1">
        <v>85</v>
      </c>
      <c r="P532" s="1">
        <v>117</v>
      </c>
      <c r="Q532" s="1">
        <v>89</v>
      </c>
      <c r="R532" s="1">
        <v>77</v>
      </c>
      <c r="S532" s="1">
        <v>33</v>
      </c>
    </row>
    <row r="533" spans="1:19">
      <c r="A533" s="1">
        <v>2022</v>
      </c>
      <c r="B533" s="1">
        <v>94</v>
      </c>
      <c r="C533" s="1" t="s">
        <v>306</v>
      </c>
      <c r="D533" s="1" t="e">
        <f t="array" aca="1" ref="D533" ca="1">_xludf.XLOOKUP(C533,'country region mapping'!$A$2:$A$250, 'country region mapping'!$E$2:$E$250)</f>
        <v>#NAME?</v>
      </c>
      <c r="E533" s="1" t="e">
        <f t="array" aca="1" ref="E533" ca="1">_xludf.XLOOKUP(C533,'country region mapping'!$A$2:$A$267,'country region mapping'!$F$2:$F$267)</f>
        <v>#NAME?</v>
      </c>
      <c r="F533" s="1" t="e">
        <f t="array" aca="1" ref="F533" ca="1">_xludf.XLOOKUP(C533,'country region mapping'!$A$2:$A$267,'country region mapping'!$G$2:$G$267)</f>
        <v>#NAME?</v>
      </c>
      <c r="G533" s="1">
        <v>5.0350000000000001</v>
      </c>
      <c r="H533" s="1">
        <v>119</v>
      </c>
      <c r="I533" s="1">
        <v>94</v>
      </c>
      <c r="J533" s="1">
        <v>63</v>
      </c>
      <c r="K533" s="1">
        <v>101</v>
      </c>
      <c r="L533" s="1">
        <v>110</v>
      </c>
      <c r="M533" s="1">
        <v>124</v>
      </c>
      <c r="N533" s="1">
        <v>82</v>
      </c>
      <c r="O533" s="1">
        <v>73</v>
      </c>
      <c r="P533" s="1">
        <v>120</v>
      </c>
      <c r="Q533" s="1">
        <v>124</v>
      </c>
      <c r="R533" s="1">
        <v>107</v>
      </c>
      <c r="S533" s="1">
        <v>28</v>
      </c>
    </row>
    <row r="534" spans="1:19">
      <c r="A534" s="1">
        <v>2022</v>
      </c>
      <c r="B534" s="1">
        <v>95</v>
      </c>
      <c r="C534" s="1" t="s">
        <v>165</v>
      </c>
      <c r="D534" s="1" t="e">
        <f t="array" aca="1" ref="D534" ca="1">_xludf.XLOOKUP(C534,'country region mapping'!$A$2:$A$250, 'country region mapping'!$E$2:$E$250)</f>
        <v>#NAME?</v>
      </c>
      <c r="E534" s="1" t="e">
        <f t="array" aca="1" ref="E534" ca="1">_xludf.XLOOKUP(C534,'country region mapping'!$A$2:$A$267,'country region mapping'!$F$2:$F$267)</f>
        <v>#NAME?</v>
      </c>
      <c r="F534" s="1" t="e">
        <f t="array" aca="1" ref="F534" ca="1">_xludf.XLOOKUP(C534,'country region mapping'!$A$2:$A$267,'country region mapping'!$G$2:$G$267)</f>
        <v>#NAME?</v>
      </c>
      <c r="G534" s="1">
        <v>4.9809999999999999</v>
      </c>
      <c r="H534" s="1">
        <v>96</v>
      </c>
      <c r="I534" s="1">
        <v>90</v>
      </c>
      <c r="J534" s="1">
        <v>108</v>
      </c>
      <c r="K534" s="1">
        <v>104</v>
      </c>
      <c r="L534" s="1">
        <v>79</v>
      </c>
      <c r="M534" s="1">
        <v>42</v>
      </c>
      <c r="N534" s="1">
        <v>132</v>
      </c>
      <c r="O534" s="1">
        <v>23</v>
      </c>
      <c r="P534" s="1">
        <v>52</v>
      </c>
      <c r="Q534" s="1">
        <v>42</v>
      </c>
      <c r="R534" s="1">
        <v>13</v>
      </c>
      <c r="S534" s="1">
        <v>4</v>
      </c>
    </row>
    <row r="535" spans="1:19">
      <c r="A535" s="1">
        <v>2022</v>
      </c>
      <c r="B535" s="1">
        <v>96</v>
      </c>
      <c r="C535" s="1" t="s">
        <v>182</v>
      </c>
      <c r="D535" s="1" t="e">
        <f t="array" aca="1" ref="D535" ca="1">_xludf.XLOOKUP(C535,'country region mapping'!$A$2:$A$250, 'country region mapping'!$E$2:$E$250)</f>
        <v>#NAME?</v>
      </c>
      <c r="E535" s="1" t="e">
        <f t="array" aca="1" ref="E535" ca="1">_xludf.XLOOKUP(C535,'country region mapping'!$A$2:$A$267,'country region mapping'!$F$2:$F$267)</f>
        <v>#NAME?</v>
      </c>
      <c r="F535" s="1" t="e">
        <f t="array" aca="1" ref="F535" ca="1">_xludf.XLOOKUP(C535,'country region mapping'!$A$2:$A$267,'country region mapping'!$G$2:$G$267)</f>
        <v>#NAME?</v>
      </c>
      <c r="G535" s="1">
        <v>4.9729999999999999</v>
      </c>
      <c r="H535" s="1">
        <v>115</v>
      </c>
      <c r="I535" s="1">
        <v>121</v>
      </c>
      <c r="J535" s="1">
        <v>112</v>
      </c>
      <c r="K535" s="1">
        <v>108</v>
      </c>
      <c r="L535" s="1">
        <v>118</v>
      </c>
      <c r="M535" s="1">
        <v>87</v>
      </c>
      <c r="N535" s="1">
        <v>104</v>
      </c>
      <c r="O535" s="1">
        <v>101</v>
      </c>
      <c r="P535" s="1">
        <v>106</v>
      </c>
      <c r="Q535" s="1">
        <v>87</v>
      </c>
      <c r="R535" s="1">
        <v>54</v>
      </c>
      <c r="S535" s="1">
        <v>20</v>
      </c>
    </row>
    <row r="536" spans="1:19">
      <c r="A536" s="1">
        <v>2022</v>
      </c>
      <c r="B536" s="1">
        <v>97</v>
      </c>
      <c r="C536" s="1" t="s">
        <v>252</v>
      </c>
      <c r="D536" s="1" t="e">
        <f t="array" aca="1" ref="D536" ca="1">_xludf.XLOOKUP(C536,'country region mapping'!$A$2:$A$250, 'country region mapping'!$E$2:$E$250)</f>
        <v>#NAME?</v>
      </c>
      <c r="E536" s="1" t="e">
        <f t="array" aca="1" ref="E536" ca="1">_xludf.XLOOKUP(C536,'country region mapping'!$A$2:$A$267,'country region mapping'!$F$2:$F$267)</f>
        <v>#NAME?</v>
      </c>
      <c r="F536" s="1" t="e">
        <f t="array" aca="1" ref="F536" ca="1">_xludf.XLOOKUP(C536,'country region mapping'!$A$2:$A$267,'country region mapping'!$G$2:$G$267)</f>
        <v>#NAME?</v>
      </c>
      <c r="G536" s="1">
        <v>4.9539999999999997</v>
      </c>
      <c r="H536" s="1">
        <v>138</v>
      </c>
      <c r="I536" s="1">
        <v>110</v>
      </c>
      <c r="J536" s="1">
        <v>135</v>
      </c>
      <c r="K536" s="1">
        <v>117</v>
      </c>
      <c r="L536" s="1">
        <v>31</v>
      </c>
      <c r="M536" s="1">
        <v>109</v>
      </c>
      <c r="N536" s="1">
        <v>38</v>
      </c>
      <c r="O536" s="1">
        <v>86</v>
      </c>
      <c r="P536" s="1">
        <v>101</v>
      </c>
      <c r="Q536" s="1">
        <v>109</v>
      </c>
      <c r="R536" s="1">
        <v>47</v>
      </c>
      <c r="S536" s="1">
        <v>104</v>
      </c>
    </row>
    <row r="537" spans="1:19">
      <c r="A537" s="1">
        <v>2022</v>
      </c>
      <c r="B537" s="1">
        <v>98</v>
      </c>
      <c r="C537" s="1" t="s">
        <v>179</v>
      </c>
      <c r="D537" s="1" t="e">
        <f t="array" aca="1" ref="D537" ca="1">_xludf.XLOOKUP(C537,'country region mapping'!$A$2:$A$250, 'country region mapping'!$E$2:$E$250)</f>
        <v>#NAME?</v>
      </c>
      <c r="E537" s="1" t="e">
        <f t="array" aca="1" ref="E537" ca="1">_xludf.XLOOKUP(C537,'country region mapping'!$A$2:$A$267,'country region mapping'!$F$2:$F$267)</f>
        <v>#NAME?</v>
      </c>
      <c r="F537" s="1" t="e">
        <f t="array" aca="1" ref="F537" ca="1">_xludf.XLOOKUP(C537,'country region mapping'!$A$2:$A$267,'country region mapping'!$G$2:$G$267)</f>
        <v>#NAME?</v>
      </c>
      <c r="G537" s="1">
        <v>4.9409999999999998</v>
      </c>
      <c r="H537" s="1">
        <v>112</v>
      </c>
      <c r="I537" s="1">
        <v>101</v>
      </c>
      <c r="J537" s="1">
        <v>79</v>
      </c>
      <c r="K537" s="1">
        <v>82</v>
      </c>
      <c r="L537" s="1">
        <v>121</v>
      </c>
      <c r="M537" s="1">
        <v>60</v>
      </c>
      <c r="N537" s="1">
        <v>107</v>
      </c>
      <c r="O537" s="1">
        <v>111</v>
      </c>
      <c r="P537" s="1">
        <v>137</v>
      </c>
      <c r="Q537" s="1">
        <v>60</v>
      </c>
      <c r="R537" s="1">
        <v>98</v>
      </c>
      <c r="S537" s="1">
        <v>12</v>
      </c>
    </row>
    <row r="538" spans="1:19">
      <c r="A538" s="1">
        <v>2022</v>
      </c>
      <c r="B538" s="1">
        <v>30</v>
      </c>
      <c r="C538" s="1" t="s">
        <v>79</v>
      </c>
      <c r="D538" s="1" t="e">
        <f t="array" aca="1" ref="D538" ca="1">_xludf.XLOOKUP(C538,'country region mapping'!$A$2:$A$250, 'country region mapping'!$E$2:$E$250)</f>
        <v>#NAME?</v>
      </c>
      <c r="E538" s="1" t="e">
        <f t="array" aca="1" ref="E538" ca="1">_xludf.XLOOKUP(C538,'country region mapping'!$A$2:$A$267,'country region mapping'!$F$2:$F$267)</f>
        <v>#NAME?</v>
      </c>
      <c r="F538" s="1" t="e">
        <f t="array" aca="1" ref="F538" ca="1">_xludf.XLOOKUP(C538,'country region mapping'!$A$2:$A$267,'country region mapping'!$G$2:$G$267)</f>
        <v>#NAME?</v>
      </c>
      <c r="G538" s="1">
        <v>6.4630000000000001</v>
      </c>
      <c r="H538" s="1">
        <v>67</v>
      </c>
      <c r="I538" s="1">
        <v>32</v>
      </c>
      <c r="J538" s="1">
        <v>20</v>
      </c>
      <c r="K538" s="1">
        <v>38</v>
      </c>
      <c r="M538" s="14">
        <v>54</v>
      </c>
      <c r="N538" s="14"/>
      <c r="O538" s="14">
        <v>64</v>
      </c>
      <c r="P538" s="14">
        <v>26</v>
      </c>
      <c r="Q538" s="14">
        <v>54</v>
      </c>
      <c r="R538" s="14">
        <v>102</v>
      </c>
      <c r="S538" s="1">
        <v>46</v>
      </c>
    </row>
    <row r="539" spans="1:19">
      <c r="A539" s="1">
        <v>2022</v>
      </c>
      <c r="B539" s="1">
        <v>100</v>
      </c>
      <c r="C539" s="1" t="s">
        <v>150</v>
      </c>
      <c r="D539" s="1" t="e">
        <f t="array" aca="1" ref="D539" ca="1">_xludf.XLOOKUP(C539,'country region mapping'!$A$2:$A$250, 'country region mapping'!$E$2:$E$250)</f>
        <v>#NAME?</v>
      </c>
      <c r="E539" s="1" t="e">
        <f t="array" aca="1" ref="E539" ca="1">_xludf.XLOOKUP(C539,'country region mapping'!$A$2:$A$267,'country region mapping'!$F$2:$F$267)</f>
        <v>#NAME?</v>
      </c>
      <c r="F539" s="1" t="e">
        <f t="array" aca="1" ref="F539" ca="1">_xludf.XLOOKUP(C539,'country region mapping'!$A$2:$A$267,'country region mapping'!$G$2:$G$267)</f>
        <v>#NAME?</v>
      </c>
      <c r="G539" s="1">
        <v>4.9029999999999996</v>
      </c>
      <c r="H539" s="1">
        <v>102</v>
      </c>
      <c r="I539" s="1">
        <v>132</v>
      </c>
      <c r="J539" s="1">
        <v>96</v>
      </c>
      <c r="K539" s="1">
        <v>72</v>
      </c>
      <c r="L539" s="1">
        <v>69</v>
      </c>
      <c r="M539" s="1">
        <v>140</v>
      </c>
      <c r="N539" s="1">
        <v>80</v>
      </c>
      <c r="O539" s="1">
        <v>108</v>
      </c>
      <c r="P539" s="1">
        <v>121</v>
      </c>
      <c r="Q539" s="1">
        <v>140</v>
      </c>
      <c r="R539" s="1">
        <v>130</v>
      </c>
      <c r="S539" s="1">
        <v>26</v>
      </c>
    </row>
    <row r="540" spans="1:19">
      <c r="A540" s="1">
        <v>2022</v>
      </c>
      <c r="B540" s="1">
        <v>101</v>
      </c>
      <c r="C540" s="1" t="s">
        <v>169</v>
      </c>
      <c r="D540" s="1" t="e">
        <f t="array" aca="1" ref="D540" ca="1">_xludf.XLOOKUP(C540,'country region mapping'!$A$2:$A$267,'country region mapping'!$E$2:$E$267)</f>
        <v>#NAME?</v>
      </c>
      <c r="E540" s="1" t="e">
        <f t="array" aca="1" ref="E540" ca="1">_xludf.XLOOKUP(C540,'country region mapping'!$A$2:$A$267,'country region mapping'!$F$2:$F$267)</f>
        <v>#NAME?</v>
      </c>
      <c r="F540" s="1" t="e">
        <f t="array" aca="1" ref="F540" ca="1">_xludf.XLOOKUP(C540,'country region mapping'!$A$2:$A$267,'country region mapping'!$G$2:$G$267)</f>
        <v>#NAME?</v>
      </c>
      <c r="G540" s="1">
        <v>4.8760000000000003</v>
      </c>
      <c r="H540" s="1">
        <v>72</v>
      </c>
      <c r="I540" s="1">
        <v>88</v>
      </c>
      <c r="J540" s="1">
        <v>71</v>
      </c>
      <c r="K540" s="1">
        <v>54</v>
      </c>
      <c r="L540" s="1">
        <v>129</v>
      </c>
      <c r="M540" s="1">
        <v>27</v>
      </c>
      <c r="N540" s="1">
        <v>66</v>
      </c>
      <c r="O540" s="1">
        <v>125</v>
      </c>
      <c r="P540" s="1">
        <v>133</v>
      </c>
      <c r="Q540" s="1">
        <v>27</v>
      </c>
      <c r="R540" s="1">
        <v>110</v>
      </c>
      <c r="S540" s="1">
        <v>42</v>
      </c>
    </row>
    <row r="541" spans="1:19">
      <c r="A541" s="1">
        <v>2022</v>
      </c>
      <c r="B541" s="1">
        <v>102</v>
      </c>
      <c r="C541" s="1" t="s">
        <v>204</v>
      </c>
      <c r="D541" s="1" t="e">
        <f t="array" aca="1" ref="D541" ca="1">_xludf.XLOOKUP(C541,'country region mapping'!$A$2:$A$250, 'country region mapping'!$E$2:$E$250)</f>
        <v>#NAME?</v>
      </c>
      <c r="E541" s="1" t="e">
        <f t="array" aca="1" ref="E541" ca="1">_xludf.XLOOKUP(C541,'country region mapping'!$A$2:$A$267,'country region mapping'!$F$2:$F$267)</f>
        <v>#NAME?</v>
      </c>
      <c r="F541" s="1" t="e">
        <f t="array" aca="1" ref="F541" ca="1">_xludf.XLOOKUP(C541,'country region mapping'!$A$2:$A$267,'country region mapping'!$G$2:$G$267)</f>
        <v>#NAME?</v>
      </c>
      <c r="G541" s="1">
        <v>4.8550000000000004</v>
      </c>
      <c r="H541" s="1">
        <v>129</v>
      </c>
      <c r="I541" s="1">
        <v>123</v>
      </c>
      <c r="J541" s="1">
        <v>114</v>
      </c>
      <c r="K541" s="1">
        <v>92</v>
      </c>
      <c r="L541" s="1">
        <v>87</v>
      </c>
      <c r="M541" s="1">
        <v>76</v>
      </c>
      <c r="N541" s="1">
        <v>106</v>
      </c>
      <c r="O541" s="1">
        <v>8</v>
      </c>
      <c r="P541" s="1">
        <v>75</v>
      </c>
      <c r="Q541" s="1">
        <v>76</v>
      </c>
      <c r="R541" s="1">
        <v>31</v>
      </c>
      <c r="S541" s="1">
        <v>7</v>
      </c>
    </row>
    <row r="542" spans="1:19">
      <c r="A542" s="1">
        <v>2022</v>
      </c>
      <c r="B542" s="1">
        <v>103</v>
      </c>
      <c r="C542" s="1" t="s">
        <v>206</v>
      </c>
      <c r="D542" s="1" t="e">
        <f t="array" aca="1" ref="D542" ca="1">_xludf.XLOOKUP(C542,'country region mapping'!$A$2:$A$250, 'country region mapping'!$E$2:$E$250)</f>
        <v>#NAME?</v>
      </c>
      <c r="E542" s="1" t="e">
        <f t="array" aca="1" ref="E542" ca="1">_xludf.XLOOKUP(C542,'country region mapping'!$A$2:$A$267,'country region mapping'!$F$2:$F$267)</f>
        <v>#NAME?</v>
      </c>
      <c r="F542" s="1" t="e">
        <f t="array" aca="1" ref="F542" ca="1">_xludf.XLOOKUP(C542,'country region mapping'!$A$2:$A$267,'country region mapping'!$G$2:$G$267)</f>
        <v>#NAME?</v>
      </c>
      <c r="G542" s="1">
        <v>4.7240000000000002</v>
      </c>
      <c r="H542" s="1">
        <v>137</v>
      </c>
      <c r="I542" s="1">
        <v>117</v>
      </c>
      <c r="J542" s="1">
        <v>107</v>
      </c>
      <c r="K542" s="1"/>
      <c r="L542" s="1">
        <v>125</v>
      </c>
      <c r="M542" s="1">
        <v>91</v>
      </c>
      <c r="N542" s="1">
        <v>32</v>
      </c>
      <c r="O542" s="1">
        <v>84</v>
      </c>
      <c r="P542" s="1">
        <v>112</v>
      </c>
      <c r="Q542" s="1">
        <v>91</v>
      </c>
      <c r="R542" s="1">
        <v>22</v>
      </c>
      <c r="S542" s="1">
        <v>67</v>
      </c>
    </row>
    <row r="543" spans="1:19">
      <c r="A543" s="1">
        <v>2022</v>
      </c>
      <c r="B543" s="1">
        <v>104</v>
      </c>
      <c r="C543" s="1" t="s">
        <v>229</v>
      </c>
      <c r="D543" s="1" t="e">
        <f t="array" aca="1" ref="D543" ca="1">_xludf.XLOOKUP(C543,'country region mapping'!$A$2:$A$250, 'country region mapping'!$E$2:$E$250)</f>
        <v>#NAME?</v>
      </c>
      <c r="E543" s="1" t="e">
        <f t="array" aca="1" ref="E543" ca="1">_xludf.XLOOKUP(C543,'country region mapping'!$A$2:$A$267,'country region mapping'!$F$2:$F$267)</f>
        <v>#NAME?</v>
      </c>
      <c r="F543" s="1" t="e">
        <f t="array" aca="1" ref="F543" ca="1">_xludf.XLOOKUP(C543,'country region mapping'!$A$2:$A$267,'country region mapping'!$G$2:$G$267)</f>
        <v>#NAME?</v>
      </c>
      <c r="G543" s="1">
        <v>4.6379999999999999</v>
      </c>
      <c r="H543" s="1"/>
      <c r="I543" s="1"/>
      <c r="J543" s="1"/>
      <c r="K543" s="1">
        <v>107</v>
      </c>
      <c r="L543" s="1"/>
      <c r="M543" s="1"/>
      <c r="N543" s="1"/>
      <c r="O543" s="1"/>
      <c r="S543" s="1"/>
    </row>
    <row r="544" spans="1:19">
      <c r="A544" s="1">
        <v>2022</v>
      </c>
      <c r="B544" s="1">
        <v>105</v>
      </c>
      <c r="C544" s="1" t="s">
        <v>181</v>
      </c>
      <c r="D544" s="1" t="e">
        <f t="array" aca="1" ref="D544" ca="1">_xludf.XLOOKUP(C544,'country region mapping'!$A$2:$A$250, 'country region mapping'!$E$2:$E$250)</f>
        <v>#NAME?</v>
      </c>
      <c r="E544" s="1" t="e">
        <f t="array" aca="1" ref="E544" ca="1">_xludf.XLOOKUP(C544,'country region mapping'!$A$2:$A$267,'country region mapping'!$F$2:$F$267)</f>
        <v>#NAME?</v>
      </c>
      <c r="F544" s="1" t="e">
        <f t="array" aca="1" ref="F544" ca="1">_xludf.XLOOKUP(C544,'country region mapping'!$A$2:$A$267,'country region mapping'!$G$2:$G$267)</f>
        <v>#NAME?</v>
      </c>
      <c r="G544" s="1">
        <v>4.6310000000000002</v>
      </c>
      <c r="H544" s="1">
        <v>104</v>
      </c>
      <c r="I544" s="1">
        <v>85</v>
      </c>
      <c r="J544" s="1">
        <v>90</v>
      </c>
      <c r="K544" s="1">
        <v>116</v>
      </c>
      <c r="L544" s="1">
        <v>113</v>
      </c>
      <c r="M544" s="1">
        <v>119</v>
      </c>
      <c r="N544" s="1">
        <v>103</v>
      </c>
      <c r="O544" s="1">
        <v>65</v>
      </c>
      <c r="P544" s="1">
        <v>58</v>
      </c>
      <c r="Q544" s="1">
        <v>119</v>
      </c>
      <c r="R544" s="1">
        <v>58</v>
      </c>
      <c r="S544" s="1">
        <v>18</v>
      </c>
    </row>
    <row r="545" spans="1:19">
      <c r="A545" s="1">
        <v>2022</v>
      </c>
      <c r="B545" s="1">
        <v>106</v>
      </c>
      <c r="C545" s="1" t="s">
        <v>136</v>
      </c>
      <c r="D545" s="1" t="e">
        <f t="array" aca="1" ref="D545" ca="1">_xludf.XLOOKUP(C545,'country region mapping'!$A$2:$A$250, 'country region mapping'!$E$2:$E$250)</f>
        <v>#NAME?</v>
      </c>
      <c r="E545" s="1" t="e">
        <f t="array" aca="1" ref="E545" ca="1">_xludf.XLOOKUP(C545,'country region mapping'!$A$2:$A$267,'country region mapping'!$F$2:$F$267)</f>
        <v>#NAME?</v>
      </c>
      <c r="F545" s="1" t="e">
        <f t="array" aca="1" ref="F545" ca="1">_xludf.XLOOKUP(C545,'country region mapping'!$A$2:$A$267,'country region mapping'!$G$2:$G$267)</f>
        <v>#NAME?</v>
      </c>
      <c r="G545" s="1">
        <v>4.6139999999999999</v>
      </c>
      <c r="H545" s="1">
        <v>61</v>
      </c>
      <c r="I545" s="1">
        <v>72</v>
      </c>
      <c r="J545" s="1">
        <v>46</v>
      </c>
      <c r="K545" s="1">
        <v>42</v>
      </c>
      <c r="L545" s="1">
        <v>135</v>
      </c>
      <c r="M545" s="1">
        <v>110</v>
      </c>
      <c r="N545" s="1">
        <v>68</v>
      </c>
      <c r="O545" s="1">
        <v>138</v>
      </c>
      <c r="P545" s="1">
        <v>113</v>
      </c>
      <c r="Q545" s="1">
        <v>110</v>
      </c>
      <c r="R545" s="1">
        <v>123</v>
      </c>
      <c r="S545" s="1">
        <v>99</v>
      </c>
    </row>
    <row r="546" spans="1:19">
      <c r="A546" s="1">
        <v>2022</v>
      </c>
      <c r="B546" s="1">
        <v>107</v>
      </c>
      <c r="C546" s="1" t="s">
        <v>197</v>
      </c>
      <c r="D546" s="1" t="e">
        <f t="array" aca="1" ref="D546" ca="1">_xludf.XLOOKUP(C546,'country region mapping'!$A$2:$A$250, 'country region mapping'!$E$2:$E$250)</f>
        <v>#NAME?</v>
      </c>
      <c r="E546" s="1" t="e">
        <f t="array" aca="1" ref="E546" ca="1">_xludf.XLOOKUP(C546,'country region mapping'!$A$2:$A$267,'country region mapping'!$F$2:$F$267)</f>
        <v>#NAME?</v>
      </c>
      <c r="F546" s="1" t="e">
        <f t="array" aca="1" ref="F546" ca="1">_xludf.XLOOKUP(C546,'country region mapping'!$A$2:$A$267,'country region mapping'!$G$2:$G$267)</f>
        <v>#NAME?</v>
      </c>
      <c r="G546" s="1">
        <v>4.6050000000000004</v>
      </c>
      <c r="H546" s="1">
        <v>100</v>
      </c>
      <c r="I546" s="1">
        <v>122</v>
      </c>
      <c r="J546" s="1">
        <v>101</v>
      </c>
      <c r="K546" s="1">
        <v>97</v>
      </c>
      <c r="L546" s="1">
        <v>74</v>
      </c>
      <c r="M546" s="1">
        <v>59</v>
      </c>
      <c r="N546" s="1">
        <v>129</v>
      </c>
      <c r="O546" s="1">
        <v>92</v>
      </c>
      <c r="P546" s="1">
        <v>79</v>
      </c>
      <c r="Q546" s="1">
        <v>59</v>
      </c>
      <c r="R546" s="1">
        <v>26</v>
      </c>
      <c r="S546" s="1">
        <v>41</v>
      </c>
    </row>
    <row r="547" spans="1:19">
      <c r="A547" s="1">
        <v>2022</v>
      </c>
      <c r="B547" s="1">
        <v>108</v>
      </c>
      <c r="C547" s="1" t="s">
        <v>152</v>
      </c>
      <c r="D547" s="1" t="e">
        <f t="array" aca="1" ref="D547" ca="1">_xludf.XLOOKUP(C547,'country region mapping'!$A$2:$A$250, 'country region mapping'!$E$2:$E$250)</f>
        <v>#NAME?</v>
      </c>
      <c r="E547" s="1" t="e">
        <f t="array" aca="1" ref="E547" ca="1">_xludf.XLOOKUP(C547,'country region mapping'!$A$2:$A$267,'country region mapping'!$F$2:$F$267)</f>
        <v>#NAME?</v>
      </c>
      <c r="F547" s="1" t="e">
        <f t="array" aca="1" ref="F547" ca="1">_xludf.XLOOKUP(C547,'country region mapping'!$A$2:$A$267,'country region mapping'!$G$2:$G$267)</f>
        <v>#NAME?</v>
      </c>
      <c r="G547" s="1">
        <v>4.5549999999999997</v>
      </c>
      <c r="H547" s="1">
        <v>97</v>
      </c>
      <c r="I547" s="1">
        <v>127</v>
      </c>
      <c r="J547" s="1">
        <v>109</v>
      </c>
      <c r="K547" s="1">
        <v>100</v>
      </c>
      <c r="L547" s="1">
        <v>88</v>
      </c>
      <c r="M547" s="1">
        <v>85</v>
      </c>
      <c r="N547" s="1">
        <v>112</v>
      </c>
      <c r="O547" s="1">
        <v>134</v>
      </c>
      <c r="P547" s="1">
        <v>108</v>
      </c>
      <c r="Q547" s="1">
        <v>85</v>
      </c>
      <c r="R547" s="1">
        <v>112</v>
      </c>
      <c r="S547" s="1">
        <v>136</v>
      </c>
    </row>
    <row r="548" spans="1:19">
      <c r="A548" s="1">
        <v>2022</v>
      </c>
      <c r="B548" s="1">
        <v>109</v>
      </c>
      <c r="C548" s="1" t="s">
        <v>224</v>
      </c>
      <c r="D548" s="1" t="e">
        <f t="array" aca="1" ref="D548" ca="1">_xludf.XLOOKUP(C548,'country region mapping'!$A$2:$A$250, 'country region mapping'!$E$2:$E$250)</f>
        <v>#NAME?</v>
      </c>
      <c r="E548" s="1" t="e">
        <f t="array" aca="1" ref="E548" ca="1">_xludf.XLOOKUP(C548,'country region mapping'!$A$2:$A$267,'country region mapping'!$F$2:$F$267)</f>
        <v>#NAME?</v>
      </c>
      <c r="F548" s="1" t="e">
        <f t="array" aca="1" ref="F548" ca="1">_xludf.XLOOKUP(C548,'country region mapping'!$A$2:$A$267,'country region mapping'!$G$2:$G$267)</f>
        <v>#NAME?</v>
      </c>
      <c r="G548" s="1">
        <v>4.5010000000000003</v>
      </c>
      <c r="H548" s="1">
        <v>114</v>
      </c>
      <c r="I548" s="1">
        <v>129</v>
      </c>
      <c r="J548" s="1">
        <v>130</v>
      </c>
      <c r="K548" s="1"/>
      <c r="L548" s="1">
        <v>71</v>
      </c>
      <c r="M548" s="1">
        <v>116</v>
      </c>
      <c r="N548" s="1">
        <v>52</v>
      </c>
      <c r="O548" s="1">
        <v>10</v>
      </c>
      <c r="P548" s="1">
        <v>107</v>
      </c>
      <c r="Q548" s="1">
        <v>116</v>
      </c>
      <c r="R548" s="1">
        <v>73</v>
      </c>
      <c r="S548" s="1">
        <v>49</v>
      </c>
    </row>
    <row r="549" spans="1:19">
      <c r="A549" s="1">
        <v>2022</v>
      </c>
      <c r="B549" s="1">
        <v>110</v>
      </c>
      <c r="C549" s="1" t="s">
        <v>159</v>
      </c>
      <c r="D549" s="1" t="e">
        <f t="array" aca="1" ref="D549" ca="1">_xludf.XLOOKUP(C549,'country region mapping'!$A$2:$A$250, 'country region mapping'!$E$2:$E$250)</f>
        <v>#NAME?</v>
      </c>
      <c r="E549" s="1" t="e">
        <f t="array" aca="1" ref="E549" ca="1">_xludf.XLOOKUP(C549,'country region mapping'!$A$2:$A$267,'country region mapping'!$F$2:$F$267)</f>
        <v>#NAME?</v>
      </c>
      <c r="F549" s="1" t="e">
        <f t="array" aca="1" ref="F549" ca="1">_xludf.XLOOKUP(C549,'country region mapping'!$A$2:$A$267,'country region mapping'!$G$2:$G$267)</f>
        <v>#NAME?</v>
      </c>
      <c r="G549" s="1">
        <v>4.4969999999999999</v>
      </c>
      <c r="H549" s="1">
        <v>35</v>
      </c>
      <c r="I549" s="1">
        <v>98</v>
      </c>
      <c r="J549" s="1">
        <v>84</v>
      </c>
      <c r="K549" s="1">
        <v>62</v>
      </c>
      <c r="L549" s="1">
        <v>134</v>
      </c>
      <c r="M549" s="1">
        <v>137</v>
      </c>
      <c r="N549" s="1">
        <v>128</v>
      </c>
      <c r="O549" s="1">
        <v>136</v>
      </c>
      <c r="P549" s="1">
        <v>85</v>
      </c>
      <c r="Q549" s="1">
        <v>137</v>
      </c>
      <c r="R549" s="1">
        <v>124</v>
      </c>
      <c r="S549" s="1">
        <v>85</v>
      </c>
    </row>
    <row r="550" spans="1:19">
      <c r="A550" s="1">
        <v>2022</v>
      </c>
      <c r="B550" s="1">
        <v>111</v>
      </c>
      <c r="C550" s="1" t="s">
        <v>193</v>
      </c>
      <c r="D550" s="1" t="e">
        <f t="array" aca="1" ref="D550" ca="1">_xludf.XLOOKUP(C550,'country region mapping'!$A$2:$A$250, 'country region mapping'!$E$2:$E$250)</f>
        <v>#NAME?</v>
      </c>
      <c r="E550" s="1" t="e">
        <f t="array" aca="1" ref="E550" ca="1">_xludf.XLOOKUP(C550,'country region mapping'!$A$2:$A$267,'country region mapping'!$F$2:$F$267)</f>
        <v>#NAME?</v>
      </c>
      <c r="F550" s="1" t="e">
        <f t="array" aca="1" ref="F550" ca="1">_xludf.XLOOKUP(C550,'country region mapping'!$A$2:$A$267,'country region mapping'!$G$2:$G$267)</f>
        <v>#NAME?</v>
      </c>
      <c r="G550" s="1">
        <v>4.4870000000000001</v>
      </c>
      <c r="H550" s="1">
        <v>113</v>
      </c>
      <c r="I550" s="1">
        <v>111</v>
      </c>
      <c r="J550" s="1">
        <v>110</v>
      </c>
      <c r="K550" s="1">
        <v>94</v>
      </c>
      <c r="L550" s="1">
        <v>109</v>
      </c>
      <c r="M550" s="1">
        <v>26</v>
      </c>
      <c r="N550" s="1">
        <v>118</v>
      </c>
      <c r="O550" s="1">
        <v>36</v>
      </c>
      <c r="P550" s="1">
        <v>71</v>
      </c>
      <c r="Q550" s="1">
        <v>26</v>
      </c>
      <c r="R550" s="1">
        <v>4</v>
      </c>
      <c r="S550" s="1">
        <v>8</v>
      </c>
    </row>
    <row r="551" spans="1:19">
      <c r="A551" s="1">
        <v>2022</v>
      </c>
      <c r="B551" s="1">
        <v>112</v>
      </c>
      <c r="C551" s="1" t="s">
        <v>187</v>
      </c>
      <c r="D551" s="1" t="e">
        <f t="array" aca="1" ref="D551" ca="1">_xludf.XLOOKUP(C551,'country region mapping'!$A$2:$A$250, 'country region mapping'!$E$2:$E$250)</f>
        <v>#NAME?</v>
      </c>
      <c r="E551" s="1" t="e">
        <f t="array" aca="1" ref="E551" ca="1">_xludf.XLOOKUP(C551,'country region mapping'!$A$2:$A$267,'country region mapping'!$F$2:$F$267)</f>
        <v>#NAME?</v>
      </c>
      <c r="F551" s="1" t="e">
        <f t="array" aca="1" ref="F551" ca="1">_xludf.XLOOKUP(C551,'country region mapping'!$A$2:$A$267,'country region mapping'!$G$2:$G$267)</f>
        <v>#NAME?</v>
      </c>
      <c r="G551" s="1">
        <v>4.4420000000000002</v>
      </c>
      <c r="H551" s="1">
        <v>92</v>
      </c>
      <c r="I551" s="1">
        <v>73</v>
      </c>
      <c r="J551" s="1">
        <v>81</v>
      </c>
      <c r="K551" s="1">
        <v>34</v>
      </c>
      <c r="L551" s="1">
        <v>92</v>
      </c>
      <c r="M551" s="1">
        <v>63</v>
      </c>
      <c r="N551" s="1">
        <v>126</v>
      </c>
      <c r="O551" s="1">
        <v>48</v>
      </c>
      <c r="P551" s="1">
        <v>93</v>
      </c>
      <c r="Q551" s="1">
        <v>63</v>
      </c>
      <c r="R551" s="1">
        <v>5</v>
      </c>
      <c r="S551" s="1">
        <v>31</v>
      </c>
    </row>
    <row r="552" spans="1:19">
      <c r="A552" s="1">
        <v>2022</v>
      </c>
      <c r="B552" s="1">
        <v>113</v>
      </c>
      <c r="C552" s="1" t="s">
        <v>231</v>
      </c>
      <c r="D552" s="1" t="e">
        <f t="array" aca="1" ref="D552" ca="1">_xludf.XLOOKUP(C552,'country region mapping'!$A$2:$A$250, 'country region mapping'!$E$2:$E$250)</f>
        <v>#NAME?</v>
      </c>
      <c r="E552" s="1" t="e">
        <f t="array" aca="1" ref="E552" ca="1">_xludf.XLOOKUP(C552,'country region mapping'!$A$2:$A$267,'country region mapping'!$F$2:$F$267)</f>
        <v>#NAME?</v>
      </c>
      <c r="F552" s="1" t="e">
        <f t="array" aca="1" ref="F552" ca="1">_xludf.XLOOKUP(C552,'country region mapping'!$A$2:$A$267,'country region mapping'!$G$2:$G$267)</f>
        <v>#NAME?</v>
      </c>
      <c r="G552" s="1">
        <v>4.4320000000000004</v>
      </c>
      <c r="H552" s="1">
        <v>133</v>
      </c>
      <c r="I552" s="1">
        <v>93</v>
      </c>
      <c r="J552" s="1">
        <v>124</v>
      </c>
      <c r="K552" s="1">
        <v>99</v>
      </c>
      <c r="L552" s="1">
        <v>101</v>
      </c>
      <c r="M552" s="1">
        <v>68</v>
      </c>
      <c r="N552" s="1">
        <v>93</v>
      </c>
      <c r="O552" s="1">
        <v>56</v>
      </c>
      <c r="P552" s="1">
        <v>129</v>
      </c>
      <c r="Q552" s="1">
        <v>68</v>
      </c>
      <c r="R552" s="1">
        <v>17</v>
      </c>
      <c r="S552" s="1">
        <v>25</v>
      </c>
    </row>
    <row r="553" spans="1:19">
      <c r="A553" s="1">
        <v>2022</v>
      </c>
      <c r="B553" s="1">
        <v>114</v>
      </c>
      <c r="C553" s="1" t="s">
        <v>227</v>
      </c>
      <c r="D553" s="1" t="e">
        <f t="array" aca="1" ref="D553" ca="1">_xludf.XLOOKUP(C553,'country region mapping'!$A$2:$A$250, 'country region mapping'!$E$2:$E$250)</f>
        <v>#NAME?</v>
      </c>
      <c r="E553" s="1" t="e">
        <f t="array" aca="1" ref="E553" ca="1">_xludf.XLOOKUP(C553,'country region mapping'!$A$2:$A$267,'country region mapping'!$F$2:$F$267)</f>
        <v>#NAME?</v>
      </c>
      <c r="F553" s="1" t="e">
        <f t="array" aca="1" ref="F553" ca="1">_xludf.XLOOKUP(C553,'country region mapping'!$A$2:$A$267,'country region mapping'!$G$2:$G$267)</f>
        <v>#NAME?</v>
      </c>
      <c r="G553" s="1">
        <v>4.3970000000000002</v>
      </c>
      <c r="H553" s="1">
        <v>121</v>
      </c>
      <c r="I553" s="1">
        <v>107</v>
      </c>
      <c r="J553" s="1">
        <v>131</v>
      </c>
      <c r="K553" s="1"/>
      <c r="L553" s="1">
        <v>117</v>
      </c>
      <c r="M553" s="1">
        <v>57</v>
      </c>
      <c r="N553" s="1">
        <v>83</v>
      </c>
      <c r="O553" s="1">
        <v>100</v>
      </c>
      <c r="P553" s="1">
        <v>136</v>
      </c>
      <c r="Q553" s="1">
        <v>57</v>
      </c>
      <c r="R553" s="1">
        <v>9</v>
      </c>
      <c r="S553" s="1">
        <v>38</v>
      </c>
    </row>
    <row r="554" spans="1:19">
      <c r="A554" s="1">
        <v>2022</v>
      </c>
      <c r="B554" s="1">
        <v>115</v>
      </c>
      <c r="C554" s="1" t="s">
        <v>221</v>
      </c>
      <c r="D554" s="1" t="e">
        <f t="array" aca="1" ref="D554" ca="1">_xludf.XLOOKUP(C554,'country region mapping'!$A$2:$A$250, 'country region mapping'!$E$2:$E$250)</f>
        <v>#NAME?</v>
      </c>
      <c r="E554" s="1" t="e">
        <f t="array" aca="1" ref="E554" ca="1">_xludf.XLOOKUP(C554,'country region mapping'!$A$2:$A$267,'country region mapping'!$F$2:$F$267)</f>
        <v>#NAME?</v>
      </c>
      <c r="F554" s="1" t="e">
        <f t="array" aca="1" ref="F554" ca="1">_xludf.XLOOKUP(C554,'country region mapping'!$A$2:$A$267,'country region mapping'!$G$2:$G$267)</f>
        <v>#NAME?</v>
      </c>
      <c r="G554" s="1">
        <v>4.3929999999999998</v>
      </c>
      <c r="H554" s="1">
        <v>64</v>
      </c>
      <c r="I554" s="1">
        <v>91</v>
      </c>
      <c r="J554" s="1">
        <v>102</v>
      </c>
      <c r="K554" s="1">
        <v>86</v>
      </c>
      <c r="L554" s="1">
        <v>8</v>
      </c>
      <c r="M554" s="1">
        <v>50</v>
      </c>
      <c r="N554" s="1">
        <v>108</v>
      </c>
      <c r="O554" s="1">
        <v>25</v>
      </c>
      <c r="P554" s="1">
        <v>111</v>
      </c>
      <c r="Q554" s="1">
        <v>50</v>
      </c>
      <c r="R554" s="1">
        <v>133</v>
      </c>
      <c r="S554" s="1">
        <v>138</v>
      </c>
    </row>
    <row r="555" spans="1:19">
      <c r="A555" s="1">
        <v>2022</v>
      </c>
      <c r="B555" s="1">
        <v>116</v>
      </c>
      <c r="C555" s="1" t="s">
        <v>244</v>
      </c>
      <c r="D555" s="1" t="e">
        <f t="array" aca="1" ref="D555" ca="1">_xludf.XLOOKUP(C555,'country region mapping'!$A$2:$A$250, 'country region mapping'!$E$2:$E$250)</f>
        <v>#NAME?</v>
      </c>
      <c r="E555" s="1" t="e">
        <f t="array" aca="1" ref="E555" ca="1">_xludf.XLOOKUP(C555,'country region mapping'!$A$2:$A$267,'country region mapping'!$F$2:$F$267)</f>
        <v>#NAME?</v>
      </c>
      <c r="F555" s="1" t="e">
        <f t="array" aca="1" ref="F555" ca="1">_xludf.XLOOKUP(C555,'country region mapping'!$A$2:$A$267,'country region mapping'!$G$2:$G$267)</f>
        <v>#NAME?</v>
      </c>
      <c r="G555" s="1">
        <v>4.3739999999999997</v>
      </c>
      <c r="H555" s="1">
        <v>127</v>
      </c>
      <c r="I555" s="1">
        <v>139</v>
      </c>
      <c r="J555" s="1">
        <v>117</v>
      </c>
      <c r="K555" s="1">
        <v>103</v>
      </c>
      <c r="L555" s="1">
        <v>103</v>
      </c>
      <c r="M555" s="1">
        <v>111</v>
      </c>
      <c r="N555" s="1">
        <v>21</v>
      </c>
      <c r="O555" s="1">
        <v>110</v>
      </c>
      <c r="P555" s="1">
        <v>130</v>
      </c>
      <c r="Q555" s="1">
        <v>111</v>
      </c>
      <c r="R555" s="1">
        <v>94</v>
      </c>
      <c r="S555" s="1">
        <v>112</v>
      </c>
    </row>
    <row r="556" spans="1:19">
      <c r="A556" s="1">
        <v>2022</v>
      </c>
      <c r="B556" s="1">
        <v>117</v>
      </c>
      <c r="C556" s="1" t="s">
        <v>190</v>
      </c>
      <c r="D556" s="1" t="e">
        <f t="array" aca="1" ref="D556" ca="1">_xludf.XLOOKUP(C556,'country region mapping'!$A$2:$A$250, 'country region mapping'!$E$2:$E$250)</f>
        <v>#NAME?</v>
      </c>
      <c r="E556" s="1" t="e">
        <f t="array" aca="1" ref="E556" ca="1">_xludf.XLOOKUP(C556,'country region mapping'!$A$2:$A$267,'country region mapping'!$F$2:$F$267)</f>
        <v>#NAME?</v>
      </c>
      <c r="F556" s="1" t="e">
        <f t="array" aca="1" ref="F556" ca="1">_xludf.XLOOKUP(C556,'country region mapping'!$A$2:$A$267,'country region mapping'!$G$2:$G$267)</f>
        <v>#NAME?</v>
      </c>
      <c r="G556" s="1">
        <v>4.3719999999999999</v>
      </c>
      <c r="H556" s="1">
        <v>77</v>
      </c>
      <c r="I556" s="1">
        <v>103</v>
      </c>
      <c r="J556" s="1">
        <v>111</v>
      </c>
      <c r="K556" s="1">
        <v>91</v>
      </c>
      <c r="L556" s="1">
        <v>124</v>
      </c>
      <c r="M556" s="1">
        <v>1</v>
      </c>
      <c r="N556" s="1">
        <v>49</v>
      </c>
      <c r="O556" s="1">
        <v>69</v>
      </c>
      <c r="P556" s="1">
        <v>103</v>
      </c>
      <c r="Q556" s="1">
        <v>1</v>
      </c>
      <c r="R556" s="1">
        <v>24</v>
      </c>
      <c r="S556" s="1">
        <v>98</v>
      </c>
    </row>
    <row r="557" spans="1:19">
      <c r="A557" s="1">
        <v>2022</v>
      </c>
      <c r="B557" s="1">
        <v>118</v>
      </c>
      <c r="C557" s="1" t="s">
        <v>176</v>
      </c>
      <c r="D557" s="1" t="e">
        <f t="array" aca="1" ref="D557" ca="1">_xludf.XLOOKUP(C557,'country region mapping'!$A$2:$A$250, 'country region mapping'!$E$2:$E$250)</f>
        <v>#NAME?</v>
      </c>
      <c r="E557" s="1" t="e">
        <f t="array" aca="1" ref="E557" ca="1">_xludf.XLOOKUP(C557,'country region mapping'!$A$2:$A$267,'country region mapping'!$F$2:$F$267)</f>
        <v>#NAME?</v>
      </c>
      <c r="F557" s="1" t="e">
        <f t="array" aca="1" ref="F557" ca="1">_xludf.XLOOKUP(C557,'country region mapping'!$A$2:$A$267,'country region mapping'!$G$2:$G$267)</f>
        <v>#NAME?</v>
      </c>
      <c r="G557" s="1">
        <v>4.282</v>
      </c>
      <c r="H557" s="1">
        <v>87</v>
      </c>
      <c r="I557" s="1">
        <v>138</v>
      </c>
      <c r="J557" s="1">
        <v>99</v>
      </c>
      <c r="K557" s="1">
        <v>68</v>
      </c>
      <c r="L557" s="1">
        <v>40</v>
      </c>
      <c r="M557" s="1">
        <v>104</v>
      </c>
      <c r="N557" s="1">
        <v>25</v>
      </c>
      <c r="O557" s="1">
        <v>137</v>
      </c>
      <c r="P557" s="1">
        <v>131</v>
      </c>
      <c r="Q557" s="1">
        <v>104</v>
      </c>
      <c r="R557" s="1">
        <v>113</v>
      </c>
      <c r="S557" s="1">
        <v>37</v>
      </c>
    </row>
    <row r="558" spans="1:19">
      <c r="A558" s="1">
        <v>2022</v>
      </c>
      <c r="B558" s="1">
        <v>119</v>
      </c>
      <c r="C558" s="1" t="s">
        <v>403</v>
      </c>
      <c r="D558" s="1" t="e">
        <f t="array" aca="1" ref="D558" ca="1">_xludf.XLOOKUP(C558,'country region mapping'!$A$2:$A$250, 'country region mapping'!$E$2:$E$250)</f>
        <v>#NAME?</v>
      </c>
      <c r="E558" s="1" t="e">
        <f t="array" aca="1" ref="E558" ca="1">_xludf.XLOOKUP(C558,'country region mapping'!$A$2:$A$267,'country region mapping'!$F$2:$F$267)</f>
        <v>#NAME?</v>
      </c>
      <c r="F558" s="1" t="e">
        <f t="array" aca="1" ref="F558" ca="1">_xludf.XLOOKUP(C558,'country region mapping'!$A$2:$A$267,'country region mapping'!$G$2:$G$267)</f>
        <v>#NAME?</v>
      </c>
      <c r="G558" s="1">
        <v>4.2789999999999999</v>
      </c>
      <c r="H558" s="1">
        <v>111</v>
      </c>
      <c r="I558" s="1">
        <v>128</v>
      </c>
      <c r="J558" s="1">
        <v>123</v>
      </c>
      <c r="K558" s="1">
        <v>127</v>
      </c>
      <c r="L558" s="1"/>
      <c r="M558" s="1">
        <v>25</v>
      </c>
      <c r="N558" s="1">
        <v>120</v>
      </c>
      <c r="O558" s="1">
        <v>41</v>
      </c>
      <c r="P558" s="1">
        <v>127</v>
      </c>
      <c r="Q558" s="1">
        <v>25</v>
      </c>
      <c r="R558" s="1">
        <v>28</v>
      </c>
      <c r="S558" s="1">
        <v>32</v>
      </c>
    </row>
    <row r="559" spans="1:19">
      <c r="A559" s="1">
        <v>2022</v>
      </c>
      <c r="B559" s="1">
        <v>120</v>
      </c>
      <c r="C559" s="1" t="s">
        <v>311</v>
      </c>
      <c r="D559" s="1" t="e">
        <f t="array" aca="1" ref="D559" ca="1">_xludf.XLOOKUP(C559,'country region mapping'!$A$2:$A$250, 'country region mapping'!$E$2:$E$250)</f>
        <v>#NAME?</v>
      </c>
      <c r="E559" s="1" t="e">
        <f t="array" aca="1" ref="E559" ca="1">_xludf.XLOOKUP(C559,'country region mapping'!$A$2:$A$267,'country region mapping'!$F$2:$F$267)</f>
        <v>#NAME?</v>
      </c>
      <c r="F559" s="1" t="e">
        <f t="array" aca="1" ref="F559" ca="1">_xludf.XLOOKUP(C559,'country region mapping'!$A$2:$A$267,'country region mapping'!$G$2:$G$267)</f>
        <v>#NAME?</v>
      </c>
      <c r="G559" s="1">
        <v>4.1980000000000004</v>
      </c>
      <c r="H559" s="1">
        <v>109</v>
      </c>
      <c r="I559" s="1">
        <v>120</v>
      </c>
      <c r="J559" s="1">
        <v>128</v>
      </c>
      <c r="K559" s="1">
        <v>109</v>
      </c>
      <c r="L559" s="1">
        <v>60</v>
      </c>
      <c r="M559" s="1">
        <v>121</v>
      </c>
      <c r="N559" s="1">
        <v>56</v>
      </c>
      <c r="O559" s="1">
        <v>76</v>
      </c>
      <c r="P559" s="1">
        <v>119</v>
      </c>
      <c r="Q559" s="1">
        <v>121</v>
      </c>
      <c r="R559" s="1">
        <v>53</v>
      </c>
      <c r="S559" s="1">
        <v>78</v>
      </c>
    </row>
    <row r="560" spans="1:19">
      <c r="A560" s="1">
        <v>2015</v>
      </c>
      <c r="B560" s="1">
        <v>37</v>
      </c>
      <c r="C560" s="1" t="s">
        <v>274</v>
      </c>
      <c r="D560" s="1" t="e">
        <f t="array" aca="1" ref="D560" ca="1">_xludf.XLOOKUP(C560,'country region mapping'!$A$2:$A$250, 'country region mapping'!$E$2:$E$250)</f>
        <v>#NAME?</v>
      </c>
      <c r="E560" s="1" t="e">
        <f t="array" aca="1" ref="E560" ca="1">_xludf.XLOOKUP(C560,'country region mapping'!$A$2:$A$267,'country region mapping'!$F$2:$F$267)</f>
        <v>#NAME?</v>
      </c>
      <c r="F560" s="1" t="e">
        <f t="array" aca="1" ref="F560" ca="1">_xludf.XLOOKUP(C560,'country region mapping'!$A$2:$A$267,'country region mapping'!$G$2:$G$267)</f>
        <v>#NAME?</v>
      </c>
      <c r="G560" s="1">
        <v>6.3609999999999998</v>
      </c>
      <c r="H560" s="1">
        <v>17</v>
      </c>
      <c r="I560" s="1">
        <v>6</v>
      </c>
      <c r="J560" s="1">
        <v>29</v>
      </c>
      <c r="K560" s="1">
        <v>6</v>
      </c>
      <c r="L560" s="1">
        <v>83</v>
      </c>
      <c r="M560" s="1">
        <v>57</v>
      </c>
      <c r="N560" s="1">
        <v>73</v>
      </c>
      <c r="O560" s="1">
        <v>52</v>
      </c>
      <c r="P560" s="1">
        <v>76</v>
      </c>
      <c r="Q560" s="1">
        <v>57</v>
      </c>
      <c r="R560" s="1">
        <v>84</v>
      </c>
      <c r="S560" s="1">
        <v>86</v>
      </c>
    </row>
    <row r="561" spans="1:19">
      <c r="A561" s="1">
        <v>2022</v>
      </c>
      <c r="B561" s="1">
        <v>122</v>
      </c>
      <c r="C561" s="1" t="s">
        <v>247</v>
      </c>
      <c r="D561" s="1" t="e">
        <f t="array" aca="1" ref="D561" ca="1">_xludf.XLOOKUP(C561,'country region mapping'!$A$2:$A$250, 'country region mapping'!$E$2:$E$250)</f>
        <v>#NAME?</v>
      </c>
      <c r="E561" s="1" t="e">
        <f t="array" aca="1" ref="E561" ca="1">_xludf.XLOOKUP(C561,'country region mapping'!$A$2:$A$267,'country region mapping'!$F$2:$F$267)</f>
        <v>#NAME?</v>
      </c>
      <c r="F561" s="1" t="e">
        <f t="array" aca="1" ref="F561" ca="1">_xludf.XLOOKUP(C561,'country region mapping'!$A$2:$A$267,'country region mapping'!$G$2:$G$267)</f>
        <v>#NAME?</v>
      </c>
      <c r="G561" s="1">
        <v>4.1369999999999996</v>
      </c>
      <c r="H561" s="1">
        <v>90</v>
      </c>
      <c r="I561" s="1">
        <v>131</v>
      </c>
      <c r="J561" s="1">
        <v>125</v>
      </c>
      <c r="K561" s="1">
        <v>102</v>
      </c>
      <c r="L561" s="1">
        <v>114</v>
      </c>
      <c r="M561" s="1">
        <v>108</v>
      </c>
      <c r="N561" s="1">
        <v>45</v>
      </c>
      <c r="O561" s="1">
        <v>97</v>
      </c>
      <c r="P561" s="1">
        <v>122</v>
      </c>
      <c r="Q561" s="1">
        <v>108</v>
      </c>
      <c r="R561" s="1">
        <v>48</v>
      </c>
      <c r="S561" s="1">
        <v>80</v>
      </c>
    </row>
    <row r="562" spans="1:19">
      <c r="A562" s="1">
        <v>2022</v>
      </c>
      <c r="B562" s="1">
        <v>123</v>
      </c>
      <c r="C562" s="1" t="s">
        <v>138</v>
      </c>
      <c r="D562" s="1" t="e">
        <f t="array" aca="1" ref="D562" ca="1">_xludf.XLOOKUP(C562,'country region mapping'!$A$2:$A$250, 'country region mapping'!$E$2:$E$250)</f>
        <v>#NAME?</v>
      </c>
      <c r="E562" s="1" t="e">
        <f t="array" aca="1" ref="E562" ca="1">_xludf.XLOOKUP(C562,'country region mapping'!$A$2:$A$267,'country region mapping'!$F$2:$F$267)</f>
        <v>#NAME?</v>
      </c>
      <c r="F562" s="1" t="e">
        <f t="array" aca="1" ref="F562" ca="1">_xludf.XLOOKUP(C562,'country region mapping'!$A$2:$A$267,'country region mapping'!$G$2:$G$267)</f>
        <v>#NAME?</v>
      </c>
      <c r="G562" s="1">
        <v>4.12</v>
      </c>
      <c r="H562" s="1">
        <v>120</v>
      </c>
      <c r="I562" s="1">
        <v>95</v>
      </c>
      <c r="J562" s="1">
        <v>95</v>
      </c>
      <c r="K562" s="1">
        <v>43</v>
      </c>
      <c r="L562" s="1">
        <v>85</v>
      </c>
      <c r="M562" s="1">
        <v>126</v>
      </c>
      <c r="N562" s="1">
        <v>46</v>
      </c>
      <c r="O562" s="1">
        <v>126</v>
      </c>
      <c r="P562" s="1">
        <v>126</v>
      </c>
      <c r="Q562" s="1">
        <v>126</v>
      </c>
      <c r="R562" s="1">
        <v>132</v>
      </c>
      <c r="S562" s="1">
        <v>57</v>
      </c>
    </row>
    <row r="563" spans="1:19">
      <c r="A563" s="1">
        <v>2022</v>
      </c>
      <c r="B563" s="1">
        <v>124</v>
      </c>
      <c r="C563" s="1" t="s">
        <v>183</v>
      </c>
      <c r="D563" s="1" t="e">
        <f t="array" aca="1" ref="D563" ca="1">_xludf.XLOOKUP(C563,'country region mapping'!$A$2:$A$250, 'country region mapping'!$E$2:$E$250)</f>
        <v>#NAME?</v>
      </c>
      <c r="E563" s="1" t="e">
        <f t="array" aca="1" ref="E563" ca="1">_xludf.XLOOKUP(C563,'country region mapping'!$A$2:$A$267,'country region mapping'!$F$2:$F$267)</f>
        <v>#NAME?</v>
      </c>
      <c r="F563" s="1" t="e">
        <f t="array" aca="1" ref="F563" ca="1">_xludf.XLOOKUP(C563,'country region mapping'!$A$2:$A$267,'country region mapping'!$G$2:$G$267)</f>
        <v>#NAME?</v>
      </c>
      <c r="G563" s="1">
        <v>4.0910000000000002</v>
      </c>
      <c r="H563" s="1">
        <v>85</v>
      </c>
      <c r="I563" s="1">
        <v>104</v>
      </c>
      <c r="J563" s="1">
        <v>126</v>
      </c>
      <c r="K563" s="1"/>
      <c r="L563" s="1">
        <v>119</v>
      </c>
      <c r="M563" s="1">
        <v>24</v>
      </c>
      <c r="N563" s="1">
        <v>76</v>
      </c>
      <c r="O563" s="1">
        <v>113</v>
      </c>
      <c r="P563" s="1">
        <v>96</v>
      </c>
      <c r="Q563" s="1">
        <v>24</v>
      </c>
      <c r="R563" s="1">
        <v>29</v>
      </c>
      <c r="S563" s="1">
        <v>70</v>
      </c>
    </row>
    <row r="564" spans="1:19">
      <c r="A564" s="1">
        <v>2022</v>
      </c>
      <c r="B564" s="1">
        <v>125</v>
      </c>
      <c r="C564" s="1" t="s">
        <v>238</v>
      </c>
      <c r="D564" s="1" t="e">
        <f t="array" aca="1" ref="D564" ca="1">_xludf.XLOOKUP(C564,'country region mapping'!$A$2:$A$250, 'country region mapping'!$E$2:$E$250)</f>
        <v>#NAME?</v>
      </c>
      <c r="E564" s="1" t="e">
        <f t="array" aca="1" ref="E564" ca="1">_xludf.XLOOKUP(C564,'country region mapping'!$A$2:$A$267,'country region mapping'!$F$2:$F$267)</f>
        <v>#NAME?</v>
      </c>
      <c r="F564" s="1" t="e">
        <f t="array" aca="1" ref="F564" ca="1">_xludf.XLOOKUP(C564,'country region mapping'!$A$2:$A$267,'country region mapping'!$G$2:$G$267)</f>
        <v>#NAME?</v>
      </c>
      <c r="G564" s="1">
        <v>4.0419999999999998</v>
      </c>
      <c r="H564" s="1">
        <v>140</v>
      </c>
      <c r="I564" s="1">
        <v>126</v>
      </c>
      <c r="J564" s="1">
        <v>134</v>
      </c>
      <c r="K564" s="1"/>
      <c r="L564" s="1">
        <v>97</v>
      </c>
      <c r="M564" s="1">
        <v>70</v>
      </c>
      <c r="N564" s="1">
        <v>87</v>
      </c>
      <c r="O564" s="1">
        <v>81</v>
      </c>
      <c r="P564" s="1">
        <v>128</v>
      </c>
      <c r="Q564" s="1">
        <v>70</v>
      </c>
      <c r="R564" s="1">
        <v>1</v>
      </c>
      <c r="S564" s="1">
        <v>2</v>
      </c>
    </row>
    <row r="565" spans="1:19">
      <c r="A565" s="1">
        <v>2022</v>
      </c>
      <c r="B565" s="1">
        <v>126</v>
      </c>
      <c r="C565" s="1" t="s">
        <v>188</v>
      </c>
      <c r="D565" s="1" t="e">
        <f t="array" aca="1" ref="D565" ca="1">_xludf.XLOOKUP(C565,'country region mapping'!$A$2:$A$250, 'country region mapping'!$E$2:$E$250)</f>
        <v>#NAME?</v>
      </c>
      <c r="E565" s="1" t="e">
        <f t="array" aca="1" ref="E565" ca="1">_xludf.XLOOKUP(C565,'country region mapping'!$A$2:$A$267,'country region mapping'!$F$2:$F$267)</f>
        <v>#NAME?</v>
      </c>
      <c r="F565" s="1" t="e">
        <f t="array" aca="1" ref="F565" ca="1">_xludf.XLOOKUP(C565,'country region mapping'!$A$2:$A$267,'country region mapping'!$G$2:$G$267)</f>
        <v>#NAME?</v>
      </c>
      <c r="G565" s="1">
        <v>4.0359999999999996</v>
      </c>
      <c r="H565" s="1">
        <v>124</v>
      </c>
      <c r="I565" s="1">
        <v>124</v>
      </c>
      <c r="J565" s="1">
        <v>97</v>
      </c>
      <c r="K565" s="1">
        <v>95</v>
      </c>
      <c r="L565" s="1">
        <v>27</v>
      </c>
      <c r="M565" s="1">
        <v>61</v>
      </c>
      <c r="N565" s="1">
        <v>71</v>
      </c>
      <c r="O565" s="1">
        <v>96</v>
      </c>
      <c r="P565" s="1">
        <v>125</v>
      </c>
      <c r="Q565" s="1">
        <v>61</v>
      </c>
      <c r="R565" s="1">
        <v>14</v>
      </c>
      <c r="S565" s="1">
        <v>76</v>
      </c>
    </row>
    <row r="566" spans="1:19">
      <c r="A566" s="1">
        <v>2022</v>
      </c>
      <c r="B566" s="1">
        <v>127</v>
      </c>
      <c r="C566" s="1" t="s">
        <v>235</v>
      </c>
      <c r="D566" s="1" t="e">
        <f t="array" aca="1" ref="D566" ca="1">_xludf.XLOOKUP(C566,'country region mapping'!$A$2:$A$250, 'country region mapping'!$E$2:$E$250)</f>
        <v>#NAME?</v>
      </c>
      <c r="E566" s="1" t="e">
        <f t="array" aca="1" ref="E566" ca="1">_xludf.XLOOKUP(C566,'country region mapping'!$A$2:$A$267,'country region mapping'!$F$2:$F$267)</f>
        <v>#NAME?</v>
      </c>
      <c r="F566" s="1" t="e">
        <f t="array" aca="1" ref="F566" ca="1">_xludf.XLOOKUP(C566,'country region mapping'!$A$2:$A$267,'country region mapping'!$G$2:$G$267)</f>
        <v>#NAME?</v>
      </c>
      <c r="G566" s="1">
        <v>4.0190000000000001</v>
      </c>
      <c r="H566" s="1">
        <v>82</v>
      </c>
      <c r="I566" s="1">
        <v>119</v>
      </c>
      <c r="J566" s="1">
        <v>133</v>
      </c>
      <c r="K566" s="1"/>
      <c r="L566" s="1">
        <v>132</v>
      </c>
      <c r="M566" s="1">
        <v>92</v>
      </c>
      <c r="N566" s="1">
        <v>53</v>
      </c>
      <c r="O566" s="1">
        <v>62</v>
      </c>
      <c r="P566" s="1">
        <v>100</v>
      </c>
      <c r="Q566" s="1">
        <v>92</v>
      </c>
      <c r="R566" s="1">
        <v>7</v>
      </c>
      <c r="S566" s="1">
        <v>101</v>
      </c>
    </row>
    <row r="567" spans="1:19">
      <c r="A567" s="1">
        <v>2022</v>
      </c>
      <c r="B567" s="1">
        <v>128</v>
      </c>
      <c r="C567" s="1" t="s">
        <v>170</v>
      </c>
      <c r="D567" s="1" t="e">
        <f t="array" aca="1" ref="D567" ca="1">_xludf.XLOOKUP(C567,'country region mapping'!$A$2:$A$250, 'country region mapping'!$E$2:$E$250)</f>
        <v>#NAME?</v>
      </c>
      <c r="E567" s="1" t="e">
        <f t="array" aca="1" ref="E567" ca="1">_xludf.XLOOKUP(C567,'country region mapping'!$A$2:$A$267,'country region mapping'!$F$2:$F$267)</f>
        <v>#NAME?</v>
      </c>
      <c r="F567" s="1" t="e">
        <f t="array" aca="1" ref="F567" ca="1">_xludf.XLOOKUP(C567,'country region mapping'!$A$2:$A$267,'country region mapping'!$G$2:$G$267)</f>
        <v>#NAME?</v>
      </c>
      <c r="G567" s="1">
        <v>3.9820000000000002</v>
      </c>
      <c r="H567" s="1">
        <v>117</v>
      </c>
      <c r="I567" s="1">
        <v>108</v>
      </c>
      <c r="J567" s="1">
        <v>118</v>
      </c>
      <c r="K567" s="1">
        <v>112</v>
      </c>
      <c r="L567" s="1">
        <v>30</v>
      </c>
      <c r="M567" s="1">
        <v>101</v>
      </c>
      <c r="N567" s="1">
        <v>47</v>
      </c>
      <c r="O567" s="1">
        <v>74</v>
      </c>
      <c r="P567" s="1">
        <v>89</v>
      </c>
      <c r="Q567" s="1">
        <v>101</v>
      </c>
      <c r="R567" s="1">
        <v>65</v>
      </c>
      <c r="S567" s="1">
        <v>17</v>
      </c>
    </row>
    <row r="568" spans="1:19">
      <c r="A568" s="1">
        <v>2022</v>
      </c>
      <c r="B568" s="1">
        <v>129</v>
      </c>
      <c r="C568" s="1" t="s">
        <v>236</v>
      </c>
      <c r="D568" s="1" t="e">
        <f t="array" aca="1" ref="D568" ca="1">_xludf.XLOOKUP(C568,'country region mapping'!$A$2:$A$267,'country region mapping'!$E$2:$E$267)</f>
        <v>#NAME?</v>
      </c>
      <c r="E568" s="1" t="e">
        <f t="array" aca="1" ref="E568" ca="1">_xludf.XLOOKUP(C568,'country region mapping'!$A$2:$A$267,'country region mapping'!$F$2:$F$267)</f>
        <v>#NAME?</v>
      </c>
      <c r="F568" s="1" t="e">
        <f t="array" aca="1" ref="F568" ca="1">_xludf.XLOOKUP(C568,'country region mapping'!$A$2:$A$267,'country region mapping'!$G$2:$G$267)</f>
        <v>#NAME?</v>
      </c>
      <c r="G568" s="1">
        <v>3.694</v>
      </c>
      <c r="H568" s="1">
        <v>131</v>
      </c>
      <c r="I568" s="1">
        <v>125</v>
      </c>
      <c r="J568" s="1">
        <v>119</v>
      </c>
      <c r="K568" s="1">
        <v>96</v>
      </c>
      <c r="L568" s="1">
        <v>44</v>
      </c>
      <c r="M568" s="1">
        <v>66</v>
      </c>
      <c r="N568" s="1">
        <v>22</v>
      </c>
      <c r="O568" s="1">
        <v>57</v>
      </c>
      <c r="P568" s="1">
        <v>21</v>
      </c>
      <c r="Q568" s="1">
        <v>66</v>
      </c>
      <c r="R568" s="1">
        <v>114</v>
      </c>
      <c r="S568" s="1">
        <v>122</v>
      </c>
    </row>
    <row r="569" spans="1:19">
      <c r="A569" s="1">
        <v>2022</v>
      </c>
      <c r="B569" s="1">
        <v>130</v>
      </c>
      <c r="C569" s="1" t="s">
        <v>219</v>
      </c>
      <c r="D569" s="1" t="e">
        <f t="array" aca="1" ref="D569" ca="1">_xludf.XLOOKUP(C569,'country region mapping'!$A$2:$A$250, 'country region mapping'!$E$2:$E$250)</f>
        <v>#NAME?</v>
      </c>
      <c r="E569" s="1" t="e">
        <f t="array" aca="1" ref="E569" ca="1">_xludf.XLOOKUP(C569,'country region mapping'!$A$2:$A$267,'country region mapping'!$F$2:$F$267)</f>
        <v>#NAME?</v>
      </c>
      <c r="F569" s="1" t="e">
        <f t="array" aca="1" ref="F569" ca="1">_xludf.XLOOKUP(C569,'country region mapping'!$A$2:$A$267,'country region mapping'!$G$2:$G$267)</f>
        <v>#NAME?</v>
      </c>
      <c r="G569" s="1">
        <v>3.5449999999999999</v>
      </c>
      <c r="H569" s="1">
        <v>126</v>
      </c>
      <c r="I569" s="1">
        <v>137</v>
      </c>
      <c r="J569" s="1">
        <v>120</v>
      </c>
      <c r="K569" s="1"/>
      <c r="L569" s="1">
        <v>133</v>
      </c>
      <c r="M569" s="1">
        <v>107</v>
      </c>
      <c r="N569" s="1">
        <v>50</v>
      </c>
      <c r="O569" s="1">
        <v>95</v>
      </c>
      <c r="P569" s="1">
        <v>102</v>
      </c>
      <c r="Q569" s="1">
        <v>107</v>
      </c>
      <c r="R569" s="1">
        <v>40</v>
      </c>
      <c r="S569" s="1">
        <v>82</v>
      </c>
    </row>
    <row r="570" spans="1:19">
      <c r="A570" s="1">
        <v>2022</v>
      </c>
      <c r="B570" s="1">
        <v>131</v>
      </c>
      <c r="C570" s="1" t="s">
        <v>210</v>
      </c>
      <c r="D570" s="1" t="e">
        <f t="array" aca="1" ref="D570" ca="1">_xludf.XLOOKUP(C570,'country region mapping'!$A$2:$A$250, 'country region mapping'!$E$2:$E$250)</f>
        <v>#NAME?</v>
      </c>
      <c r="E570" s="1" t="e">
        <f t="array" aca="1" ref="E570" ca="1">_xludf.XLOOKUP(C570,'country region mapping'!$A$2:$A$267,'country region mapping'!$F$2:$F$267)</f>
        <v>#NAME?</v>
      </c>
      <c r="F570" s="1" t="e">
        <f t="array" aca="1" ref="F570" ca="1">_xludf.XLOOKUP(C570,'country region mapping'!$A$2:$A$267,'country region mapping'!$G$2:$G$267)</f>
        <v>#NAME?</v>
      </c>
      <c r="G570" s="1">
        <v>3.4950000000000001</v>
      </c>
      <c r="H570" s="1">
        <v>135</v>
      </c>
      <c r="I570" s="1">
        <v>135</v>
      </c>
      <c r="J570" s="1">
        <v>132</v>
      </c>
      <c r="K570" s="1">
        <v>106</v>
      </c>
      <c r="L570" s="1">
        <v>89</v>
      </c>
      <c r="M570" s="1">
        <v>115</v>
      </c>
      <c r="N570" s="1">
        <v>60</v>
      </c>
      <c r="O570" s="1">
        <v>121</v>
      </c>
      <c r="P570" s="1">
        <v>94</v>
      </c>
      <c r="Q570" s="1">
        <v>115</v>
      </c>
      <c r="R570" s="1">
        <v>41</v>
      </c>
      <c r="S570" s="1">
        <v>52</v>
      </c>
    </row>
    <row r="571" spans="1:19">
      <c r="A571" s="1">
        <v>2022</v>
      </c>
      <c r="B571" s="1">
        <v>132</v>
      </c>
      <c r="C571" s="1" t="s">
        <v>218</v>
      </c>
      <c r="D571" s="1" t="e">
        <f t="array" aca="1" ref="D571" ca="1">_xludf.XLOOKUP(C571,'country region mapping'!$A$2:$A$250, 'country region mapping'!$E$2:$E$250)</f>
        <v>#NAME?</v>
      </c>
      <c r="E571" s="1" t="e">
        <f t="array" aca="1" ref="E571" ca="1">_xludf.XLOOKUP(C571,'country region mapping'!$A$2:$A$267,'country region mapping'!$F$2:$F$267)</f>
        <v>#NAME?</v>
      </c>
      <c r="F571" s="1" t="e">
        <f t="array" aca="1" ref="F571" ca="1">_xludf.XLOOKUP(C571,'country region mapping'!$A$2:$A$267,'country region mapping'!$G$2:$G$267)</f>
        <v>#NAME?</v>
      </c>
      <c r="G571" s="1">
        <v>3.4350000000000001</v>
      </c>
      <c r="H571" s="1">
        <v>118</v>
      </c>
      <c r="I571" s="1">
        <v>102</v>
      </c>
      <c r="J571" s="1">
        <v>64</v>
      </c>
      <c r="K571" s="1"/>
      <c r="L571" s="1">
        <v>93</v>
      </c>
      <c r="M571" s="1">
        <v>132</v>
      </c>
      <c r="N571" s="1">
        <v>88</v>
      </c>
      <c r="O571" s="1">
        <v>91</v>
      </c>
      <c r="P571" s="1">
        <v>76</v>
      </c>
      <c r="Q571" s="1">
        <v>132</v>
      </c>
      <c r="R571" s="1">
        <v>105</v>
      </c>
      <c r="S571" s="1">
        <v>16</v>
      </c>
    </row>
    <row r="572" spans="1:19">
      <c r="A572" s="1">
        <v>2022</v>
      </c>
      <c r="B572" s="1">
        <v>133</v>
      </c>
      <c r="C572" s="1" t="s">
        <v>199</v>
      </c>
      <c r="D572" s="1" t="e">
        <f t="array" aca="1" ref="D572" ca="1">_xludf.XLOOKUP(C572,'country region mapping'!$A$2:$A$267,'country region mapping'!$E$2:$E$267)</f>
        <v>#NAME?</v>
      </c>
      <c r="E572" s="1" t="e">
        <f t="array" aca="1" ref="E572" ca="1">_xludf.XLOOKUP(C572,'country region mapping'!$A$2:$A$267,'country region mapping'!$F$2:$F$267)</f>
        <v>#NAME?</v>
      </c>
      <c r="F572" s="1" t="e">
        <f t="array" aca="1" ref="F572" ca="1">_xludf.XLOOKUP(C572,'country region mapping'!$A$2:$A$267,'country region mapping'!$G$2:$G$267)</f>
        <v>#NAME?</v>
      </c>
      <c r="G572" s="1">
        <v>3.2069999999999999</v>
      </c>
      <c r="H572" s="1">
        <v>57</v>
      </c>
      <c r="I572" s="1">
        <v>116</v>
      </c>
      <c r="J572" s="1">
        <v>136</v>
      </c>
      <c r="K572" s="1"/>
      <c r="L572" s="1">
        <v>120</v>
      </c>
      <c r="M572" s="1">
        <v>98</v>
      </c>
      <c r="N572" s="1">
        <v>92</v>
      </c>
      <c r="O572" s="1">
        <v>112</v>
      </c>
      <c r="P572" s="1">
        <v>132</v>
      </c>
      <c r="Q572" s="1">
        <v>98</v>
      </c>
      <c r="R572" s="1">
        <v>34</v>
      </c>
      <c r="S572" s="1">
        <v>29</v>
      </c>
    </row>
    <row r="573" spans="1:19">
      <c r="A573" s="1">
        <v>2022</v>
      </c>
      <c r="B573" s="1">
        <v>134</v>
      </c>
      <c r="C573" s="1" t="s">
        <v>208</v>
      </c>
      <c r="D573" s="1" t="e">
        <f t="array" aca="1" ref="D573" ca="1">_xludf.XLOOKUP(C573,'country region mapping'!$A$2:$A$250, 'country region mapping'!$E$2:$E$250)</f>
        <v>#NAME?</v>
      </c>
      <c r="E573" s="1" t="e">
        <f t="array" aca="1" ref="E573" ca="1">_xludf.XLOOKUP(C573,'country region mapping'!$A$2:$A$267,'country region mapping'!$F$2:$F$267)</f>
        <v>#NAME?</v>
      </c>
      <c r="F573" s="1" t="e">
        <f t="array" aca="1" ref="F573" ca="1">_xludf.XLOOKUP(C573,'country region mapping'!$A$2:$A$267,'country region mapping'!$G$2:$G$267)</f>
        <v>#NAME?</v>
      </c>
      <c r="G573" s="1">
        <v>3.2040000000000002</v>
      </c>
      <c r="H573" s="1">
        <v>98</v>
      </c>
      <c r="I573" s="1">
        <v>113</v>
      </c>
      <c r="J573" s="1">
        <v>121</v>
      </c>
      <c r="K573" s="1">
        <v>115</v>
      </c>
      <c r="L573" s="1">
        <v>123</v>
      </c>
      <c r="M573" s="1">
        <v>131</v>
      </c>
      <c r="N573" s="1">
        <v>59</v>
      </c>
      <c r="O573" s="1">
        <v>79</v>
      </c>
      <c r="P573" s="1">
        <v>19</v>
      </c>
      <c r="Q573" s="1">
        <v>131</v>
      </c>
      <c r="R573" s="1">
        <v>82</v>
      </c>
      <c r="S573" s="1">
        <v>73</v>
      </c>
    </row>
    <row r="574" spans="1:19">
      <c r="A574" s="1">
        <v>2022</v>
      </c>
      <c r="B574" s="1">
        <v>135</v>
      </c>
      <c r="C574" s="1" t="s">
        <v>178</v>
      </c>
      <c r="D574" s="1" t="e">
        <f t="array" aca="1" ref="D574" ca="1">_xludf.XLOOKUP(C574,'country region mapping'!$A$2:$A$250, 'country region mapping'!$E$2:$E$250)</f>
        <v>#NAME?</v>
      </c>
      <c r="E574" s="1" t="e">
        <f t="array" aca="1" ref="E574" ca="1">_xludf.XLOOKUP(C574,'country region mapping'!$A$2:$A$267,'country region mapping'!$F$2:$F$267)</f>
        <v>#NAME?</v>
      </c>
      <c r="F574" s="1" t="e">
        <f t="array" aca="1" ref="F574" ca="1">_xludf.XLOOKUP(C574,'country region mapping'!$A$2:$A$267,'country region mapping'!$G$2:$G$267)</f>
        <v>#NAME?</v>
      </c>
      <c r="G574" s="1">
        <v>3.1379999999999999</v>
      </c>
      <c r="H574" s="1">
        <v>107</v>
      </c>
      <c r="I574" s="1">
        <v>136</v>
      </c>
      <c r="J574" s="1">
        <v>122</v>
      </c>
      <c r="K574" s="1">
        <v>111</v>
      </c>
      <c r="L574" s="1">
        <v>122</v>
      </c>
      <c r="M574" s="1">
        <v>77</v>
      </c>
      <c r="N574" s="1">
        <v>110</v>
      </c>
      <c r="O574" s="1">
        <v>129</v>
      </c>
      <c r="P574" s="1">
        <v>138</v>
      </c>
      <c r="Q574" s="1">
        <v>77</v>
      </c>
      <c r="R574" s="1">
        <v>6</v>
      </c>
      <c r="S574" s="1">
        <v>10</v>
      </c>
    </row>
    <row r="575" spans="1:19">
      <c r="A575" s="1">
        <v>2022</v>
      </c>
      <c r="B575" s="1">
        <v>136</v>
      </c>
      <c r="C575" s="1" t="s">
        <v>154</v>
      </c>
      <c r="D575" s="1" t="e">
        <f t="array" aca="1" ref="D575" ca="1">_xludf.XLOOKUP(C575,'country region mapping'!$A$2:$A$250, 'country region mapping'!$E$2:$E$250)</f>
        <v>#NAME?</v>
      </c>
      <c r="E575" s="1" t="e">
        <f t="array" aca="1" ref="E575" ca="1">_xludf.XLOOKUP(C575,'country region mapping'!$A$2:$A$267,'country region mapping'!$F$2:$F$267)</f>
        <v>#NAME?</v>
      </c>
      <c r="F575" s="1" t="e">
        <f t="array" aca="1" ref="F575" ca="1">_xludf.XLOOKUP(C575,'country region mapping'!$A$2:$A$267,'country region mapping'!$G$2:$G$267)</f>
        <v>#NAME?</v>
      </c>
      <c r="G575" s="1">
        <v>2.3919999999999999</v>
      </c>
      <c r="H575" s="1">
        <v>48</v>
      </c>
      <c r="I575" s="1">
        <v>134</v>
      </c>
      <c r="J575" s="1">
        <v>86</v>
      </c>
      <c r="K575" s="1">
        <v>66</v>
      </c>
      <c r="L575" s="1">
        <v>136</v>
      </c>
      <c r="M575" s="1">
        <v>112</v>
      </c>
      <c r="N575" s="1">
        <v>119</v>
      </c>
      <c r="O575" s="1">
        <v>139</v>
      </c>
      <c r="P575" s="1">
        <v>124</v>
      </c>
      <c r="Q575" s="1">
        <v>112</v>
      </c>
      <c r="R575" s="1">
        <v>119</v>
      </c>
      <c r="S575" s="1">
        <v>130</v>
      </c>
    </row>
    <row r="576" spans="1:19">
      <c r="A576" s="1">
        <v>2022</v>
      </c>
      <c r="B576" s="1">
        <v>137</v>
      </c>
      <c r="C576" s="1" t="s">
        <v>245</v>
      </c>
      <c r="D576" s="1" t="e">
        <f t="array" aca="1" ref="D576" ca="1">_xludf.XLOOKUP(C576,'country region mapping'!$A$2:$A$250, 'country region mapping'!$E$2:$E$250)</f>
        <v>#NAME?</v>
      </c>
      <c r="E576" s="1" t="e">
        <f t="array" aca="1" ref="E576" ca="1">_xludf.XLOOKUP(C576,'country region mapping'!$A$2:$A$267,'country region mapping'!$F$2:$F$267)</f>
        <v>#NAME?</v>
      </c>
      <c r="F576" s="1" t="e">
        <f t="array" aca="1" ref="F576" ca="1">_xludf.XLOOKUP(C576,'country region mapping'!$A$2:$A$267,'country region mapping'!$G$2:$G$267)</f>
        <v>#NAME?</v>
      </c>
      <c r="G576" s="1">
        <v>1.859</v>
      </c>
      <c r="H576" s="1">
        <v>1</v>
      </c>
      <c r="I576" s="1">
        <v>140</v>
      </c>
      <c r="J576" s="1">
        <v>129</v>
      </c>
      <c r="K576" s="1">
        <v>116</v>
      </c>
      <c r="L576" s="1">
        <v>138</v>
      </c>
      <c r="M576" s="1">
        <v>136</v>
      </c>
      <c r="N576" s="1">
        <v>51</v>
      </c>
      <c r="O576" s="1">
        <v>140</v>
      </c>
      <c r="P576" s="1">
        <v>140</v>
      </c>
      <c r="Q576" s="1">
        <v>136</v>
      </c>
      <c r="R576" s="1">
        <v>131</v>
      </c>
      <c r="S576" s="1">
        <v>124</v>
      </c>
    </row>
    <row r="577" spans="1:19">
      <c r="A577" s="1">
        <v>2021</v>
      </c>
      <c r="B577" s="1">
        <v>1</v>
      </c>
      <c r="C577" s="1" t="s">
        <v>37</v>
      </c>
      <c r="D577" s="1" t="e">
        <f t="array" aca="1" ref="D577" ca="1">_xludf.XLOOKUP(C577,'country region mapping'!$A$2:$A$250, 'country region mapping'!$E$2:$E$250)</f>
        <v>#NAME?</v>
      </c>
      <c r="E577" s="1" t="e">
        <f t="array" aca="1" ref="E577" ca="1">_xludf.XLOOKUP(C577,'country region mapping'!$A$2:$A$267,'country region mapping'!$F$2:$F$267)</f>
        <v>#NAME?</v>
      </c>
      <c r="F577" s="1" t="e">
        <f t="array" aca="1" ref="F577" ca="1">_xludf.XLOOKUP(C577,'country region mapping'!$A$2:$A$267,'country region mapping'!$G$2:$G$267)</f>
        <v>#NAME?</v>
      </c>
      <c r="G577" s="1">
        <v>7.8209999999999997</v>
      </c>
      <c r="H577" s="1">
        <v>3</v>
      </c>
      <c r="I577" s="1">
        <v>2</v>
      </c>
      <c r="J577" s="1">
        <v>16</v>
      </c>
      <c r="K577" s="1">
        <v>18</v>
      </c>
      <c r="L577" s="1">
        <v>2</v>
      </c>
      <c r="M577" s="1">
        <v>47</v>
      </c>
      <c r="N577" s="1">
        <v>4</v>
      </c>
      <c r="O577" s="1">
        <v>20</v>
      </c>
      <c r="P577" s="1">
        <v>8</v>
      </c>
      <c r="Q577" s="1">
        <v>47</v>
      </c>
      <c r="R577" s="1">
        <v>65</v>
      </c>
      <c r="S577" s="1">
        <v>96</v>
      </c>
    </row>
    <row r="578" spans="1:19">
      <c r="A578" s="1">
        <v>2021</v>
      </c>
      <c r="B578" s="1">
        <v>2</v>
      </c>
      <c r="C578" s="1" t="s">
        <v>30</v>
      </c>
      <c r="D578" s="1" t="e">
        <f t="array" aca="1" ref="D578" ca="1">_xludf.XLOOKUP(C578,'country region mapping'!$A$2:$A$250, 'country region mapping'!$E$2:$E$250)</f>
        <v>#NAME?</v>
      </c>
      <c r="E578" s="1" t="e">
        <f t="array" aca="1" ref="E578" ca="1">_xludf.XLOOKUP(C578,'country region mapping'!$A$2:$A$267,'country region mapping'!$F$2:$F$267)</f>
        <v>#NAME?</v>
      </c>
      <c r="F578" s="1" t="e">
        <f t="array" aca="1" ref="F578" ca="1">_xludf.XLOOKUP(C578,'country region mapping'!$A$2:$A$267,'country region mapping'!$G$2:$G$267)</f>
        <v>#NAME?</v>
      </c>
      <c r="G578" s="1">
        <v>7.6360000000000001</v>
      </c>
      <c r="H578" s="1">
        <v>12</v>
      </c>
      <c r="I578" s="1">
        <v>11</v>
      </c>
      <c r="J578" s="1">
        <v>6</v>
      </c>
      <c r="K578" s="1">
        <v>15</v>
      </c>
      <c r="L578" s="1">
        <v>6</v>
      </c>
      <c r="M578" s="1">
        <v>23</v>
      </c>
      <c r="N578" s="1">
        <v>2</v>
      </c>
      <c r="O578" s="1">
        <v>9</v>
      </c>
      <c r="P578" s="1">
        <v>22</v>
      </c>
      <c r="Q578" s="1">
        <v>23</v>
      </c>
      <c r="R578" s="1">
        <v>62</v>
      </c>
      <c r="S578" s="1">
        <v>76</v>
      </c>
    </row>
    <row r="579" spans="1:19">
      <c r="A579" s="1">
        <v>2021</v>
      </c>
      <c r="B579" s="1">
        <v>3</v>
      </c>
      <c r="C579" s="1" t="s">
        <v>34</v>
      </c>
      <c r="D579" s="1" t="e">
        <f t="array" aca="1" ref="D579" ca="1">_xludf.XLOOKUP(C579,'country region mapping'!$A$2:$A$250, 'country region mapping'!$E$2:$E$250)</f>
        <v>#NAME?</v>
      </c>
      <c r="E579" s="1" t="e">
        <f t="array" aca="1" ref="E579" ca="1">_xludf.XLOOKUP(C579,'country region mapping'!$A$2:$A$267,'country region mapping'!$F$2:$F$267)</f>
        <v>#NAME?</v>
      </c>
      <c r="F579" s="1" t="e">
        <f t="array" aca="1" ref="F579" ca="1">_xludf.XLOOKUP(C579,'country region mapping'!$A$2:$A$267,'country region mapping'!$G$2:$G$267)</f>
        <v>#NAME?</v>
      </c>
      <c r="G579" s="1">
        <v>7.5570000000000004</v>
      </c>
      <c r="H579" s="1">
        <v>6</v>
      </c>
      <c r="I579" s="1">
        <v>1</v>
      </c>
      <c r="J579" s="1">
        <v>13</v>
      </c>
      <c r="K579" s="1">
        <v>4</v>
      </c>
      <c r="L579" s="1">
        <v>10</v>
      </c>
      <c r="M579" s="1">
        <v>4</v>
      </c>
      <c r="N579" s="1">
        <v>28</v>
      </c>
      <c r="O579" s="1">
        <v>6</v>
      </c>
      <c r="P579" s="1">
        <v>5</v>
      </c>
      <c r="Q579" s="1">
        <v>4</v>
      </c>
      <c r="R579" s="1">
        <v>71</v>
      </c>
      <c r="S579" s="1">
        <v>112</v>
      </c>
    </row>
    <row r="580" spans="1:19">
      <c r="A580" s="1">
        <v>2021</v>
      </c>
      <c r="B580" s="1">
        <v>4</v>
      </c>
      <c r="C580" s="1" t="s">
        <v>32</v>
      </c>
      <c r="D580" s="1" t="e">
        <f t="array" aca="1" ref="D580" ca="1">_xludf.XLOOKUP(C580,'country region mapping'!$A$2:$A$250, 'country region mapping'!$E$2:$E$250)</f>
        <v>#NAME?</v>
      </c>
      <c r="E580" s="1" t="e">
        <f t="array" aca="1" ref="E580" ca="1">_xludf.XLOOKUP(C580,'country region mapping'!$A$2:$A$267,'country region mapping'!$F$2:$F$267)</f>
        <v>#NAME?</v>
      </c>
      <c r="F580" s="1" t="e">
        <f t="array" aca="1" ref="F580" ca="1">_xludf.XLOOKUP(C580,'country region mapping'!$A$2:$A$267,'country region mapping'!$G$2:$G$267)</f>
        <v>#NAME?</v>
      </c>
      <c r="G580" s="1">
        <v>7.5119999999999996</v>
      </c>
      <c r="H580" s="1">
        <v>19</v>
      </c>
      <c r="I580" s="1">
        <v>13</v>
      </c>
      <c r="J580" s="1">
        <v>4</v>
      </c>
      <c r="K580" s="1">
        <v>6</v>
      </c>
      <c r="L580" s="1">
        <v>15</v>
      </c>
      <c r="M580" s="1">
        <v>33</v>
      </c>
      <c r="N580" s="1">
        <v>7</v>
      </c>
      <c r="O580" s="1">
        <v>23</v>
      </c>
      <c r="P580" s="1">
        <v>10</v>
      </c>
      <c r="Q580" s="1">
        <v>33</v>
      </c>
      <c r="R580" s="1">
        <v>40</v>
      </c>
      <c r="S580" s="1">
        <v>118</v>
      </c>
    </row>
    <row r="581" spans="1:19">
      <c r="A581" s="1">
        <v>2021</v>
      </c>
      <c r="B581" s="1">
        <v>5</v>
      </c>
      <c r="C581" s="1" t="s">
        <v>40</v>
      </c>
      <c r="D581" s="1" t="e">
        <f t="array" aca="1" ref="D581" ca="1">_xludf.XLOOKUP(C581,'country region mapping'!$A$2:$A$267,'country region mapping'!$E$2:$E$267)</f>
        <v>#NAME?</v>
      </c>
      <c r="E581" s="1" t="e">
        <f t="array" aca="1" ref="E581" ca="1">_xludf.XLOOKUP(C581,'country region mapping'!$A$2:$A$267,'country region mapping'!$F$2:$F$267)</f>
        <v>#NAME?</v>
      </c>
      <c r="F581" s="1" t="e">
        <f t="array" aca="1" ref="F581" ca="1">_xludf.XLOOKUP(C581,'country region mapping'!$A$2:$A$267,'country region mapping'!$G$2:$G$267)</f>
        <v>#NAME?</v>
      </c>
      <c r="G581" s="1">
        <v>7.415</v>
      </c>
      <c r="H581" s="1">
        <v>2</v>
      </c>
      <c r="I581" s="1">
        <v>22</v>
      </c>
      <c r="J581" s="1">
        <v>7</v>
      </c>
      <c r="K581" s="1"/>
      <c r="L581" s="1">
        <v>36</v>
      </c>
      <c r="M581" s="1">
        <v>3</v>
      </c>
      <c r="N581" s="1">
        <v>11</v>
      </c>
      <c r="O581" s="1">
        <v>40</v>
      </c>
      <c r="P581" s="1">
        <v>19</v>
      </c>
      <c r="Q581" s="1">
        <v>3</v>
      </c>
      <c r="R581" s="1">
        <v>43</v>
      </c>
      <c r="S581" s="1">
        <v>117</v>
      </c>
    </row>
    <row r="582" spans="1:19">
      <c r="A582" s="1">
        <v>2021</v>
      </c>
      <c r="B582" s="1">
        <v>6</v>
      </c>
      <c r="C582" s="1" t="s">
        <v>59</v>
      </c>
      <c r="D582" s="1" t="e">
        <f t="array" aca="1" ref="D582" ca="1">_xludf.XLOOKUP(C582,'country region mapping'!$A$2:$A$250, 'country region mapping'!$E$2:$E$250)</f>
        <v>#NAME?</v>
      </c>
      <c r="E582" s="1" t="e">
        <f t="array" aca="1" ref="E582" ca="1">_xludf.XLOOKUP(C582,'country region mapping'!$A$2:$A$267,'country region mapping'!$F$2:$F$267)</f>
        <v>#NAME?</v>
      </c>
      <c r="F582" s="1" t="e">
        <f t="array" aca="1" ref="F582" ca="1">_xludf.XLOOKUP(C582,'country region mapping'!$A$2:$A$267,'country region mapping'!$G$2:$G$267)</f>
        <v>#NAME?</v>
      </c>
      <c r="G582" s="1">
        <v>7.4039999999999999</v>
      </c>
      <c r="H582" s="1"/>
      <c r="I582" s="1"/>
      <c r="J582" s="1"/>
      <c r="K582" s="1"/>
      <c r="L582" s="1"/>
      <c r="M582" s="1"/>
      <c r="N582" s="1"/>
      <c r="O582" s="1"/>
      <c r="S582" s="1"/>
    </row>
    <row r="583" spans="1:19">
      <c r="A583" s="1">
        <v>2021</v>
      </c>
      <c r="B583" s="1">
        <v>7</v>
      </c>
      <c r="C583" s="1" t="s">
        <v>45</v>
      </c>
      <c r="D583" s="1" t="e">
        <f t="array" aca="1" ref="D583" ca="1">_xludf.XLOOKUP(C583,'country region mapping'!$A$2:$A$250, 'country region mapping'!$E$2:$E$250)</f>
        <v>#NAME?</v>
      </c>
      <c r="E583" s="1" t="e">
        <f t="array" aca="1" ref="E583" ca="1">_xludf.XLOOKUP(C583,'country region mapping'!$A$2:$A$267,'country region mapping'!$F$2:$F$267)</f>
        <v>#NAME?</v>
      </c>
      <c r="F583" s="1" t="e">
        <f t="array" aca="1" ref="F583" ca="1">_xludf.XLOOKUP(C583,'country region mapping'!$A$2:$A$267,'country region mapping'!$G$2:$G$267)</f>
        <v>#NAME?</v>
      </c>
      <c r="G583" s="1">
        <v>7.3840000000000003</v>
      </c>
      <c r="H583" s="1">
        <v>4</v>
      </c>
      <c r="I583" s="1">
        <v>14</v>
      </c>
      <c r="J583" s="1">
        <v>11</v>
      </c>
      <c r="K583" s="1">
        <v>7</v>
      </c>
      <c r="L583" s="1">
        <v>3</v>
      </c>
      <c r="M583" s="1">
        <v>16</v>
      </c>
      <c r="N583" s="1">
        <v>3</v>
      </c>
      <c r="O583" s="1">
        <v>16</v>
      </c>
      <c r="P583" s="1">
        <v>15</v>
      </c>
      <c r="Q583" s="1">
        <v>16</v>
      </c>
      <c r="R583" s="1">
        <v>84</v>
      </c>
      <c r="S583" s="1">
        <v>104</v>
      </c>
    </row>
    <row r="584" spans="1:19">
      <c r="A584" s="1">
        <v>2021</v>
      </c>
      <c r="B584" s="1">
        <v>8</v>
      </c>
      <c r="C584" s="1" t="s">
        <v>35</v>
      </c>
      <c r="D584" s="1" t="e">
        <f t="array" aca="1" ref="D584" ca="1">_xludf.XLOOKUP(C584,'country region mapping'!$A$2:$A$250, 'country region mapping'!$E$2:$E$250)</f>
        <v>#NAME?</v>
      </c>
      <c r="E584" s="1" t="e">
        <f t="array" aca="1" ref="E584" ca="1">_xludf.XLOOKUP(C584,'country region mapping'!$A$2:$A$267,'country region mapping'!$F$2:$F$267)</f>
        <v>#NAME?</v>
      </c>
      <c r="F584" s="1" t="e">
        <f t="array" aca="1" ref="F584" ca="1">_xludf.XLOOKUP(C584,'country region mapping'!$A$2:$A$267,'country region mapping'!$G$2:$G$267)</f>
        <v>#NAME?</v>
      </c>
      <c r="G584" s="1">
        <v>7.3650000000000002</v>
      </c>
      <c r="H584" s="1">
        <v>9</v>
      </c>
      <c r="I584" s="1">
        <v>9</v>
      </c>
      <c r="J584" s="1">
        <v>3</v>
      </c>
      <c r="K584" s="1">
        <v>5</v>
      </c>
      <c r="L584" s="1">
        <v>5</v>
      </c>
      <c r="M584" s="1">
        <v>14</v>
      </c>
      <c r="N584" s="1">
        <v>6</v>
      </c>
      <c r="O584" s="1">
        <v>14</v>
      </c>
      <c r="P584" s="1">
        <v>23</v>
      </c>
      <c r="Q584" s="1">
        <v>14</v>
      </c>
      <c r="R584" s="1">
        <v>42</v>
      </c>
      <c r="S584" s="1">
        <v>108</v>
      </c>
    </row>
    <row r="585" spans="1:19">
      <c r="A585" s="1">
        <v>2021</v>
      </c>
      <c r="B585" s="1">
        <v>9</v>
      </c>
      <c r="C585" s="1" t="s">
        <v>47</v>
      </c>
      <c r="D585" s="1" t="e">
        <f t="array" aca="1" ref="D585" ca="1">_xludf.XLOOKUP(C585,'country region mapping'!$A$2:$A$250, 'country region mapping'!$E$2:$E$250)</f>
        <v>#NAME?</v>
      </c>
      <c r="E585" s="1" t="e">
        <f t="array" aca="1" ref="E585" ca="1">_xludf.XLOOKUP(C585,'country region mapping'!$A$2:$A$267,'country region mapping'!$F$2:$F$267)</f>
        <v>#NAME?</v>
      </c>
      <c r="F585" s="1" t="e">
        <f t="array" aca="1" ref="F585" ca="1">_xludf.XLOOKUP(C585,'country region mapping'!$A$2:$A$267,'country region mapping'!$G$2:$G$267)</f>
        <v>#NAME?</v>
      </c>
      <c r="G585" s="1">
        <v>7.3639999999999999</v>
      </c>
      <c r="H585" s="1">
        <v>5</v>
      </c>
      <c r="I585" s="1">
        <v>24</v>
      </c>
      <c r="J585" s="1">
        <v>27</v>
      </c>
      <c r="K585" s="1">
        <v>9</v>
      </c>
      <c r="L585" s="1">
        <v>54</v>
      </c>
      <c r="M585" s="1">
        <v>44</v>
      </c>
      <c r="N585" s="1">
        <v>42</v>
      </c>
      <c r="O585" s="1">
        <v>104</v>
      </c>
      <c r="P585" s="1">
        <v>24</v>
      </c>
      <c r="Q585" s="1">
        <v>44</v>
      </c>
      <c r="R585" s="1">
        <v>73</v>
      </c>
      <c r="S585" s="1">
        <v>103</v>
      </c>
    </row>
    <row r="586" spans="1:19">
      <c r="A586" s="1">
        <v>2021</v>
      </c>
      <c r="B586" s="1">
        <v>10</v>
      </c>
      <c r="C586" s="1" t="s">
        <v>42</v>
      </c>
      <c r="D586" s="1" t="e">
        <f t="array" aca="1" ref="D586" ca="1">_xludf.XLOOKUP(C586,'country region mapping'!$A$2:$A$250, 'country region mapping'!$E$2:$E$250)</f>
        <v>#NAME?</v>
      </c>
      <c r="E586" s="1" t="e">
        <f t="array" aca="1" ref="E586" ca="1">_xludf.XLOOKUP(C586,'country region mapping'!$A$2:$A$267,'country region mapping'!$F$2:$F$267)</f>
        <v>#NAME?</v>
      </c>
      <c r="F586" s="1" t="e">
        <f t="array" aca="1" ref="F586" ca="1">_xludf.XLOOKUP(C586,'country region mapping'!$A$2:$A$267,'country region mapping'!$G$2:$G$267)</f>
        <v>#NAME?</v>
      </c>
      <c r="G586" s="1">
        <v>7.2</v>
      </c>
      <c r="H586" s="1">
        <v>8</v>
      </c>
      <c r="I586" s="1">
        <v>7</v>
      </c>
      <c r="J586" s="1">
        <v>25</v>
      </c>
      <c r="K586" s="1">
        <v>17</v>
      </c>
      <c r="L586" s="1">
        <v>14</v>
      </c>
      <c r="M586" s="1">
        <v>9</v>
      </c>
      <c r="N586" s="1">
        <v>5</v>
      </c>
      <c r="O586" s="1">
        <v>22</v>
      </c>
      <c r="P586" s="1">
        <v>21</v>
      </c>
      <c r="Q586" s="1">
        <v>9</v>
      </c>
      <c r="R586" s="1">
        <v>14</v>
      </c>
      <c r="S586" s="1">
        <v>47</v>
      </c>
    </row>
    <row r="587" spans="1:19">
      <c r="A587" s="1">
        <v>2021</v>
      </c>
      <c r="B587" s="1">
        <v>11</v>
      </c>
      <c r="C587" s="1" t="s">
        <v>49</v>
      </c>
      <c r="D587" s="1" t="e">
        <f t="array" aca="1" ref="D587" ca="1">_xludf.XLOOKUP(C587,'country region mapping'!$A$2:$A$250, 'country region mapping'!$E$2:$E$250)</f>
        <v>#NAME?</v>
      </c>
      <c r="E587" s="1" t="e">
        <f t="array" aca="1" ref="E587" ca="1">_xludf.XLOOKUP(C587,'country region mapping'!$A$2:$A$267,'country region mapping'!$F$2:$F$267)</f>
        <v>#NAME?</v>
      </c>
      <c r="F587" s="1" t="e">
        <f t="array" aca="1" ref="F587" ca="1">_xludf.XLOOKUP(C587,'country region mapping'!$A$2:$A$267,'country region mapping'!$G$2:$G$267)</f>
        <v>#NAME?</v>
      </c>
      <c r="G587" s="1">
        <v>7.1630000000000003</v>
      </c>
      <c r="H587" s="1">
        <v>16</v>
      </c>
      <c r="I587" s="1">
        <v>50</v>
      </c>
      <c r="J587" s="1">
        <v>10</v>
      </c>
      <c r="K587" s="1">
        <v>19</v>
      </c>
      <c r="L587" s="1">
        <v>68</v>
      </c>
      <c r="M587" s="1">
        <v>19</v>
      </c>
      <c r="N587" s="1">
        <v>17</v>
      </c>
      <c r="O587" s="1">
        <v>35</v>
      </c>
      <c r="P587" s="1">
        <v>50</v>
      </c>
      <c r="Q587" s="1">
        <v>19</v>
      </c>
      <c r="R587" s="1">
        <v>39</v>
      </c>
      <c r="S587" s="1">
        <v>105</v>
      </c>
    </row>
    <row r="588" spans="1:19">
      <c r="A588" s="1">
        <v>2021</v>
      </c>
      <c r="B588" s="1">
        <v>12</v>
      </c>
      <c r="C588" s="1" t="s">
        <v>43</v>
      </c>
      <c r="D588" s="1" t="e">
        <f t="array" aca="1" ref="D588" ca="1">_xludf.XLOOKUP(C588,'country region mapping'!$A$2:$A$250, 'country region mapping'!$E$2:$E$250)</f>
        <v>#NAME?</v>
      </c>
      <c r="E588" s="1" t="e">
        <f t="array" aca="1" ref="E588" ca="1">_xludf.XLOOKUP(C588,'country region mapping'!$A$2:$A$267,'country region mapping'!$F$2:$F$267)</f>
        <v>#NAME?</v>
      </c>
      <c r="F588" s="1" t="e">
        <f t="array" aca="1" ref="F588" ca="1">_xludf.XLOOKUP(C588,'country region mapping'!$A$2:$A$267,'country region mapping'!$G$2:$G$267)</f>
        <v>#NAME?</v>
      </c>
      <c r="G588" s="1">
        <v>7.1619999999999999</v>
      </c>
      <c r="H588" s="1">
        <v>15</v>
      </c>
      <c r="I588" s="1">
        <v>21</v>
      </c>
      <c r="J588" s="1">
        <v>15</v>
      </c>
      <c r="K588" s="1">
        <v>12</v>
      </c>
      <c r="L588" s="1">
        <v>13</v>
      </c>
      <c r="M588" s="1">
        <v>6</v>
      </c>
      <c r="N588" s="1">
        <v>15</v>
      </c>
      <c r="O588" s="1">
        <v>28</v>
      </c>
      <c r="P588" s="1">
        <v>34</v>
      </c>
      <c r="Q588" s="1">
        <v>6</v>
      </c>
      <c r="R588" s="1">
        <v>21</v>
      </c>
      <c r="S588" s="1">
        <v>34</v>
      </c>
    </row>
    <row r="589" spans="1:19">
      <c r="A589" s="1">
        <v>2021</v>
      </c>
      <c r="B589" s="1">
        <v>13</v>
      </c>
      <c r="C589" s="1" t="s">
        <v>57</v>
      </c>
      <c r="D589" s="1" t="e">
        <f t="array" aca="1" ref="D589" ca="1">_xludf.XLOOKUP(C589,'country region mapping'!$A$2:$A$250, 'country region mapping'!$E$2:$E$250)</f>
        <v>#NAME?</v>
      </c>
      <c r="E589" s="1" t="e">
        <f t="array" aca="1" ref="E589" ca="1">_xludf.XLOOKUP(C589,'country region mapping'!$A$2:$A$267,'country region mapping'!$F$2:$F$267)</f>
        <v>#NAME?</v>
      </c>
      <c r="F589" s="1" t="e">
        <f t="array" aca="1" ref="F589" ca="1">_xludf.XLOOKUP(C589,'country region mapping'!$A$2:$A$267,'country region mapping'!$G$2:$G$267)</f>
        <v>#NAME?</v>
      </c>
      <c r="G589" s="1">
        <v>7.0410000000000004</v>
      </c>
      <c r="H589" s="1">
        <v>30</v>
      </c>
      <c r="I589" s="1">
        <v>60</v>
      </c>
      <c r="J589" s="1">
        <v>2</v>
      </c>
      <c r="K589" s="1">
        <v>16</v>
      </c>
      <c r="L589" s="1">
        <v>39</v>
      </c>
      <c r="M589" s="1">
        <v>15</v>
      </c>
      <c r="N589" s="1">
        <v>8</v>
      </c>
      <c r="O589" s="1">
        <v>32</v>
      </c>
      <c r="P589" s="1">
        <v>41</v>
      </c>
      <c r="Q589" s="1">
        <v>15</v>
      </c>
      <c r="R589" s="1">
        <v>22</v>
      </c>
      <c r="S589" s="1">
        <v>89</v>
      </c>
    </row>
    <row r="590" spans="1:19">
      <c r="A590" s="1">
        <v>2021</v>
      </c>
      <c r="B590" s="1">
        <v>14</v>
      </c>
      <c r="C590" s="1" t="s">
        <v>539</v>
      </c>
      <c r="D590" s="1" t="e">
        <f t="array" aca="1" ref="D590" ca="1">_xludf.XLOOKUP(C590,'country region mapping'!$A$2:$A$250, 'country region mapping'!$E$2:$E$250)</f>
        <v>#NAME?</v>
      </c>
      <c r="E590" s="1" t="e">
        <f t="array" aca="1" ref="E590" ca="1">_xludf.XLOOKUP(C590,'country region mapping'!$A$2:$A$267,'country region mapping'!$F$2:$F$267)</f>
        <v>#NAME?</v>
      </c>
      <c r="F590" s="1" t="e">
        <f t="array" aca="1" ref="F590" ca="1">_xludf.XLOOKUP(C590,'country region mapping'!$A$2:$A$267,'country region mapping'!$G$2:$G$267)</f>
        <v>#NAME?</v>
      </c>
      <c r="G590" s="1">
        <v>7.0339999999999998</v>
      </c>
      <c r="H590" s="1">
        <v>17</v>
      </c>
      <c r="I590" s="1">
        <v>48</v>
      </c>
      <c r="J590" s="1">
        <v>12</v>
      </c>
      <c r="K590" s="1">
        <v>24</v>
      </c>
      <c r="L590" s="1">
        <v>72</v>
      </c>
      <c r="M590" s="1">
        <v>30</v>
      </c>
      <c r="N590" s="1">
        <v>12</v>
      </c>
      <c r="O590" s="1">
        <v>41</v>
      </c>
      <c r="P590" s="1">
        <v>45</v>
      </c>
      <c r="Q590" s="1">
        <v>30</v>
      </c>
      <c r="R590" s="1">
        <v>74</v>
      </c>
      <c r="S590" s="1">
        <v>93</v>
      </c>
    </row>
    <row r="591" spans="1:19">
      <c r="A591" s="1">
        <v>2021</v>
      </c>
      <c r="B591" s="1">
        <v>15</v>
      </c>
      <c r="C591" s="1" t="s">
        <v>38</v>
      </c>
      <c r="D591" s="1" t="e">
        <f t="array" aca="1" ref="D591" ca="1">_xludf.XLOOKUP(C591,'country region mapping'!$A$2:$A$250, 'country region mapping'!$E$2:$E$250)</f>
        <v>#NAME?</v>
      </c>
      <c r="E591" s="1" t="e">
        <f t="array" aca="1" ref="E591" ca="1">_xludf.XLOOKUP(C591,'country region mapping'!$A$2:$A$267,'country region mapping'!$F$2:$F$267)</f>
        <v>#NAME?</v>
      </c>
      <c r="F591" s="1" t="e">
        <f t="array" aca="1" ref="F591" ca="1">_xludf.XLOOKUP(C591,'country region mapping'!$A$2:$A$267,'country region mapping'!$G$2:$G$267)</f>
        <v>#NAME?</v>
      </c>
      <c r="G591" s="1">
        <v>7.0250000000000004</v>
      </c>
      <c r="H591" s="1">
        <v>24</v>
      </c>
      <c r="I591" s="1">
        <v>18</v>
      </c>
      <c r="J591" s="1">
        <v>18</v>
      </c>
      <c r="K591" s="1">
        <v>21</v>
      </c>
      <c r="L591" s="1">
        <v>20</v>
      </c>
      <c r="M591" s="1">
        <v>13</v>
      </c>
      <c r="N591" s="1">
        <v>9</v>
      </c>
      <c r="O591" s="1">
        <v>15</v>
      </c>
      <c r="P591" s="1">
        <v>65</v>
      </c>
      <c r="Q591" s="1">
        <v>13</v>
      </c>
      <c r="R591" s="1">
        <v>34</v>
      </c>
      <c r="S591" s="1">
        <v>52</v>
      </c>
    </row>
    <row r="592" spans="1:19">
      <c r="A592" s="1">
        <v>2021</v>
      </c>
      <c r="B592" s="1">
        <v>16</v>
      </c>
      <c r="C592" s="1" t="s">
        <v>51</v>
      </c>
      <c r="D592" s="1" t="e">
        <f t="array" aca="1" ref="D592" ca="1">_xludf.XLOOKUP(C592,'country region mapping'!$A$2:$A$267,'country region mapping'!$E$2:$E$267)</f>
        <v>#NAME?</v>
      </c>
      <c r="E592" s="1" t="e">
        <f t="array" aca="1" ref="E592" ca="1">_xludf.XLOOKUP(C592,'country region mapping'!$A$2:$A$267,'country region mapping'!$F$2:$F$267)</f>
        <v>#NAME?</v>
      </c>
      <c r="F592" s="1" t="e">
        <f t="array" aca="1" ref="F592" ca="1">_xludf.XLOOKUP(C592,'country region mapping'!$A$2:$A$267,'country region mapping'!$G$2:$G$267)</f>
        <v>#NAME?</v>
      </c>
      <c r="G592" s="1">
        <v>6.9770000000000003</v>
      </c>
      <c r="H592" s="1">
        <v>21</v>
      </c>
      <c r="I592" s="1">
        <v>20</v>
      </c>
      <c r="J592" s="1">
        <v>5</v>
      </c>
      <c r="K592" s="1">
        <v>56</v>
      </c>
      <c r="L592" s="1">
        <v>58</v>
      </c>
      <c r="M592" s="1">
        <v>10</v>
      </c>
      <c r="N592" s="1">
        <v>36</v>
      </c>
      <c r="O592" s="1">
        <v>27</v>
      </c>
      <c r="P592" s="1">
        <v>66</v>
      </c>
      <c r="Q592" s="1">
        <v>10</v>
      </c>
      <c r="R592" s="1">
        <v>7</v>
      </c>
      <c r="S592" s="1">
        <v>4</v>
      </c>
    </row>
    <row r="593" spans="1:19">
      <c r="A593" s="1">
        <v>2021</v>
      </c>
      <c r="B593" s="1">
        <v>17</v>
      </c>
      <c r="C593" s="1" t="s">
        <v>64</v>
      </c>
      <c r="D593" s="1" t="e">
        <f t="array" aca="1" ref="D593" ca="1">_xludf.XLOOKUP(C593,'country region mapping'!$A$2:$A$267,'country region mapping'!$E$2:$E$267)</f>
        <v>#NAME?</v>
      </c>
      <c r="E593" s="1" t="e">
        <f t="array" aca="1" ref="E593" ca="1">_xludf.XLOOKUP(C593,'country region mapping'!$A$2:$A$267,'country region mapping'!$F$2:$F$267)</f>
        <v>#NAME?</v>
      </c>
      <c r="F593" s="1" t="e">
        <f t="array" aca="1" ref="F593" ca="1">_xludf.XLOOKUP(C593,'country region mapping'!$A$2:$A$267,'country region mapping'!$G$2:$G$267)</f>
        <v>#NAME?</v>
      </c>
      <c r="G593" s="1">
        <v>6.9429999999999996</v>
      </c>
      <c r="H593" s="1">
        <v>18</v>
      </c>
      <c r="I593" s="1">
        <v>58</v>
      </c>
      <c r="J593" s="1">
        <v>21</v>
      </c>
      <c r="K593" s="1">
        <v>25</v>
      </c>
      <c r="L593" s="1">
        <v>60</v>
      </c>
      <c r="M593" s="1">
        <v>5</v>
      </c>
      <c r="N593" s="1">
        <v>14</v>
      </c>
      <c r="O593" s="1">
        <v>55</v>
      </c>
      <c r="P593" s="1">
        <v>56</v>
      </c>
      <c r="Q593" s="1">
        <v>5</v>
      </c>
      <c r="R593" s="1">
        <v>55</v>
      </c>
      <c r="S593" s="1">
        <v>99</v>
      </c>
    </row>
    <row r="594" spans="1:19">
      <c r="A594" s="1">
        <v>2021</v>
      </c>
      <c r="B594" s="1">
        <v>18</v>
      </c>
      <c r="C594" s="1" t="s">
        <v>70</v>
      </c>
      <c r="D594" s="1" t="e">
        <f t="array" aca="1" ref="D594" ca="1">_xludf.XLOOKUP(C594,'country region mapping'!$A$2:$A$250, 'country region mapping'!$E$2:$E$250)</f>
        <v>#NAME?</v>
      </c>
      <c r="E594" s="1" t="e">
        <f t="array" aca="1" ref="E594" ca="1">_xludf.XLOOKUP(C594,'country region mapping'!$A$2:$A$267,'country region mapping'!$F$2:$F$267)</f>
        <v>#NAME?</v>
      </c>
      <c r="F594" s="1" t="e">
        <f t="array" aca="1" ref="F594" ca="1">_xludf.XLOOKUP(C594,'country region mapping'!$A$2:$A$267,'country region mapping'!$G$2:$G$267)</f>
        <v>#NAME?</v>
      </c>
      <c r="G594" s="1">
        <v>6.92</v>
      </c>
      <c r="H594" s="1">
        <v>29</v>
      </c>
      <c r="I594" s="1">
        <v>6</v>
      </c>
      <c r="J594" s="1">
        <v>26</v>
      </c>
      <c r="K594" s="1">
        <v>36</v>
      </c>
      <c r="L594" s="1">
        <v>24</v>
      </c>
      <c r="M594" s="1">
        <v>22</v>
      </c>
      <c r="N594" s="1">
        <v>95</v>
      </c>
      <c r="O594" s="1">
        <v>38</v>
      </c>
      <c r="P594" s="1">
        <v>36</v>
      </c>
      <c r="Q594" s="1">
        <v>22</v>
      </c>
      <c r="R594" s="1">
        <v>53</v>
      </c>
      <c r="S594" s="1">
        <v>56</v>
      </c>
    </row>
    <row r="595" spans="1:19">
      <c r="A595" s="1">
        <v>2021</v>
      </c>
      <c r="B595" s="1">
        <v>19</v>
      </c>
      <c r="C595" s="1" t="s">
        <v>415</v>
      </c>
      <c r="D595" s="1" t="e">
        <f t="array" aca="1" ref="D595" ca="1">_xludf.XLOOKUP(C595,'country region mapping'!$A$2:$A$250, 'country region mapping'!$E$2:$E$250)</f>
        <v>#NAME?</v>
      </c>
      <c r="E595" s="1" t="e">
        <f t="array" aca="1" ref="E595" ca="1">_xludf.XLOOKUP(C595,'country region mapping'!$A$2:$A$267,'country region mapping'!$F$2:$F$267)</f>
        <v>#NAME?</v>
      </c>
      <c r="F595" s="1" t="e">
        <f t="array" aca="1" ref="F595" ca="1">_xludf.XLOOKUP(C595,'country region mapping'!$A$2:$A$267,'country region mapping'!$G$2:$G$267)</f>
        <v>#NAME?</v>
      </c>
      <c r="G595" s="1">
        <v>6.8049999999999997</v>
      </c>
      <c r="H595" s="1">
        <v>7</v>
      </c>
      <c r="I595" s="1">
        <v>25</v>
      </c>
      <c r="J595" s="1">
        <v>14</v>
      </c>
      <c r="K595" s="1">
        <v>20</v>
      </c>
      <c r="L595" s="1">
        <v>51</v>
      </c>
      <c r="M595" s="1">
        <v>29</v>
      </c>
      <c r="N595" s="1">
        <v>18</v>
      </c>
      <c r="O595" s="1">
        <v>52</v>
      </c>
      <c r="P595" s="1">
        <v>51</v>
      </c>
      <c r="Q595" s="1">
        <v>29</v>
      </c>
      <c r="R595" s="1">
        <v>64</v>
      </c>
      <c r="S595" s="1">
        <v>101</v>
      </c>
    </row>
    <row r="596" spans="1:19">
      <c r="A596" s="1">
        <v>2021</v>
      </c>
      <c r="B596" s="1">
        <v>20</v>
      </c>
      <c r="C596" s="1" t="s">
        <v>76</v>
      </c>
      <c r="D596" s="1" t="e">
        <f t="array" aca="1" ref="D596" ca="1">_xludf.XLOOKUP(C596,'country region mapping'!$A$2:$A$250, 'country region mapping'!$E$2:$E$250)</f>
        <v>#NAME?</v>
      </c>
      <c r="E596" s="1" t="e">
        <f t="array" aca="1" ref="E596" ca="1">_xludf.XLOOKUP(C596,'country region mapping'!$A$2:$A$267,'country region mapping'!$F$2:$F$267)</f>
        <v>#NAME?</v>
      </c>
      <c r="F596" s="1" t="e">
        <f t="array" aca="1" ref="F596" ca="1">_xludf.XLOOKUP(C596,'country region mapping'!$A$2:$A$267,'country region mapping'!$G$2:$G$267)</f>
        <v>#NAME?</v>
      </c>
      <c r="G596" s="1">
        <v>6.6870000000000003</v>
      </c>
      <c r="H596" s="1">
        <v>11</v>
      </c>
      <c r="I596" s="1">
        <v>26</v>
      </c>
      <c r="J596" s="1">
        <v>20</v>
      </c>
      <c r="K596" s="1">
        <v>14</v>
      </c>
      <c r="L596" s="1">
        <v>45</v>
      </c>
      <c r="M596" s="1">
        <v>73</v>
      </c>
      <c r="N596" s="1">
        <v>20</v>
      </c>
      <c r="O596" s="1">
        <v>54</v>
      </c>
      <c r="P596" s="1">
        <v>58</v>
      </c>
      <c r="Q596" s="1">
        <v>73</v>
      </c>
      <c r="R596" s="1">
        <v>33</v>
      </c>
      <c r="S596" s="1">
        <v>119</v>
      </c>
    </row>
    <row r="597" spans="1:19">
      <c r="A597" s="1">
        <v>2021</v>
      </c>
      <c r="B597" s="1">
        <v>21</v>
      </c>
      <c r="C597" s="1" t="s">
        <v>90</v>
      </c>
      <c r="D597" s="1" t="e">
        <f t="array" aca="1" ref="D597" ca="1">_xludf.XLOOKUP(C597,'country region mapping'!$A$2:$A$250, 'country region mapping'!$E$2:$E$250)</f>
        <v>#NAME?</v>
      </c>
      <c r="E597" s="1" t="e">
        <f t="array" aca="1" ref="E597" ca="1">_xludf.XLOOKUP(C597,'country region mapping'!$A$2:$A$267,'country region mapping'!$F$2:$F$267)</f>
        <v>#NAME?</v>
      </c>
      <c r="F597" s="1" t="e">
        <f t="array" aca="1" ref="F597" ca="1">_xludf.XLOOKUP(C597,'country region mapping'!$A$2:$A$267,'country region mapping'!$G$2:$G$267)</f>
        <v>#NAME?</v>
      </c>
      <c r="G597" s="1">
        <v>6.6470000000000002</v>
      </c>
      <c r="H597" s="1"/>
      <c r="I597" s="1"/>
      <c r="J597" s="1"/>
      <c r="K597" s="1"/>
      <c r="L597" s="1"/>
      <c r="M597" s="1"/>
      <c r="N597" s="1"/>
      <c r="O597" s="1"/>
      <c r="P597" s="1"/>
      <c r="Q597" s="1"/>
      <c r="S597" s="1"/>
    </row>
    <row r="598" spans="1:19">
      <c r="A598" s="1">
        <v>2021</v>
      </c>
      <c r="B598" s="1">
        <v>22</v>
      </c>
      <c r="C598" s="1" t="s">
        <v>116</v>
      </c>
      <c r="D598" s="1" t="e">
        <f t="array" aca="1" ref="D598" ca="1">_xludf.XLOOKUP(C598,'country region mapping'!$A$2:$A$250, 'country region mapping'!$E$2:$E$250)</f>
        <v>#NAME?</v>
      </c>
      <c r="E598" s="1" t="e">
        <f t="array" aca="1" ref="E598" ca="1">_xludf.XLOOKUP(C598,'country region mapping'!$A$2:$A$267,'country region mapping'!$F$2:$F$267)</f>
        <v>#NAME?</v>
      </c>
      <c r="F598" s="1" t="e">
        <f t="array" aca="1" ref="F598" ca="1">_xludf.XLOOKUP(C598,'country region mapping'!$A$2:$A$267,'country region mapping'!$G$2:$G$267)</f>
        <v>#NAME?</v>
      </c>
      <c r="G598" s="1">
        <v>6.63</v>
      </c>
      <c r="H598" s="1">
        <v>27</v>
      </c>
      <c r="I598" s="1">
        <v>3</v>
      </c>
      <c r="J598" s="1">
        <v>29</v>
      </c>
      <c r="K598" s="1">
        <v>23</v>
      </c>
      <c r="L598" s="1">
        <v>37</v>
      </c>
      <c r="M598" s="1">
        <v>39</v>
      </c>
      <c r="N598" s="1">
        <v>54</v>
      </c>
      <c r="O598" s="1">
        <v>73</v>
      </c>
      <c r="P598" s="1">
        <v>52</v>
      </c>
      <c r="Q598" s="1">
        <v>39</v>
      </c>
      <c r="R598" s="1">
        <v>50</v>
      </c>
      <c r="S598" s="1">
        <v>111</v>
      </c>
    </row>
    <row r="599" spans="1:19">
      <c r="A599" s="1">
        <v>2021</v>
      </c>
      <c r="B599" s="1">
        <v>23</v>
      </c>
      <c r="C599" s="1" t="s">
        <v>52</v>
      </c>
      <c r="D599" s="1" t="e">
        <f t="array" aca="1" ref="D599" ca="1">_xludf.XLOOKUP(C599,'country region mapping'!$A$2:$A$250, 'country region mapping'!$E$2:$E$250)</f>
        <v>#NAME?</v>
      </c>
      <c r="E599" s="1" t="e">
        <f t="array" aca="1" ref="E599" ca="1">_xludf.XLOOKUP(C599,'country region mapping'!$A$2:$A$267,'country region mapping'!$F$2:$F$267)</f>
        <v>#NAME?</v>
      </c>
      <c r="F599" s="1" t="e">
        <f t="array" aca="1" ref="F599" ca="1">_xludf.XLOOKUP(C599,'country region mapping'!$A$2:$A$267,'country region mapping'!$G$2:$G$267)</f>
        <v>#NAME?</v>
      </c>
      <c r="G599" s="1">
        <v>6.5819999999999999</v>
      </c>
      <c r="H599" s="1">
        <v>72</v>
      </c>
      <c r="I599" s="1">
        <v>47</v>
      </c>
      <c r="J599" s="1">
        <v>50</v>
      </c>
      <c r="K599" s="1">
        <v>29</v>
      </c>
      <c r="L599" s="1">
        <v>27</v>
      </c>
      <c r="M599" s="1">
        <v>63</v>
      </c>
      <c r="N599" s="1">
        <v>63</v>
      </c>
      <c r="O599" s="1">
        <v>13</v>
      </c>
      <c r="P599" s="1">
        <v>83</v>
      </c>
      <c r="Q599" s="1">
        <v>63</v>
      </c>
      <c r="R599" s="1">
        <v>68</v>
      </c>
      <c r="S599" s="1">
        <v>6</v>
      </c>
    </row>
    <row r="600" spans="1:19">
      <c r="A600" s="1">
        <v>2021</v>
      </c>
      <c r="B600" s="1">
        <v>24</v>
      </c>
      <c r="C600" s="1" t="s">
        <v>71</v>
      </c>
      <c r="D600" s="1" t="e">
        <f t="array" aca="1" ref="D600" ca="1">_xludf.XLOOKUP(C600,'country region mapping'!$A$2:$A$250, 'country region mapping'!$E$2:$E$250)</f>
        <v>#NAME?</v>
      </c>
      <c r="E600" s="1" t="e">
        <f t="array" aca="1" ref="E600" ca="1">_xludf.XLOOKUP(C600,'country region mapping'!$A$2:$A$267,'country region mapping'!$F$2:$F$267)</f>
        <v>#NAME?</v>
      </c>
      <c r="F600" s="1" t="e">
        <f t="array" aca="1" ref="F600" ca="1">_xludf.XLOOKUP(C600,'country region mapping'!$A$2:$A$267,'country region mapping'!$G$2:$G$267)</f>
        <v>#NAME?</v>
      </c>
      <c r="G600" s="1">
        <v>6.5759999999999996</v>
      </c>
      <c r="H600" s="1">
        <v>83</v>
      </c>
      <c r="I600" s="1">
        <v>65</v>
      </c>
      <c r="J600" s="1">
        <v>8</v>
      </c>
      <c r="K600" s="1">
        <v>30</v>
      </c>
      <c r="L600" s="1">
        <v>4</v>
      </c>
      <c r="M600" s="1">
        <v>17</v>
      </c>
      <c r="O600" s="1">
        <v>48</v>
      </c>
      <c r="P600" s="1">
        <v>25</v>
      </c>
      <c r="Q600" s="1">
        <v>17</v>
      </c>
      <c r="R600" s="1">
        <v>72</v>
      </c>
      <c r="S600" s="1">
        <v>50</v>
      </c>
    </row>
    <row r="601" spans="1:19">
      <c r="A601" s="1">
        <v>2021</v>
      </c>
      <c r="B601" s="1">
        <v>25</v>
      </c>
      <c r="C601" s="1" t="s">
        <v>79</v>
      </c>
      <c r="D601" s="1" t="e">
        <f t="array" aca="1" ref="D601" ca="1">_xludf.XLOOKUP(C601,'country region mapping'!$A$2:$A$250, 'country region mapping'!$E$2:$E$250)</f>
        <v>#NAME?</v>
      </c>
      <c r="E601" s="1" t="e">
        <f t="array" aca="1" ref="E601" ca="1">_xludf.XLOOKUP(C601,'country region mapping'!$A$2:$A$267,'country region mapping'!$F$2:$F$267)</f>
        <v>#NAME?</v>
      </c>
      <c r="F601" s="1" t="e">
        <f t="array" aca="1" ref="F601" ca="1">_xludf.XLOOKUP(C601,'country region mapping'!$A$2:$A$267,'country region mapping'!$G$2:$G$267)</f>
        <v>#NAME?</v>
      </c>
      <c r="G601" s="1">
        <v>6.5229999999999997</v>
      </c>
      <c r="H601" s="1">
        <v>66</v>
      </c>
      <c r="I601" s="1">
        <v>53</v>
      </c>
      <c r="J601" s="1">
        <v>19</v>
      </c>
      <c r="K601" s="1">
        <v>38</v>
      </c>
      <c r="L601" s="1">
        <v>18</v>
      </c>
      <c r="M601" s="1">
        <v>74</v>
      </c>
      <c r="O601" s="14">
        <v>34</v>
      </c>
      <c r="P601" s="14">
        <v>31</v>
      </c>
      <c r="Q601" s="14">
        <v>74</v>
      </c>
      <c r="R601" s="14">
        <v>88</v>
      </c>
      <c r="S601" s="14">
        <v>60</v>
      </c>
    </row>
    <row r="602" spans="1:19">
      <c r="A602" s="1">
        <v>2021</v>
      </c>
      <c r="B602" s="1">
        <v>26</v>
      </c>
      <c r="C602" s="1" t="s">
        <v>81</v>
      </c>
      <c r="D602" s="1" t="e">
        <f t="array" aca="1" ref="D602" ca="1">_xludf.XLOOKUP(C602,'country region mapping'!$A$2:$A$267,'country region mapping'!$E$2:$E$267)</f>
        <v>#NAME?</v>
      </c>
      <c r="E602" s="1" t="e">
        <f t="array" aca="1" ref="E602" ca="1">_xludf.XLOOKUP(C602,'country region mapping'!$A$2:$A$267,'country region mapping'!$F$2:$F$267)</f>
        <v>#NAME?</v>
      </c>
      <c r="F602" s="1" t="e">
        <f t="array" aca="1" ref="F602" ca="1">_xludf.XLOOKUP(C602,'country region mapping'!$A$2:$A$267,'country region mapping'!$G$2:$G$267)</f>
        <v>#NAME?</v>
      </c>
      <c r="G602" s="1">
        <v>6.5119999999999996</v>
      </c>
      <c r="H602" s="1">
        <v>47</v>
      </c>
      <c r="I602" s="1">
        <v>49</v>
      </c>
      <c r="K602" s="1"/>
      <c r="L602" s="1">
        <v>56</v>
      </c>
      <c r="M602" s="14">
        <v>43</v>
      </c>
      <c r="N602" s="14">
        <v>33</v>
      </c>
      <c r="O602" s="14">
        <v>61</v>
      </c>
      <c r="P602" s="14">
        <v>3</v>
      </c>
      <c r="Q602" s="14">
        <v>43</v>
      </c>
      <c r="R602" s="14">
        <v>105</v>
      </c>
      <c r="S602" s="14">
        <v>102</v>
      </c>
    </row>
    <row r="603" spans="1:19">
      <c r="A603" s="1">
        <v>2021</v>
      </c>
      <c r="B603" s="1">
        <v>27</v>
      </c>
      <c r="C603" s="1" t="s">
        <v>63</v>
      </c>
      <c r="D603" s="1" t="e">
        <f t="array" aca="1" ref="D603" ca="1">_xludf.XLOOKUP(C603,'country region mapping'!$A$2:$A$250, 'country region mapping'!$E$2:$E$250)</f>
        <v>#NAME?</v>
      </c>
      <c r="E603" s="1" t="e">
        <f t="array" aca="1" ref="E603" ca="1">_xludf.XLOOKUP(C603,'country region mapping'!$A$2:$A$267,'country region mapping'!$F$2:$F$267)</f>
        <v>#NAME?</v>
      </c>
      <c r="F603" s="1" t="e">
        <f t="array" aca="1" ref="F603" ca="1">_xludf.XLOOKUP(C603,'country region mapping'!$A$2:$A$267,'country region mapping'!$G$2:$G$267)</f>
        <v>#NAME?</v>
      </c>
      <c r="G603" s="1">
        <v>6.48</v>
      </c>
      <c r="H603" s="1">
        <v>20</v>
      </c>
      <c r="I603" s="1">
        <v>46</v>
      </c>
      <c r="J603" s="1">
        <v>1</v>
      </c>
      <c r="K603" s="1">
        <v>1</v>
      </c>
      <c r="L603" s="1">
        <v>29</v>
      </c>
      <c r="M603" s="1">
        <v>24</v>
      </c>
      <c r="N603" s="1">
        <v>1</v>
      </c>
      <c r="O603" s="1">
        <v>49</v>
      </c>
      <c r="P603" s="1">
        <v>6</v>
      </c>
      <c r="Q603" s="1">
        <v>24</v>
      </c>
      <c r="R603" s="1">
        <v>58</v>
      </c>
      <c r="S603" s="1">
        <v>75</v>
      </c>
    </row>
    <row r="604" spans="1:19">
      <c r="A604" s="1">
        <v>2021</v>
      </c>
      <c r="B604" s="1">
        <v>28</v>
      </c>
      <c r="C604" s="1" t="s">
        <v>128</v>
      </c>
      <c r="D604" s="1" t="e">
        <f t="array" aca="1" ref="D604" ca="1">_xludf.XLOOKUP(C604,'country region mapping'!$A$2:$A$250, 'country region mapping'!$E$2:$E$250)</f>
        <v>#NAME?</v>
      </c>
      <c r="E604" s="1" t="e">
        <f t="array" aca="1" ref="E604" ca="1">_xludf.XLOOKUP(C604,'country region mapping'!$A$2:$A$267,'country region mapping'!$F$2:$F$267)</f>
        <v>#NAME?</v>
      </c>
      <c r="F604" s="1" t="e">
        <f t="array" aca="1" ref="F604" ca="1">_xludf.XLOOKUP(C604,'country region mapping'!$A$2:$A$267,'country region mapping'!$G$2:$G$267)</f>
        <v>#NAME?</v>
      </c>
      <c r="G604" s="1">
        <v>6.4770000000000003</v>
      </c>
      <c r="H604" s="1">
        <v>50</v>
      </c>
      <c r="I604" s="1">
        <v>64</v>
      </c>
      <c r="J604" s="1">
        <v>38</v>
      </c>
      <c r="K604" s="1">
        <v>58</v>
      </c>
      <c r="L604" s="1">
        <v>32</v>
      </c>
      <c r="M604" s="1">
        <v>103</v>
      </c>
      <c r="N604" s="1">
        <v>115</v>
      </c>
      <c r="O604" s="1">
        <v>56</v>
      </c>
      <c r="P604" s="1">
        <v>54</v>
      </c>
      <c r="Q604" s="1">
        <v>103</v>
      </c>
      <c r="R604" s="1">
        <v>108</v>
      </c>
      <c r="S604" s="1">
        <v>70</v>
      </c>
    </row>
    <row r="605" spans="1:19">
      <c r="A605" s="1">
        <v>2021</v>
      </c>
      <c r="B605" s="1">
        <v>29</v>
      </c>
      <c r="C605" s="1" t="s">
        <v>274</v>
      </c>
      <c r="D605" s="1" t="e">
        <f t="array" aca="1" ref="D605" ca="1">_xludf.XLOOKUP(C605,'country region mapping'!$A$2:$A$250, 'country region mapping'!$E$2:$E$250)</f>
        <v>#NAME?</v>
      </c>
      <c r="E605" s="1" t="e">
        <f t="array" aca="1" ref="E605" ca="1">_xludf.XLOOKUP(C605,'country region mapping'!$A$2:$A$267,'country region mapping'!$F$2:$F$267)</f>
        <v>#NAME?</v>
      </c>
      <c r="F605" s="1" t="e">
        <f t="array" aca="1" ref="F605" ca="1">_xludf.XLOOKUP(C605,'country region mapping'!$A$2:$A$267,'country region mapping'!$G$2:$G$267)</f>
        <v>#NAME?</v>
      </c>
      <c r="G605" s="1">
        <v>6.476</v>
      </c>
      <c r="H605" s="1">
        <v>14</v>
      </c>
      <c r="I605" s="1">
        <v>17</v>
      </c>
      <c r="J605" s="1">
        <v>31</v>
      </c>
      <c r="K605" s="1">
        <v>8</v>
      </c>
      <c r="L605" s="1">
        <v>71</v>
      </c>
      <c r="M605" s="1">
        <v>66</v>
      </c>
      <c r="N605" s="1">
        <v>43</v>
      </c>
      <c r="O605" s="1">
        <v>77</v>
      </c>
      <c r="P605" s="1">
        <v>86</v>
      </c>
      <c r="Q605" s="1">
        <v>66</v>
      </c>
      <c r="R605" s="1">
        <v>91</v>
      </c>
      <c r="S605" s="1">
        <v>107</v>
      </c>
    </row>
    <row r="606" spans="1:19">
      <c r="A606" s="1">
        <v>2021</v>
      </c>
      <c r="B606" s="1">
        <v>30</v>
      </c>
      <c r="C606" s="1" t="s">
        <v>73</v>
      </c>
      <c r="D606" s="1" t="e">
        <f t="array" aca="1" ref="D606" ca="1">_xludf.XLOOKUP(C606,'country region mapping'!$A$2:$A$250, 'country region mapping'!$E$2:$E$250)</f>
        <v>#NAME?</v>
      </c>
      <c r="E606" s="1" t="e">
        <f t="array" aca="1" ref="E606" ca="1">_xludf.XLOOKUP(C606,'country region mapping'!$A$2:$A$267,'country region mapping'!$F$2:$F$267)</f>
        <v>#NAME?</v>
      </c>
      <c r="F606" s="1" t="e">
        <f t="array" aca="1" ref="F606" ca="1">_xludf.XLOOKUP(C606,'country region mapping'!$A$2:$A$267,'country region mapping'!$G$2:$G$267)</f>
        <v>#NAME?</v>
      </c>
      <c r="G606" s="1">
        <v>6.4740000000000002</v>
      </c>
      <c r="H606" s="1">
        <v>46</v>
      </c>
      <c r="I606" s="1">
        <v>27</v>
      </c>
      <c r="J606" s="1">
        <v>46</v>
      </c>
      <c r="K606" s="1">
        <v>45</v>
      </c>
      <c r="L606" s="1">
        <v>19</v>
      </c>
      <c r="M606" s="1">
        <v>72</v>
      </c>
      <c r="N606" s="1">
        <v>22</v>
      </c>
      <c r="O606" s="1">
        <v>24</v>
      </c>
      <c r="P606" s="1">
        <v>53</v>
      </c>
      <c r="Q606" s="1">
        <v>72</v>
      </c>
      <c r="R606" s="1">
        <v>80</v>
      </c>
      <c r="S606" s="1">
        <v>27</v>
      </c>
    </row>
    <row r="607" spans="1:19">
      <c r="A607" s="1">
        <v>2021</v>
      </c>
      <c r="B607" s="1">
        <v>31</v>
      </c>
      <c r="C607" s="1" t="s">
        <v>100</v>
      </c>
      <c r="D607" s="1" t="e">
        <f t="array" aca="1" ref="D607" ca="1">_xludf.XLOOKUP(C607,'country region mapping'!$A$2:$A$250, 'country region mapping'!$E$2:$E$250)</f>
        <v>#NAME?</v>
      </c>
      <c r="E607" s="1" t="e">
        <f t="array" aca="1" ref="E607" ca="1">_xludf.XLOOKUP(C607,'country region mapping'!$A$2:$A$267,'country region mapping'!$F$2:$F$267)</f>
        <v>#NAME?</v>
      </c>
      <c r="F607" s="1" t="e">
        <f t="array" aca="1" ref="F607" ca="1">_xludf.XLOOKUP(C607,'country region mapping'!$A$2:$A$267,'country region mapping'!$G$2:$G$267)</f>
        <v>#NAME?</v>
      </c>
      <c r="G607" s="1">
        <v>6.4669999999999996</v>
      </c>
      <c r="H607" s="1">
        <v>26</v>
      </c>
      <c r="I607" s="1">
        <v>39</v>
      </c>
      <c r="J607" s="1">
        <v>22</v>
      </c>
      <c r="K607" s="1">
        <v>13</v>
      </c>
      <c r="L607" s="1">
        <v>99</v>
      </c>
      <c r="M607" s="1">
        <v>71</v>
      </c>
      <c r="N607" s="1">
        <v>94</v>
      </c>
      <c r="O607" s="1">
        <v>80</v>
      </c>
      <c r="P607" s="1">
        <v>84</v>
      </c>
      <c r="Q607" s="1">
        <v>71</v>
      </c>
      <c r="R607" s="1">
        <v>96</v>
      </c>
      <c r="S607" s="1">
        <v>116</v>
      </c>
    </row>
    <row r="608" spans="1:19">
      <c r="A608" s="1">
        <v>2021</v>
      </c>
      <c r="B608" s="1">
        <v>32</v>
      </c>
      <c r="C608" s="1" t="s">
        <v>135</v>
      </c>
      <c r="D608" s="1" t="e">
        <f t="array" aca="1" ref="D608" ca="1">_xludf.XLOOKUP(C608,'country region mapping'!$A$2:$A$267,'country region mapping'!$E$2:$E$267)</f>
        <v>#NAME?</v>
      </c>
      <c r="E608" s="1" t="e">
        <f t="array" aca="1" ref="E608" ca="1">_xludf.XLOOKUP(C608,'country region mapping'!$A$2:$A$267,'country region mapping'!$F$2:$F$267)</f>
        <v>#NAME?</v>
      </c>
      <c r="F608" s="1" t="e">
        <f t="array" aca="1" ref="F608" ca="1">_xludf.XLOOKUP(C608,'country region mapping'!$A$2:$A$267,'country region mapping'!$G$2:$G$267)</f>
        <v>#NAME?</v>
      </c>
      <c r="G608" s="1">
        <v>6.4550000000000001</v>
      </c>
      <c r="H608" s="1">
        <v>75</v>
      </c>
      <c r="I608" s="1">
        <v>61</v>
      </c>
      <c r="J608" s="1">
        <v>79</v>
      </c>
      <c r="K608" s="1"/>
      <c r="L608" s="1">
        <v>42</v>
      </c>
      <c r="M608" s="1">
        <v>20</v>
      </c>
      <c r="N608" s="1">
        <v>83</v>
      </c>
      <c r="O608" s="1">
        <v>94</v>
      </c>
      <c r="Q608" s="14">
        <v>20</v>
      </c>
      <c r="R608" s="14">
        <v>109</v>
      </c>
      <c r="S608" s="14">
        <v>61</v>
      </c>
    </row>
    <row r="609" spans="1:19">
      <c r="A609" s="1">
        <v>2021</v>
      </c>
      <c r="B609" s="1">
        <v>33</v>
      </c>
      <c r="C609" s="1" t="s">
        <v>74</v>
      </c>
      <c r="D609" s="1" t="e">
        <f t="array" aca="1" ref="D609" ca="1">_xludf.XLOOKUP(C609,'country region mapping'!$A$2:$A$250, 'country region mapping'!$E$2:$E$250)</f>
        <v>#NAME?</v>
      </c>
      <c r="E609" s="1" t="e">
        <f t="array" aca="1" ref="E609" ca="1">_xludf.XLOOKUP(C609,'country region mapping'!$A$2:$A$267,'country region mapping'!$F$2:$F$267)</f>
        <v>#NAME?</v>
      </c>
      <c r="F609" s="1" t="e">
        <f t="array" aca="1" ref="F609" ca="1">_xludf.XLOOKUP(C609,'country region mapping'!$A$2:$A$267,'country region mapping'!$G$2:$G$267)</f>
        <v>#NAME?</v>
      </c>
      <c r="G609" s="1">
        <v>6.4470000000000001</v>
      </c>
      <c r="H609" s="1">
        <v>35</v>
      </c>
      <c r="I609" s="1">
        <v>32</v>
      </c>
      <c r="J609" s="1">
        <v>17</v>
      </c>
      <c r="K609" s="1">
        <v>11</v>
      </c>
      <c r="L609" s="1">
        <v>25</v>
      </c>
      <c r="M609" s="1">
        <v>7</v>
      </c>
      <c r="N609" s="1">
        <v>53</v>
      </c>
      <c r="O609" s="1">
        <v>79</v>
      </c>
      <c r="P609" s="1">
        <v>101</v>
      </c>
      <c r="Q609" s="1">
        <v>7</v>
      </c>
      <c r="R609" s="1">
        <v>61</v>
      </c>
      <c r="S609" s="1">
        <v>113</v>
      </c>
    </row>
    <row r="610" spans="1:19">
      <c r="A610" s="1">
        <v>2021</v>
      </c>
      <c r="B610" s="1">
        <v>34</v>
      </c>
      <c r="C610" s="1" t="s">
        <v>114</v>
      </c>
      <c r="D610" s="1" t="e">
        <f t="array" aca="1" ref="D610" ca="1">_xludf.XLOOKUP(C610,'country region mapping'!$A$2:$A$250, 'country region mapping'!$E$2:$E$250)</f>
        <v>#NAME?</v>
      </c>
      <c r="E610" s="1" t="e">
        <f t="array" aca="1" ref="E610" ca="1">_xludf.XLOOKUP(C610,'country region mapping'!$A$2:$A$267,'country region mapping'!$F$2:$F$267)</f>
        <v>#NAME?</v>
      </c>
      <c r="F610" s="1" t="e">
        <f t="array" aca="1" ref="F610" ca="1">_xludf.XLOOKUP(C610,'country region mapping'!$A$2:$A$267,'country region mapping'!$G$2:$G$267)</f>
        <v>#NAME?</v>
      </c>
      <c r="G610" s="1">
        <v>6.4459999999999997</v>
      </c>
      <c r="H610" s="1">
        <v>23</v>
      </c>
      <c r="I610" s="1">
        <v>15</v>
      </c>
      <c r="J610" s="1">
        <v>28</v>
      </c>
      <c r="K610" s="1">
        <v>52</v>
      </c>
      <c r="L610" s="1">
        <v>96</v>
      </c>
      <c r="M610" s="1">
        <v>79</v>
      </c>
      <c r="N610" s="1">
        <v>99</v>
      </c>
      <c r="O610" s="1">
        <v>60</v>
      </c>
      <c r="P610" s="1">
        <v>17</v>
      </c>
      <c r="Q610" s="1">
        <v>79</v>
      </c>
      <c r="R610" s="1">
        <v>79</v>
      </c>
      <c r="S610" s="1">
        <v>55</v>
      </c>
    </row>
    <row r="611" spans="1:19">
      <c r="A611" s="1">
        <v>2021</v>
      </c>
      <c r="B611" s="1">
        <v>35</v>
      </c>
      <c r="C611" s="1" t="s">
        <v>95</v>
      </c>
      <c r="D611" s="1" t="e">
        <f t="array" aca="1" ref="D611" ca="1">_xludf.XLOOKUP(C611,'country region mapping'!$A$2:$A$250, 'country region mapping'!$E$2:$E$250)</f>
        <v>#NAME?</v>
      </c>
      <c r="E611" s="1" t="e">
        <f t="array" aca="1" ref="E611" ca="1">_xludf.XLOOKUP(C611,'country region mapping'!$A$2:$A$267,'country region mapping'!$F$2:$F$267)</f>
        <v>#NAME?</v>
      </c>
      <c r="F611" s="1" t="e">
        <f t="array" aca="1" ref="F611" ca="1">_xludf.XLOOKUP(C611,'country region mapping'!$A$2:$A$267,'country region mapping'!$G$2:$G$267)</f>
        <v>#NAME?</v>
      </c>
      <c r="G611" s="1">
        <v>6.391</v>
      </c>
      <c r="H611" s="1">
        <v>31</v>
      </c>
      <c r="I611" s="1">
        <v>5</v>
      </c>
      <c r="J611" s="1">
        <v>36</v>
      </c>
      <c r="K611" s="1">
        <v>47</v>
      </c>
      <c r="L611" s="1">
        <v>83</v>
      </c>
      <c r="M611" s="1">
        <v>38</v>
      </c>
      <c r="N611" s="1">
        <v>106</v>
      </c>
      <c r="O611" s="1">
        <v>50</v>
      </c>
      <c r="P611" s="1">
        <v>39</v>
      </c>
      <c r="Q611" s="1">
        <v>38</v>
      </c>
      <c r="R611" s="1">
        <v>78</v>
      </c>
      <c r="S611" s="1">
        <v>63</v>
      </c>
    </row>
    <row r="612" spans="1:19">
      <c r="A612" s="1">
        <v>2021</v>
      </c>
      <c r="B612" s="1">
        <v>36</v>
      </c>
      <c r="C612" s="1" t="s">
        <v>129</v>
      </c>
      <c r="D612" s="1" t="e">
        <f t="array" aca="1" ref="D612" ca="1">_xludf.XLOOKUP(C612,'country region mapping'!$A$2:$A$250, 'country region mapping'!$E$2:$E$250)</f>
        <v>#NAME?</v>
      </c>
      <c r="E612" s="1" t="e">
        <f t="array" aca="1" ref="E612" ca="1">_xludf.XLOOKUP(C612,'country region mapping'!$A$2:$A$267,'country region mapping'!$F$2:$F$267)</f>
        <v>#NAME?</v>
      </c>
      <c r="F612" s="1" t="e">
        <f t="array" aca="1" ref="F612" ca="1">_xludf.XLOOKUP(C612,'country region mapping'!$A$2:$A$267,'country region mapping'!$G$2:$G$267)</f>
        <v>#NAME?</v>
      </c>
      <c r="G612" s="1">
        <v>6.3410000000000002</v>
      </c>
      <c r="H612" s="1">
        <v>10</v>
      </c>
      <c r="I612" s="1">
        <v>10</v>
      </c>
      <c r="J612" s="1">
        <v>32</v>
      </c>
      <c r="K612" s="1">
        <v>32</v>
      </c>
      <c r="L612" s="1">
        <v>9</v>
      </c>
      <c r="M612" s="1">
        <v>36</v>
      </c>
      <c r="N612" s="1">
        <v>13</v>
      </c>
      <c r="O612" s="1">
        <v>17</v>
      </c>
      <c r="P612" s="1">
        <v>9</v>
      </c>
      <c r="Q612" s="1">
        <v>36</v>
      </c>
      <c r="R612" s="1">
        <v>75</v>
      </c>
      <c r="S612" s="1">
        <v>86</v>
      </c>
    </row>
    <row r="613" spans="1:19">
      <c r="A613" s="1">
        <v>2021</v>
      </c>
      <c r="B613" s="1">
        <v>37</v>
      </c>
      <c r="C613" s="1" t="s">
        <v>67</v>
      </c>
      <c r="D613" s="1" t="e">
        <f t="array" aca="1" ref="D613" ca="1">_xludf.XLOOKUP(C613,'country region mapping'!$A$2:$A$250, 'country region mapping'!$E$2:$E$250)</f>
        <v>#NAME?</v>
      </c>
      <c r="E613" s="1" t="e">
        <f t="array" aca="1" ref="E613" ca="1">_xludf.XLOOKUP(C613,'country region mapping'!$A$2:$A$267,'country region mapping'!$F$2:$F$267)</f>
        <v>#NAME?</v>
      </c>
      <c r="F613" s="1" t="e">
        <f t="array" aca="1" ref="F613" ca="1">_xludf.XLOOKUP(C613,'country region mapping'!$A$2:$A$267,'country region mapping'!$G$2:$G$267)</f>
        <v>#NAME?</v>
      </c>
      <c r="G613" s="1">
        <v>6.3090000000000002</v>
      </c>
      <c r="H613" s="1">
        <v>95</v>
      </c>
      <c r="I613" s="1">
        <v>31</v>
      </c>
      <c r="J613" s="1">
        <v>44</v>
      </c>
      <c r="K613" s="1">
        <v>33</v>
      </c>
      <c r="L613" s="1">
        <v>62</v>
      </c>
      <c r="M613" s="1">
        <v>90</v>
      </c>
      <c r="N613" s="1">
        <v>93</v>
      </c>
      <c r="O613" s="1">
        <v>1</v>
      </c>
      <c r="P613" s="1">
        <v>26</v>
      </c>
      <c r="Q613" s="1">
        <v>90</v>
      </c>
      <c r="R613" s="1">
        <v>59</v>
      </c>
      <c r="S613" s="1">
        <v>54</v>
      </c>
    </row>
    <row r="614" spans="1:19">
      <c r="A614" s="1">
        <v>2021</v>
      </c>
      <c r="B614" s="1">
        <v>38</v>
      </c>
      <c r="C614" s="1" t="s">
        <v>54</v>
      </c>
      <c r="D614" s="1" t="e">
        <f t="array" aca="1" ref="D614" ca="1">_xludf.XLOOKUP(C614,'country region mapping'!$A$2:$A$250, 'country region mapping'!$E$2:$E$250)</f>
        <v>#NAME?</v>
      </c>
      <c r="E614" s="1" t="e">
        <f t="array" aca="1" ref="E614" ca="1">_xludf.XLOOKUP(C614,'country region mapping'!$A$2:$A$267,'country region mapping'!$F$2:$F$267)</f>
        <v>#NAME?</v>
      </c>
      <c r="F614" s="1" t="e">
        <f t="array" aca="1" ref="F614" ca="1">_xludf.XLOOKUP(C614,'country region mapping'!$A$2:$A$267,'country region mapping'!$G$2:$G$267)</f>
        <v>#NAME?</v>
      </c>
      <c r="G614" s="1">
        <v>6.2930000000000001</v>
      </c>
      <c r="H614" s="1">
        <v>79</v>
      </c>
      <c r="I614" s="1">
        <v>69</v>
      </c>
      <c r="J614" s="1">
        <v>61</v>
      </c>
      <c r="K614" s="1">
        <v>75</v>
      </c>
      <c r="L614" s="1">
        <v>70</v>
      </c>
      <c r="M614" s="1">
        <v>40</v>
      </c>
      <c r="N614" s="1">
        <v>46</v>
      </c>
      <c r="O614" s="1">
        <v>65</v>
      </c>
      <c r="P614" s="1">
        <v>107</v>
      </c>
      <c r="Q614" s="1">
        <v>40</v>
      </c>
      <c r="R614" s="1">
        <v>48</v>
      </c>
      <c r="S614" s="1">
        <v>12</v>
      </c>
    </row>
    <row r="615" spans="1:19">
      <c r="A615" s="1">
        <v>2021</v>
      </c>
      <c r="B615" s="1">
        <v>39</v>
      </c>
      <c r="C615" s="1" t="s">
        <v>86</v>
      </c>
      <c r="D615" s="1" t="e">
        <f t="array" aca="1" ref="D615" ca="1">_xludf.XLOOKUP(C615,'country region mapping'!$A$2:$A$250, 'country region mapping'!$E$2:$E$250)</f>
        <v>#NAME?</v>
      </c>
      <c r="E615" s="1" t="e">
        <f t="array" aca="1" ref="E615" ca="1">_xludf.XLOOKUP(C615,'country region mapping'!$A$2:$A$267,'country region mapping'!$F$2:$F$267)</f>
        <v>#NAME?</v>
      </c>
      <c r="F615" s="1" t="e">
        <f t="array" aca="1" ref="F615" ca="1">_xludf.XLOOKUP(C615,'country region mapping'!$A$2:$A$267,'country region mapping'!$G$2:$G$267)</f>
        <v>#NAME?</v>
      </c>
      <c r="G615" s="1">
        <v>6.2619999999999996</v>
      </c>
      <c r="H615" s="1"/>
      <c r="I615" s="1"/>
      <c r="J615" s="1"/>
      <c r="K615" s="1"/>
      <c r="L615" s="1"/>
      <c r="M615" s="1"/>
      <c r="N615" s="1"/>
      <c r="O615" s="1"/>
      <c r="P615" s="1"/>
      <c r="Q615" s="1"/>
      <c r="S615" s="1"/>
    </row>
    <row r="616" spans="1:19">
      <c r="A616" s="1">
        <v>2021</v>
      </c>
      <c r="B616" s="1">
        <v>40</v>
      </c>
      <c r="C616" s="1" t="s">
        <v>106</v>
      </c>
      <c r="D616" s="1" t="e">
        <f t="array" aca="1" ref="D616" ca="1">_xludf.XLOOKUP(C616,'country region mapping'!$A$2:$A$250, 'country region mapping'!$E$2:$E$250)</f>
        <v>#NAME?</v>
      </c>
      <c r="E616" s="1" t="e">
        <f t="array" aca="1" ref="E616" ca="1">_xludf.XLOOKUP(C616,'country region mapping'!$A$2:$A$267,'country region mapping'!$F$2:$F$267)</f>
        <v>#NAME?</v>
      </c>
      <c r="F616" s="1" t="e">
        <f t="array" aca="1" ref="F616" ca="1">_xludf.XLOOKUP(C616,'country region mapping'!$A$2:$A$267,'country region mapping'!$G$2:$G$267)</f>
        <v>#NAME?</v>
      </c>
      <c r="G616" s="1">
        <v>6.234</v>
      </c>
      <c r="H616" s="1">
        <v>42</v>
      </c>
      <c r="I616" s="1">
        <v>29</v>
      </c>
      <c r="J616" s="1">
        <v>42</v>
      </c>
      <c r="K616" s="1">
        <v>77</v>
      </c>
      <c r="L616" s="1">
        <v>63</v>
      </c>
      <c r="M616" s="1">
        <v>42</v>
      </c>
      <c r="N616" s="1">
        <v>64</v>
      </c>
      <c r="O616" s="1">
        <v>64</v>
      </c>
      <c r="P616" s="1">
        <v>2</v>
      </c>
      <c r="Q616" s="1">
        <v>42</v>
      </c>
      <c r="R616" s="1">
        <v>90</v>
      </c>
      <c r="S616" s="1">
        <v>114</v>
      </c>
    </row>
    <row r="617" spans="1:19">
      <c r="A617" s="1">
        <v>2021</v>
      </c>
      <c r="B617" s="1">
        <v>41</v>
      </c>
      <c r="C617" s="1" t="s">
        <v>124</v>
      </c>
      <c r="D617" s="1" t="e">
        <f t="array" aca="1" ref="D617" ca="1">_xludf.XLOOKUP(C617,'country region mapping'!$A$2:$A$250, 'country region mapping'!$E$2:$E$250)</f>
        <v>#NAME?</v>
      </c>
      <c r="E617" s="1" t="e">
        <f t="array" aca="1" ref="E617" ca="1">_xludf.XLOOKUP(C617,'country region mapping'!$A$2:$A$267,'country region mapping'!$F$2:$F$267)</f>
        <v>#NAME?</v>
      </c>
      <c r="F617" s="1" t="e">
        <f t="array" aca="1" ref="F617" ca="1">_xludf.XLOOKUP(C617,'country region mapping'!$A$2:$A$267,'country region mapping'!$G$2:$G$267)</f>
        <v>#NAME?</v>
      </c>
      <c r="G617" s="1">
        <v>6.2210000000000001</v>
      </c>
      <c r="H617" s="1">
        <v>45</v>
      </c>
      <c r="I617" s="1">
        <v>57</v>
      </c>
      <c r="J617" s="1">
        <v>23</v>
      </c>
      <c r="K617" s="1">
        <v>10</v>
      </c>
      <c r="L617" s="1">
        <v>91</v>
      </c>
      <c r="M617" s="1">
        <v>51</v>
      </c>
      <c r="N617" s="1">
        <v>98</v>
      </c>
      <c r="O617" s="1">
        <v>74</v>
      </c>
      <c r="P617" s="1">
        <v>63</v>
      </c>
      <c r="Q617" s="1">
        <v>51</v>
      </c>
      <c r="R617" s="1">
        <v>67</v>
      </c>
      <c r="S617" s="1">
        <v>66</v>
      </c>
    </row>
    <row r="618" spans="1:19">
      <c r="A618" s="1">
        <v>2021</v>
      </c>
      <c r="B618" s="1">
        <v>42</v>
      </c>
      <c r="C618" s="1" t="s">
        <v>123</v>
      </c>
      <c r="D618" s="1" t="e">
        <f t="array" aca="1" ref="D618" ca="1">_xludf.XLOOKUP(C618,'country region mapping'!$A$2:$A$250, 'country region mapping'!$E$2:$E$250)</f>
        <v>#NAME?</v>
      </c>
      <c r="E618" s="1" t="e">
        <f t="array" aca="1" ref="E618" ca="1">_xludf.XLOOKUP(C618,'country region mapping'!$A$2:$A$267,'country region mapping'!$F$2:$F$267)</f>
        <v>#NAME?</v>
      </c>
      <c r="F618" s="1" t="e">
        <f t="array" aca="1" ref="F618" ca="1">_xludf.XLOOKUP(C618,'country region mapping'!$A$2:$A$267,'country region mapping'!$G$2:$G$267)</f>
        <v>#NAME?</v>
      </c>
      <c r="G618" s="1">
        <v>6.18</v>
      </c>
      <c r="H618" s="1">
        <v>13</v>
      </c>
      <c r="I618" s="1">
        <v>4</v>
      </c>
      <c r="J618" s="1">
        <v>40</v>
      </c>
      <c r="K618" s="1">
        <v>59</v>
      </c>
      <c r="L618" s="1">
        <v>59</v>
      </c>
      <c r="M618" s="1">
        <v>77</v>
      </c>
      <c r="N618" s="1">
        <v>81</v>
      </c>
      <c r="O618" s="1">
        <v>39</v>
      </c>
      <c r="P618" s="1">
        <v>12</v>
      </c>
      <c r="Q618" s="1">
        <v>77</v>
      </c>
      <c r="R618" s="1">
        <v>115</v>
      </c>
      <c r="S618" s="1">
        <v>106</v>
      </c>
    </row>
    <row r="619" spans="1:19">
      <c r="A619" s="1">
        <v>2021</v>
      </c>
      <c r="B619" s="1">
        <v>43</v>
      </c>
      <c r="C619" s="1" t="s">
        <v>145</v>
      </c>
      <c r="D619" s="1" t="e">
        <f t="array" aca="1" ref="D619" ca="1">_xludf.XLOOKUP(C619,'country region mapping'!$A$2:$A$250, 'country region mapping'!$E$2:$E$250)</f>
        <v>#NAME?</v>
      </c>
      <c r="E619" s="1" t="e">
        <f t="array" aca="1" ref="E619" ca="1">_xludf.XLOOKUP(C619,'country region mapping'!$A$2:$A$267,'country region mapping'!$F$2:$F$267)</f>
        <v>#NAME?</v>
      </c>
      <c r="F619" s="1" t="e">
        <f t="array" aca="1" ref="F619" ca="1">_xludf.XLOOKUP(C619,'country region mapping'!$A$2:$A$267,'country region mapping'!$G$2:$G$267)</f>
        <v>#NAME?</v>
      </c>
      <c r="G619" s="1">
        <v>6.1779999999999999</v>
      </c>
      <c r="H619" s="1">
        <v>67</v>
      </c>
      <c r="I619" s="1">
        <v>37</v>
      </c>
      <c r="J619" s="1">
        <v>51</v>
      </c>
      <c r="K619" s="1">
        <v>57</v>
      </c>
      <c r="L619" s="1">
        <v>38</v>
      </c>
      <c r="M619" s="1">
        <v>11</v>
      </c>
      <c r="N619" s="1">
        <v>68</v>
      </c>
      <c r="O619" s="1">
        <v>99</v>
      </c>
      <c r="P619" s="1">
        <v>81</v>
      </c>
      <c r="Q619" s="1">
        <v>11</v>
      </c>
      <c r="R619" s="1">
        <v>118</v>
      </c>
      <c r="S619" s="1">
        <v>40</v>
      </c>
    </row>
    <row r="620" spans="1:19">
      <c r="A620" s="1">
        <v>2021</v>
      </c>
      <c r="B620" s="1">
        <v>44</v>
      </c>
      <c r="C620" s="1" t="s">
        <v>66</v>
      </c>
      <c r="D620" s="1" t="e">
        <f t="array" aca="1" ref="D620" ca="1">_xludf.XLOOKUP(C620,'country region mapping'!$A$2:$A$250, 'country region mapping'!$E$2:$E$250)</f>
        <v>#NAME?</v>
      </c>
      <c r="E620" s="1" t="e">
        <f t="array" aca="1" ref="E620" ca="1">_xludf.XLOOKUP(C620,'country region mapping'!$A$2:$A$267,'country region mapping'!$F$2:$F$267)</f>
        <v>#NAME?</v>
      </c>
      <c r="F620" s="1" t="e">
        <f t="array" aca="1" ref="F620" ca="1">_xludf.XLOOKUP(C620,'country region mapping'!$A$2:$A$267,'country region mapping'!$G$2:$G$267)</f>
        <v>#NAME?</v>
      </c>
      <c r="G620" s="1">
        <v>6.1719999999999997</v>
      </c>
      <c r="H620" s="1">
        <v>33</v>
      </c>
      <c r="I620" s="1">
        <v>36</v>
      </c>
      <c r="J620" s="1">
        <v>48</v>
      </c>
      <c r="K620" s="1">
        <v>28</v>
      </c>
      <c r="L620" s="1">
        <v>64</v>
      </c>
      <c r="M620" s="1">
        <v>67</v>
      </c>
      <c r="N620" s="1">
        <v>92</v>
      </c>
      <c r="O620" s="1">
        <v>29</v>
      </c>
      <c r="P620" s="1">
        <v>27</v>
      </c>
      <c r="Q620" s="1">
        <v>67</v>
      </c>
      <c r="R620" s="1">
        <v>89</v>
      </c>
      <c r="S620" s="1">
        <v>43</v>
      </c>
    </row>
    <row r="621" spans="1:19">
      <c r="A621" s="1">
        <v>2021</v>
      </c>
      <c r="B621" s="1">
        <v>45</v>
      </c>
      <c r="C621" s="1" t="s">
        <v>98</v>
      </c>
      <c r="D621" s="1" t="e">
        <f t="array" aca="1" ref="D621" ca="1">_xludf.XLOOKUP(C621,'country region mapping'!$A$2:$A$250, 'country region mapping'!$E$2:$E$250)</f>
        <v>#NAME?</v>
      </c>
      <c r="E621" s="1" t="e">
        <f t="array" aca="1" ref="E621" ca="1">_xludf.XLOOKUP(C621,'country region mapping'!$A$2:$A$267,'country region mapping'!$F$2:$F$267)</f>
        <v>#NAME?</v>
      </c>
      <c r="F621" s="1" t="e">
        <f t="array" aca="1" ref="F621" ca="1">_xludf.XLOOKUP(C621,'country region mapping'!$A$2:$A$267,'country region mapping'!$G$2:$G$267)</f>
        <v>#NAME?</v>
      </c>
      <c r="G621" s="1">
        <v>6.165</v>
      </c>
      <c r="H621" s="1">
        <v>115</v>
      </c>
      <c r="I621" s="1">
        <v>62</v>
      </c>
      <c r="J621" s="1">
        <v>93</v>
      </c>
      <c r="K621" s="1">
        <v>50</v>
      </c>
      <c r="L621" s="1">
        <v>17</v>
      </c>
      <c r="M621" s="1">
        <v>78</v>
      </c>
      <c r="N621" s="1">
        <v>32</v>
      </c>
      <c r="O621" s="1">
        <v>7</v>
      </c>
      <c r="P621" s="1">
        <v>72</v>
      </c>
      <c r="Q621" s="1">
        <v>78</v>
      </c>
      <c r="R621" s="1">
        <v>30</v>
      </c>
      <c r="S621" s="1">
        <v>53</v>
      </c>
    </row>
    <row r="622" spans="1:19">
      <c r="A622" s="1">
        <v>2021</v>
      </c>
      <c r="B622" s="1">
        <v>46</v>
      </c>
      <c r="C622" s="1" t="s">
        <v>61</v>
      </c>
      <c r="D622" s="1" t="e">
        <f t="array" aca="1" ref="D622" ca="1">_xludf.XLOOKUP(C622,'country region mapping'!$A$2:$A$250, 'country region mapping'!$E$2:$E$250)</f>
        <v>#NAME?</v>
      </c>
      <c r="E622" s="1" t="e">
        <f t="array" aca="1" ref="E622" ca="1">_xludf.XLOOKUP(C622,'country region mapping'!$A$2:$A$267,'country region mapping'!$F$2:$F$267)</f>
        <v>#NAME?</v>
      </c>
      <c r="F622" s="1" t="e">
        <f t="array" aca="1" ref="F622" ca="1">_xludf.XLOOKUP(C622,'country region mapping'!$A$2:$A$267,'country region mapping'!$G$2:$G$267)</f>
        <v>#NAME?</v>
      </c>
      <c r="G622" s="1">
        <v>6.1280000000000001</v>
      </c>
      <c r="H622" s="1">
        <v>65</v>
      </c>
      <c r="I622" s="1">
        <v>84</v>
      </c>
      <c r="J622" s="1">
        <v>55</v>
      </c>
      <c r="K622" s="1">
        <v>79</v>
      </c>
      <c r="L622" s="1">
        <v>44</v>
      </c>
      <c r="M622" s="1">
        <v>69</v>
      </c>
      <c r="N622" s="1">
        <v>50</v>
      </c>
      <c r="O622" s="1">
        <v>21</v>
      </c>
      <c r="P622" s="1">
        <v>76</v>
      </c>
      <c r="Q622" s="1">
        <v>69</v>
      </c>
      <c r="R622" s="1">
        <v>38</v>
      </c>
      <c r="S622" s="1">
        <v>10</v>
      </c>
    </row>
    <row r="623" spans="1:19">
      <c r="A623" s="1">
        <v>2021</v>
      </c>
      <c r="B623" s="1">
        <v>47</v>
      </c>
      <c r="C623" s="1" t="s">
        <v>131</v>
      </c>
      <c r="D623" s="1" t="e">
        <f t="array" aca="1" ref="D623" ca="1">_xludf.XLOOKUP(C623,'country region mapping'!$A$2:$A$250, 'country region mapping'!$E$2:$E$250)</f>
        <v>#NAME?</v>
      </c>
      <c r="E623" s="1" t="e">
        <f t="array" aca="1" ref="E623" ca="1">_xludf.XLOOKUP(C623,'country region mapping'!$A$2:$A$267,'country region mapping'!$F$2:$F$267)</f>
        <v>#NAME?</v>
      </c>
      <c r="F623" s="1" t="e">
        <f t="array" aca="1" ref="F623" ca="1">_xludf.XLOOKUP(C623,'country region mapping'!$A$2:$A$267,'country region mapping'!$G$2:$G$267)</f>
        <v>#NAME?</v>
      </c>
      <c r="G623" s="1">
        <v>6.125</v>
      </c>
      <c r="H623" s="1">
        <v>49</v>
      </c>
      <c r="I623" s="1">
        <v>23</v>
      </c>
      <c r="J623" s="1">
        <v>39</v>
      </c>
      <c r="K623" s="1">
        <v>31</v>
      </c>
      <c r="L623" s="1">
        <v>40</v>
      </c>
      <c r="M623" s="1">
        <v>45</v>
      </c>
      <c r="N623" s="1">
        <v>117</v>
      </c>
      <c r="O623" s="1">
        <v>76</v>
      </c>
      <c r="P623" s="1">
        <v>62</v>
      </c>
      <c r="Q623" s="1">
        <v>45</v>
      </c>
      <c r="R623" s="1">
        <v>111</v>
      </c>
      <c r="S623" s="1">
        <v>67</v>
      </c>
    </row>
    <row r="624" spans="1:19">
      <c r="A624" s="1">
        <v>2021</v>
      </c>
      <c r="B624" s="1">
        <v>48</v>
      </c>
      <c r="C624" s="1" t="s">
        <v>109</v>
      </c>
      <c r="D624" s="1" t="e">
        <f t="array" aca="1" ref="D624" ca="1">_xludf.XLOOKUP(C624,'country region mapping'!$A$2:$A$250, 'country region mapping'!$E$2:$E$250)</f>
        <v>#NAME?</v>
      </c>
      <c r="E624" s="1" t="e">
        <f t="array" aca="1" ref="E624" ca="1">_xludf.XLOOKUP(C624,'country region mapping'!$A$2:$A$267,'country region mapping'!$F$2:$F$267)</f>
        <v>#NAME?</v>
      </c>
      <c r="F624" s="1" t="e">
        <f t="array" aca="1" ref="F624" ca="1">_xludf.XLOOKUP(C624,'country region mapping'!$A$2:$A$267,'country region mapping'!$G$2:$G$267)</f>
        <v>#NAME?</v>
      </c>
      <c r="G624" s="1">
        <v>6.1230000000000002</v>
      </c>
      <c r="H624" s="1">
        <v>28</v>
      </c>
      <c r="I624" s="1">
        <v>12</v>
      </c>
      <c r="J624" s="1">
        <v>33</v>
      </c>
      <c r="K624" s="1">
        <v>40</v>
      </c>
      <c r="L624" s="1">
        <v>85</v>
      </c>
      <c r="M624" s="1">
        <v>27</v>
      </c>
      <c r="N624" s="1">
        <v>49</v>
      </c>
      <c r="O624" s="1">
        <v>43</v>
      </c>
      <c r="P624" s="1">
        <v>67</v>
      </c>
      <c r="Q624" s="1">
        <v>27</v>
      </c>
      <c r="R624" s="1">
        <v>46</v>
      </c>
      <c r="S624" s="1">
        <v>46</v>
      </c>
    </row>
    <row r="625" spans="1:19">
      <c r="A625" s="1">
        <v>2021</v>
      </c>
      <c r="B625" s="1">
        <v>49</v>
      </c>
      <c r="C625" s="1" t="s">
        <v>96</v>
      </c>
      <c r="D625" s="1" t="e">
        <f t="array" aca="1" ref="D625" ca="1">_xludf.XLOOKUP(C625,'country region mapping'!$A$2:$A$250, 'country region mapping'!$E$2:$E$250)</f>
        <v>#NAME?</v>
      </c>
      <c r="E625" s="1" t="e">
        <f t="array" aca="1" ref="E625" ca="1">_xludf.XLOOKUP(C625,'country region mapping'!$A$2:$A$267,'country region mapping'!$F$2:$F$267)</f>
        <v>#NAME?</v>
      </c>
      <c r="F625" s="1" t="e">
        <f t="array" aca="1" ref="F625" ca="1">_xludf.XLOOKUP(C625,'country region mapping'!$A$2:$A$267,'country region mapping'!$G$2:$G$267)</f>
        <v>#NAME?</v>
      </c>
      <c r="G625" s="1">
        <v>6.12</v>
      </c>
      <c r="H625" s="1">
        <v>98</v>
      </c>
      <c r="I625" s="1">
        <v>78</v>
      </c>
      <c r="J625" s="1">
        <v>82</v>
      </c>
      <c r="K625" s="1">
        <v>73</v>
      </c>
      <c r="L625" s="1">
        <v>12</v>
      </c>
      <c r="M625" s="1">
        <v>99</v>
      </c>
      <c r="N625" s="1">
        <v>27</v>
      </c>
      <c r="O625" s="1">
        <v>2</v>
      </c>
      <c r="P625" s="1">
        <v>70</v>
      </c>
      <c r="Q625" s="1">
        <v>99</v>
      </c>
      <c r="R625" s="1">
        <v>41</v>
      </c>
      <c r="S625" s="1">
        <v>73</v>
      </c>
    </row>
    <row r="626" spans="1:19">
      <c r="A626" s="1">
        <v>2021</v>
      </c>
      <c r="B626" s="1">
        <v>50</v>
      </c>
      <c r="C626" s="1" t="s">
        <v>88</v>
      </c>
      <c r="D626" s="1" t="e">
        <f t="array" aca="1" ref="D626" ca="1">_xludf.XLOOKUP(C626,'country region mapping'!$A$2:$A$250, 'country region mapping'!$E$2:$E$250)</f>
        <v>#NAME?</v>
      </c>
      <c r="E626" s="1" t="e">
        <f t="array" aca="1" ref="E626" ca="1">_xludf.XLOOKUP(C626,'country region mapping'!$A$2:$A$267,'country region mapping'!$F$2:$F$267)</f>
        <v>#NAME?</v>
      </c>
      <c r="F626" s="1" t="e">
        <f t="array" aca="1" ref="F626" ca="1">_xludf.XLOOKUP(C626,'country region mapping'!$A$2:$A$267,'country region mapping'!$G$2:$G$267)</f>
        <v>#NAME?</v>
      </c>
      <c r="G626" s="1">
        <v>6.1059999999999999</v>
      </c>
      <c r="H626" s="1"/>
      <c r="I626" s="1"/>
      <c r="J626" s="1"/>
      <c r="K626" s="1"/>
      <c r="L626" s="1"/>
      <c r="M626" s="1"/>
      <c r="N626" s="1"/>
      <c r="O626" s="1"/>
      <c r="S626" s="1"/>
    </row>
    <row r="627" spans="1:19">
      <c r="A627" s="1">
        <v>2021</v>
      </c>
      <c r="B627" s="1">
        <v>51</v>
      </c>
      <c r="C627" s="1" t="s">
        <v>151</v>
      </c>
      <c r="D627" s="1" t="e">
        <f t="array" aca="1" ref="D627" ca="1">_xludf.XLOOKUP(C627,'country region mapping'!$A$2:$A$250, 'country region mapping'!$E$2:$E$250)</f>
        <v>#NAME?</v>
      </c>
      <c r="E627" s="1" t="e">
        <f t="array" aca="1" ref="E627" ca="1">_xludf.XLOOKUP(C627,'country region mapping'!$A$2:$A$267,'country region mapping'!$F$2:$F$267)</f>
        <v>#NAME?</v>
      </c>
      <c r="F627" s="1" t="e">
        <f t="array" aca="1" ref="F627" ca="1">_xludf.XLOOKUP(C627,'country region mapping'!$A$2:$A$267,'country region mapping'!$G$2:$G$267)</f>
        <v>#NAME?</v>
      </c>
      <c r="G627" s="1">
        <v>6.0860000000000003</v>
      </c>
      <c r="H627" s="1">
        <v>36</v>
      </c>
      <c r="I627" s="1">
        <v>8</v>
      </c>
      <c r="J627" s="1">
        <v>37</v>
      </c>
      <c r="K627" s="1">
        <v>48</v>
      </c>
      <c r="L627" s="1">
        <v>88</v>
      </c>
      <c r="M627" s="1">
        <v>59</v>
      </c>
      <c r="N627" s="1">
        <v>79</v>
      </c>
      <c r="O627" s="1">
        <v>59</v>
      </c>
      <c r="P627" s="1">
        <v>18</v>
      </c>
      <c r="Q627" s="1">
        <v>59</v>
      </c>
      <c r="R627" s="1">
        <v>104</v>
      </c>
      <c r="S627" s="1">
        <v>19</v>
      </c>
    </row>
    <row r="628" spans="1:19">
      <c r="A628" s="1">
        <v>2021</v>
      </c>
      <c r="B628" s="1">
        <v>52</v>
      </c>
      <c r="C628" s="1" t="s">
        <v>121</v>
      </c>
      <c r="D628" s="1" t="e">
        <f t="array" aca="1" ref="D628" ca="1">_xludf.XLOOKUP(C628,'country region mapping'!$A$2:$A$250, 'country region mapping'!$E$2:$E$250)</f>
        <v>#NAME?</v>
      </c>
      <c r="E628" s="1" t="e">
        <f t="array" aca="1" ref="E628" ca="1">_xludf.XLOOKUP(C628,'country region mapping'!$A$2:$A$267,'country region mapping'!$F$2:$F$267)</f>
        <v>#NAME?</v>
      </c>
      <c r="F628" s="1" t="e">
        <f t="array" aca="1" ref="F628" ca="1">_xludf.XLOOKUP(C628,'country region mapping'!$A$2:$A$267,'country region mapping'!$G$2:$G$267)</f>
        <v>#NAME?</v>
      </c>
      <c r="G628" s="1">
        <v>6.0709999999999997</v>
      </c>
      <c r="H628" s="1">
        <v>53</v>
      </c>
      <c r="I628" s="1">
        <v>38</v>
      </c>
      <c r="J628" s="1">
        <v>52</v>
      </c>
      <c r="K628" s="1">
        <v>61</v>
      </c>
      <c r="L628" s="1">
        <v>65</v>
      </c>
      <c r="M628" s="1">
        <v>61</v>
      </c>
      <c r="N628" s="1">
        <v>66</v>
      </c>
      <c r="O628" s="1">
        <v>63</v>
      </c>
      <c r="P628" s="1">
        <v>4</v>
      </c>
      <c r="Q628" s="1">
        <v>61</v>
      </c>
      <c r="R628" s="1">
        <v>49</v>
      </c>
      <c r="S628" s="1">
        <v>92</v>
      </c>
    </row>
    <row r="629" spans="1:19">
      <c r="A629" s="1">
        <v>2021</v>
      </c>
      <c r="B629" s="1">
        <v>53</v>
      </c>
      <c r="C629" s="1" t="s">
        <v>99</v>
      </c>
      <c r="D629" s="1" t="e">
        <f t="array" aca="1" ref="D629" ca="1">_xludf.XLOOKUP(C629,'country region mapping'!$A$2:$A$250, 'country region mapping'!$E$2:$E$250)</f>
        <v>#NAME?</v>
      </c>
      <c r="E629" s="1" t="e">
        <f t="array" aca="1" ref="E629" ca="1">_xludf.XLOOKUP(C629,'country region mapping'!$A$2:$A$267,'country region mapping'!$F$2:$F$267)</f>
        <v>#NAME?</v>
      </c>
      <c r="F629" s="1" t="e">
        <f t="array" aca="1" ref="F629" ca="1">_xludf.XLOOKUP(C629,'country region mapping'!$A$2:$A$267,'country region mapping'!$G$2:$G$267)</f>
        <v>#NAME?</v>
      </c>
      <c r="G629" s="1">
        <v>6.0629999999999997</v>
      </c>
      <c r="H629" s="1">
        <v>81</v>
      </c>
      <c r="I629" s="1">
        <v>34</v>
      </c>
      <c r="J629" s="1">
        <v>86</v>
      </c>
      <c r="K629" s="1">
        <v>65</v>
      </c>
      <c r="L629" s="1">
        <v>7</v>
      </c>
      <c r="M629" s="1">
        <v>32</v>
      </c>
      <c r="N629" s="1">
        <v>26</v>
      </c>
      <c r="O629" s="1">
        <v>47</v>
      </c>
      <c r="P629" s="1">
        <v>33</v>
      </c>
      <c r="Q629" s="1">
        <v>32</v>
      </c>
      <c r="R629" s="1">
        <v>94</v>
      </c>
      <c r="S629" s="1">
        <v>90</v>
      </c>
    </row>
    <row r="630" spans="1:19">
      <c r="A630" s="1">
        <v>2021</v>
      </c>
      <c r="B630" s="1">
        <v>54</v>
      </c>
      <c r="C630" s="1" t="s">
        <v>104</v>
      </c>
      <c r="D630" s="1" t="e">
        <f t="array" aca="1" ref="D630" ca="1">_xludf.XLOOKUP(C630,'country region mapping'!$A$2:$A$250, 'country region mapping'!$E$2:$E$250)</f>
        <v>#NAME?</v>
      </c>
      <c r="E630" s="1" t="e">
        <f t="array" aca="1" ref="E630" ca="1">_xludf.XLOOKUP(C630,'country region mapping'!$A$2:$A$267,'country region mapping'!$F$2:$F$267)</f>
        <v>#NAME?</v>
      </c>
      <c r="F630" s="1" t="e">
        <f t="array" aca="1" ref="F630" ca="1">_xludf.XLOOKUP(C630,'country region mapping'!$A$2:$A$267,'country region mapping'!$G$2:$G$267)</f>
        <v>#NAME?</v>
      </c>
      <c r="G630" s="1">
        <v>6.0389999999999997</v>
      </c>
      <c r="H630" s="1">
        <v>41</v>
      </c>
      <c r="I630" s="1">
        <v>33</v>
      </c>
      <c r="J630" s="1">
        <v>30</v>
      </c>
      <c r="K630" s="1">
        <v>2</v>
      </c>
      <c r="L630" s="1">
        <v>66</v>
      </c>
      <c r="M630" s="1">
        <v>106</v>
      </c>
      <c r="N630" s="1">
        <v>30</v>
      </c>
      <c r="O630" s="1">
        <v>57</v>
      </c>
      <c r="P630" s="1">
        <v>14</v>
      </c>
      <c r="Q630" s="1">
        <v>106</v>
      </c>
      <c r="R630" s="1">
        <v>86</v>
      </c>
      <c r="S630" s="1">
        <v>121</v>
      </c>
    </row>
    <row r="631" spans="1:19">
      <c r="A631" s="1">
        <v>2021</v>
      </c>
      <c r="B631" s="1">
        <v>55</v>
      </c>
      <c r="C631" s="1" t="s">
        <v>167</v>
      </c>
      <c r="D631" s="1" t="e">
        <f t="array" aca="1" ref="D631" ca="1">_xludf.XLOOKUP(C631,'country region mapping'!$A$2:$A$250, 'country region mapping'!$E$2:$E$250)</f>
        <v>#NAME?</v>
      </c>
      <c r="E631" s="1" t="e">
        <f t="array" aca="1" ref="E631" ca="1">_xludf.XLOOKUP(C631,'country region mapping'!$A$2:$A$267,'country region mapping'!$F$2:$F$267)</f>
        <v>#NAME?</v>
      </c>
      <c r="F631" s="1" t="e">
        <f t="array" aca="1" ref="F631" ca="1">_xludf.XLOOKUP(C631,'country region mapping'!$A$2:$A$267,'country region mapping'!$G$2:$G$267)</f>
        <v>#NAME?</v>
      </c>
      <c r="G631" s="1">
        <v>6.0220000000000002</v>
      </c>
      <c r="H631" s="1">
        <v>111</v>
      </c>
      <c r="I631" s="1">
        <v>75</v>
      </c>
      <c r="J631" s="1">
        <v>97</v>
      </c>
      <c r="K631" s="1">
        <v>90</v>
      </c>
      <c r="L631" s="1">
        <v>47</v>
      </c>
      <c r="M631" s="1">
        <v>49</v>
      </c>
      <c r="N631" s="1">
        <v>86</v>
      </c>
      <c r="O631" s="1">
        <v>4</v>
      </c>
      <c r="P631" s="1">
        <v>59</v>
      </c>
      <c r="Q631" s="1">
        <v>49</v>
      </c>
      <c r="R631" s="1">
        <v>18</v>
      </c>
      <c r="S631" s="1">
        <v>38</v>
      </c>
    </row>
    <row r="632" spans="1:19">
      <c r="A632" s="1">
        <v>2021</v>
      </c>
      <c r="B632" s="1">
        <v>56</v>
      </c>
      <c r="C632" s="1" t="s">
        <v>155</v>
      </c>
      <c r="D632" s="1" t="e">
        <f t="array" aca="1" ref="D632" ca="1">_xludf.XLOOKUP(C632,'country region mapping'!$A$2:$A$250, 'country region mapping'!$E$2:$E$250)</f>
        <v>#NAME?</v>
      </c>
      <c r="E632" s="1" t="e">
        <f t="array" aca="1" ref="E632" ca="1">_xludf.XLOOKUP(C632,'country region mapping'!$A$2:$A$267,'country region mapping'!$F$2:$F$267)</f>
        <v>#NAME?</v>
      </c>
      <c r="F632" s="1" t="e">
        <f t="array" aca="1" ref="F632" ca="1">_xludf.XLOOKUP(C632,'country region mapping'!$A$2:$A$267,'country region mapping'!$G$2:$G$267)</f>
        <v>#NAME?</v>
      </c>
      <c r="G632" s="1">
        <v>6.016</v>
      </c>
      <c r="H632" s="1">
        <v>40</v>
      </c>
      <c r="I632" s="1">
        <v>35</v>
      </c>
      <c r="J632" s="1">
        <v>35</v>
      </c>
      <c r="K632" s="1">
        <v>22</v>
      </c>
      <c r="L632" s="1">
        <v>23</v>
      </c>
      <c r="M632" s="1">
        <v>108</v>
      </c>
      <c r="N632" s="1">
        <v>96</v>
      </c>
      <c r="O632" s="1">
        <v>82</v>
      </c>
      <c r="P632" s="1">
        <v>69</v>
      </c>
      <c r="Q632" s="1">
        <v>108</v>
      </c>
      <c r="R632" s="1">
        <v>117</v>
      </c>
      <c r="S632" s="1">
        <v>100</v>
      </c>
    </row>
    <row r="633" spans="1:19">
      <c r="A633" s="1">
        <v>2021</v>
      </c>
      <c r="B633" s="1">
        <v>57</v>
      </c>
      <c r="C633" s="1" t="s">
        <v>69</v>
      </c>
      <c r="D633" s="1" t="e">
        <f t="array" aca="1" ref="D633" ca="1">_xludf.XLOOKUP(C633,'country region mapping'!$A$2:$A$250, 'country region mapping'!$E$2:$E$250)</f>
        <v>#NAME?</v>
      </c>
      <c r="E633" s="1" t="e">
        <f t="array" aca="1" ref="E633" ca="1">_xludf.XLOOKUP(C633,'country region mapping'!$A$2:$A$267,'country region mapping'!$F$2:$F$267)</f>
        <v>#NAME?</v>
      </c>
      <c r="F633" s="1" t="e">
        <f t="array" aca="1" ref="F633" ca="1">_xludf.XLOOKUP(C633,'country region mapping'!$A$2:$A$267,'country region mapping'!$G$2:$G$267)</f>
        <v>#NAME?</v>
      </c>
      <c r="G633" s="1">
        <v>5.9669999999999996</v>
      </c>
      <c r="H633" s="1">
        <v>59</v>
      </c>
      <c r="I633" s="1">
        <v>43</v>
      </c>
      <c r="J633" s="1">
        <v>49</v>
      </c>
      <c r="K633" s="1">
        <v>49</v>
      </c>
      <c r="L633" s="1">
        <v>55</v>
      </c>
      <c r="M633" s="1">
        <v>60</v>
      </c>
      <c r="N633" s="1">
        <v>72</v>
      </c>
      <c r="O633" s="1">
        <v>53</v>
      </c>
      <c r="P633" s="1">
        <v>92</v>
      </c>
      <c r="Q633" s="1">
        <v>60</v>
      </c>
      <c r="R633" s="1">
        <v>25</v>
      </c>
      <c r="S633" s="1">
        <v>11</v>
      </c>
    </row>
    <row r="634" spans="1:19">
      <c r="A634" s="1">
        <v>2021</v>
      </c>
      <c r="B634" s="1">
        <v>58</v>
      </c>
      <c r="C634" s="1" t="s">
        <v>160</v>
      </c>
      <c r="D634" s="1" t="e">
        <f t="array" aca="1" ref="D634" ca="1">_xludf.XLOOKUP(C634,'country region mapping'!$A$2:$A$250, 'country region mapping'!$E$2:$E$250)</f>
        <v>#NAME?</v>
      </c>
      <c r="E634" s="1" t="e">
        <f t="array" aca="1" ref="E634" ca="1">_xludf.XLOOKUP(C634,'country region mapping'!$A$2:$A$267,'country region mapping'!$F$2:$F$267)</f>
        <v>#NAME?</v>
      </c>
      <c r="F634" s="1" t="e">
        <f t="array" aca="1" ref="F634" ca="1">_xludf.XLOOKUP(C634,'country region mapping'!$A$2:$A$267,'country region mapping'!$G$2:$G$267)</f>
        <v>#NAME?</v>
      </c>
      <c r="G634" s="1">
        <v>5.9480000000000004</v>
      </c>
      <c r="H634" s="1">
        <v>37</v>
      </c>
      <c r="I634" s="1">
        <v>59</v>
      </c>
      <c r="J634" s="1">
        <v>41</v>
      </c>
      <c r="K634" s="1">
        <v>27</v>
      </c>
      <c r="L634" s="1">
        <v>117</v>
      </c>
      <c r="M634" s="1">
        <v>97</v>
      </c>
      <c r="N634" s="1">
        <v>52</v>
      </c>
      <c r="O634" s="1">
        <v>85</v>
      </c>
      <c r="P634" s="1">
        <v>80</v>
      </c>
      <c r="Q634" s="1">
        <v>97</v>
      </c>
      <c r="R634" s="1">
        <v>85</v>
      </c>
      <c r="S634" s="1">
        <v>81</v>
      </c>
    </row>
    <row r="635" spans="1:19">
      <c r="A635" s="1">
        <v>2021</v>
      </c>
      <c r="B635" s="1">
        <v>59</v>
      </c>
      <c r="C635" s="1" t="s">
        <v>110</v>
      </c>
      <c r="D635" s="1" t="e">
        <f t="array" aca="1" ref="D635" ca="1">_xludf.XLOOKUP(C635,'country region mapping'!$A$2:$A$267,'country region mapping'!$E$2:$E$267)</f>
        <v>#NAME?</v>
      </c>
      <c r="E635" s="1" t="e">
        <f t="array" aca="1" ref="E635" ca="1">_xludf.XLOOKUP(C635,'country region mapping'!$A$2:$A$267,'country region mapping'!$F$2:$F$267)</f>
        <v>#NAME?</v>
      </c>
      <c r="F635" s="1" t="e">
        <f t="array" aca="1" ref="F635" ca="1">_xludf.XLOOKUP(C635,'country region mapping'!$A$2:$A$267,'country region mapping'!$G$2:$G$267)</f>
        <v>#NAME?</v>
      </c>
      <c r="G635" s="1">
        <v>5.9349999999999996</v>
      </c>
      <c r="H635" s="1">
        <v>39</v>
      </c>
      <c r="I635" s="1">
        <v>72</v>
      </c>
      <c r="J635" s="1">
        <v>24</v>
      </c>
      <c r="K635" s="1">
        <v>3</v>
      </c>
      <c r="L635" s="1">
        <v>93</v>
      </c>
      <c r="M635" s="1">
        <v>48</v>
      </c>
      <c r="N635" s="1">
        <v>35</v>
      </c>
      <c r="O635" s="1">
        <v>101</v>
      </c>
      <c r="P635" s="1">
        <v>28</v>
      </c>
      <c r="Q635" s="1">
        <v>48</v>
      </c>
      <c r="R635" s="1">
        <v>92</v>
      </c>
      <c r="S635" s="1">
        <v>98</v>
      </c>
    </row>
    <row r="636" spans="1:19">
      <c r="A636" s="1">
        <v>2021</v>
      </c>
      <c r="B636" s="1">
        <v>60</v>
      </c>
      <c r="C636" s="1" t="s">
        <v>141</v>
      </c>
      <c r="D636" s="1" t="e">
        <f t="array" aca="1" ref="D636" ca="1">_xludf.XLOOKUP(C636,'country region mapping'!$A$2:$A$250, 'country region mapping'!$E$2:$E$250)</f>
        <v>#NAME?</v>
      </c>
      <c r="E636" s="1" t="e">
        <f t="array" aca="1" ref="E636" ca="1">_xludf.XLOOKUP(C636,'country region mapping'!$A$2:$A$267,'country region mapping'!$F$2:$F$267)</f>
        <v>#NAME?</v>
      </c>
      <c r="F636" s="1" t="e">
        <f t="array" aca="1" ref="F636" ca="1">_xludf.XLOOKUP(C636,'country region mapping'!$A$2:$A$267,'country region mapping'!$G$2:$G$267)</f>
        <v>#NAME?</v>
      </c>
      <c r="G636" s="1">
        <v>5.9039999999999999</v>
      </c>
      <c r="H636" s="1">
        <v>56</v>
      </c>
      <c r="I636" s="1">
        <v>85</v>
      </c>
      <c r="J636" s="1">
        <v>88</v>
      </c>
      <c r="K636" s="1">
        <v>93</v>
      </c>
      <c r="L636" s="1">
        <v>16</v>
      </c>
      <c r="M636" s="1">
        <v>82</v>
      </c>
      <c r="N636" s="1">
        <v>40</v>
      </c>
      <c r="O636" s="1">
        <v>10</v>
      </c>
      <c r="P636" s="1">
        <v>85</v>
      </c>
      <c r="Q636" s="1">
        <v>82</v>
      </c>
      <c r="R636" s="1">
        <v>6</v>
      </c>
      <c r="S636" s="1">
        <v>15</v>
      </c>
    </row>
    <row r="637" spans="1:19">
      <c r="A637" s="1">
        <v>2021</v>
      </c>
      <c r="B637" s="1">
        <v>61</v>
      </c>
      <c r="C637" s="1" t="s">
        <v>78</v>
      </c>
      <c r="D637" s="1" t="e">
        <f t="array" aca="1" ref="D637" ca="1">_xludf.XLOOKUP(C637,'country region mapping'!$A$2:$A$250, 'country region mapping'!$E$2:$E$250)</f>
        <v>#NAME?</v>
      </c>
      <c r="E637" s="1" t="e">
        <f t="array" aca="1" ref="E637" ca="1">_xludf.XLOOKUP(C637,'country region mapping'!$A$2:$A$267,'country region mapping'!$F$2:$F$267)</f>
        <v>#NAME?</v>
      </c>
      <c r="F637" s="1" t="e">
        <f t="array" aca="1" ref="F637" ca="1">_xludf.XLOOKUP(C637,'country region mapping'!$A$2:$A$267,'country region mapping'!$G$2:$G$267)</f>
        <v>#NAME?</v>
      </c>
      <c r="G637" s="1">
        <v>5.891</v>
      </c>
      <c r="H637" s="1">
        <v>88</v>
      </c>
      <c r="I637" s="1">
        <v>42</v>
      </c>
      <c r="J637" s="1">
        <v>57</v>
      </c>
      <c r="K637" s="1">
        <v>37</v>
      </c>
      <c r="L637" s="1">
        <v>46</v>
      </c>
      <c r="M637" s="1">
        <v>8</v>
      </c>
      <c r="N637" s="1">
        <v>118</v>
      </c>
      <c r="O637" s="1">
        <v>37</v>
      </c>
      <c r="P637" s="1">
        <v>74</v>
      </c>
      <c r="Q637" s="1">
        <v>8</v>
      </c>
      <c r="R637" s="1">
        <v>77</v>
      </c>
      <c r="S637" s="1">
        <v>59</v>
      </c>
    </row>
    <row r="638" spans="1:19">
      <c r="A638" s="1">
        <v>2021</v>
      </c>
      <c r="B638" s="1">
        <v>62</v>
      </c>
      <c r="C638" s="1" t="s">
        <v>285</v>
      </c>
      <c r="D638" s="1" t="e">
        <f t="array" aca="1" ref="D638" ca="1">_xludf.XLOOKUP(C638,'country region mapping'!$A$2:$A$267,'country region mapping'!$E$2:$E$267)</f>
        <v>#NAME?</v>
      </c>
      <c r="E638" s="1" t="e">
        <f t="array" aca="1" ref="E638" ca="1">_xludf.XLOOKUP(C638,'country region mapping'!$A$2:$A$267,'country region mapping'!$F$2:$F$267)</f>
        <v>#NAME?</v>
      </c>
      <c r="F638" s="1" t="e">
        <f t="array" aca="1" ref="F638" ca="1">_xludf.XLOOKUP(C638,'country region mapping'!$A$2:$A$267,'country region mapping'!$G$2:$G$267)</f>
        <v>#NAME?</v>
      </c>
      <c r="G638" s="1">
        <v>5.8570000000000002</v>
      </c>
      <c r="H638" s="1">
        <v>51</v>
      </c>
      <c r="I638" s="1">
        <v>44</v>
      </c>
      <c r="J638" s="1">
        <v>66</v>
      </c>
      <c r="K638" s="1">
        <v>81</v>
      </c>
      <c r="L638" s="1">
        <v>48</v>
      </c>
      <c r="M638" s="1">
        <v>95</v>
      </c>
      <c r="N638" s="1">
        <v>97</v>
      </c>
      <c r="O638" s="1">
        <v>81</v>
      </c>
      <c r="P638" s="1">
        <v>60</v>
      </c>
      <c r="Q638" s="1">
        <v>95</v>
      </c>
      <c r="R638" s="1">
        <v>103</v>
      </c>
      <c r="S638" s="1">
        <v>39</v>
      </c>
    </row>
    <row r="639" spans="1:19">
      <c r="A639" s="1">
        <v>2021</v>
      </c>
      <c r="B639" s="1">
        <v>63</v>
      </c>
      <c r="C639" s="1" t="s">
        <v>130</v>
      </c>
      <c r="D639" s="1" t="e">
        <f t="array" aca="1" ref="D639" ca="1">_xludf.XLOOKUP(C639,'country region mapping'!$A$2:$A$250, 'country region mapping'!$E$2:$E$250)</f>
        <v>#NAME?</v>
      </c>
      <c r="E639" s="1" t="e">
        <f t="array" aca="1" ref="E639" ca="1">_xludf.XLOOKUP(C639,'country region mapping'!$A$2:$A$267,'country region mapping'!$F$2:$F$267)</f>
        <v>#NAME?</v>
      </c>
      <c r="F639" s="1" t="e">
        <f t="array" aca="1" ref="F639" ca="1">_xludf.XLOOKUP(C639,'country region mapping'!$A$2:$A$267,'country region mapping'!$G$2:$G$267)</f>
        <v>#NAME?</v>
      </c>
      <c r="G639" s="1">
        <v>5.85</v>
      </c>
      <c r="H639" s="1">
        <v>102</v>
      </c>
      <c r="I639" s="1">
        <v>54</v>
      </c>
      <c r="J639" s="1">
        <v>84</v>
      </c>
      <c r="K639" s="1">
        <v>76</v>
      </c>
      <c r="L639" s="1">
        <v>86</v>
      </c>
      <c r="M639" s="1">
        <v>98</v>
      </c>
      <c r="N639" s="1">
        <v>101</v>
      </c>
      <c r="O639" s="1">
        <v>51</v>
      </c>
      <c r="P639" s="1">
        <v>79</v>
      </c>
      <c r="Q639" s="1">
        <v>98</v>
      </c>
      <c r="R639" s="1">
        <v>9</v>
      </c>
      <c r="S639" s="1">
        <v>3</v>
      </c>
    </row>
    <row r="640" spans="1:19">
      <c r="A640" s="1">
        <v>2021</v>
      </c>
      <c r="B640" s="1">
        <v>64</v>
      </c>
      <c r="C640" s="1" t="s">
        <v>144</v>
      </c>
      <c r="D640" s="1" t="e">
        <f t="array" aca="1" ref="D640" ca="1">_xludf.XLOOKUP(C640,'country region mapping'!$A$2:$A$250, 'country region mapping'!$E$2:$E$250)</f>
        <v>#NAME?</v>
      </c>
      <c r="E640" s="1" t="e">
        <f t="array" aca="1" ref="E640" ca="1">_xludf.XLOOKUP(C640,'country region mapping'!$A$2:$A$267,'country region mapping'!$F$2:$F$267)</f>
        <v>#NAME?</v>
      </c>
      <c r="F640" s="1" t="e">
        <f t="array" aca="1" ref="F640" ca="1">_xludf.XLOOKUP(C640,'country region mapping'!$A$2:$A$267,'country region mapping'!$G$2:$G$267)</f>
        <v>#NAME?</v>
      </c>
      <c r="G640" s="1">
        <v>5.8280000000000003</v>
      </c>
      <c r="H640" s="1">
        <v>22</v>
      </c>
      <c r="I640" s="1">
        <v>30</v>
      </c>
      <c r="J640" s="1">
        <v>99</v>
      </c>
      <c r="K640" s="1">
        <v>64</v>
      </c>
      <c r="L640" s="1">
        <v>11</v>
      </c>
      <c r="M640" s="1">
        <v>35</v>
      </c>
      <c r="N640" s="1">
        <v>110</v>
      </c>
      <c r="O640" s="1">
        <v>66</v>
      </c>
      <c r="P640" s="1">
        <v>30</v>
      </c>
      <c r="Q640" s="1">
        <v>35</v>
      </c>
      <c r="R640" s="1">
        <v>66</v>
      </c>
      <c r="S640" s="1">
        <v>49</v>
      </c>
    </row>
    <row r="641" spans="1:19">
      <c r="A641" s="1">
        <v>2021</v>
      </c>
      <c r="B641" s="1">
        <v>65</v>
      </c>
      <c r="C641" s="1" t="s">
        <v>115</v>
      </c>
      <c r="D641" s="1" t="e">
        <f t="array" aca="1" ref="D641" ca="1">_xludf.XLOOKUP(C641,'country region mapping'!$A$2:$A$250, 'country region mapping'!$E$2:$E$250)</f>
        <v>#NAME?</v>
      </c>
      <c r="E641" s="1" t="e">
        <f t="array" aca="1" ref="E641" ca="1">_xludf.XLOOKUP(C641,'country region mapping'!$A$2:$A$267,'country region mapping'!$F$2:$F$267)</f>
        <v>#NAME?</v>
      </c>
      <c r="F641" s="1" t="e">
        <f t="array" aca="1" ref="F641" ca="1">_xludf.XLOOKUP(C641,'country region mapping'!$A$2:$A$267,'country region mapping'!$G$2:$G$267)</f>
        <v>#NAME?</v>
      </c>
      <c r="G641" s="1">
        <v>5.8209999999999997</v>
      </c>
      <c r="H641" s="1"/>
      <c r="I641" s="1"/>
      <c r="J641" s="1"/>
      <c r="K641" s="1"/>
      <c r="L641" s="1"/>
      <c r="M641" s="1"/>
      <c r="N641" s="1"/>
      <c r="O641" s="1"/>
      <c r="P641" s="1"/>
      <c r="Q641" s="1"/>
      <c r="S641" s="1"/>
    </row>
    <row r="642" spans="1:19">
      <c r="A642" s="1">
        <v>2021</v>
      </c>
      <c r="B642" s="1">
        <v>66</v>
      </c>
      <c r="C642" s="1" t="s">
        <v>75</v>
      </c>
      <c r="D642" s="1" t="e">
        <f t="array" aca="1" ref="D642" ca="1">_xludf.XLOOKUP(C642,'country region mapping'!$A$2:$A$250, 'country region mapping'!$E$2:$E$250)</f>
        <v>#NAME?</v>
      </c>
      <c r="E642" s="1" t="e">
        <f t="array" aca="1" ref="E642" ca="1">_xludf.XLOOKUP(C642,'country region mapping'!$A$2:$A$267,'country region mapping'!$F$2:$F$267)</f>
        <v>#NAME?</v>
      </c>
      <c r="F642" s="1" t="e">
        <f t="array" aca="1" ref="F642" ca="1">_xludf.XLOOKUP(C642,'country region mapping'!$A$2:$A$267,'country region mapping'!$G$2:$G$267)</f>
        <v>#NAME?</v>
      </c>
      <c r="G642" s="1">
        <v>5.7809999999999997</v>
      </c>
      <c r="H642" s="1">
        <v>86</v>
      </c>
      <c r="I642" s="1">
        <v>81</v>
      </c>
      <c r="J642" s="1">
        <v>63</v>
      </c>
      <c r="K642" s="1">
        <v>44</v>
      </c>
      <c r="L642" s="1">
        <v>74</v>
      </c>
      <c r="M642" s="1">
        <v>83</v>
      </c>
      <c r="N642" s="1">
        <v>78</v>
      </c>
      <c r="O642" s="1">
        <v>19</v>
      </c>
      <c r="P642" s="1">
        <v>94</v>
      </c>
      <c r="Q642" s="1">
        <v>83</v>
      </c>
      <c r="R642" s="1">
        <v>51</v>
      </c>
      <c r="S642" s="1">
        <v>9</v>
      </c>
    </row>
    <row r="643" spans="1:19">
      <c r="A643" s="1">
        <v>2021</v>
      </c>
      <c r="B643" s="1">
        <v>67</v>
      </c>
      <c r="C643" s="1" t="s">
        <v>146</v>
      </c>
      <c r="D643" s="1" t="e">
        <f t="array" aca="1" ref="D643" ca="1">_xludf.XLOOKUP(C643,'country region mapping'!$A$2:$A$250, 'country region mapping'!$E$2:$E$250)</f>
        <v>#NAME?</v>
      </c>
      <c r="E643" s="1" t="e">
        <f t="array" aca="1" ref="E643" ca="1">_xludf.XLOOKUP(C643,'country region mapping'!$A$2:$A$267,'country region mapping'!$F$2:$F$267)</f>
        <v>#NAME?</v>
      </c>
      <c r="F643" s="1" t="e">
        <f t="array" aca="1" ref="F643" ca="1">_xludf.XLOOKUP(C643,'country region mapping'!$A$2:$A$267,'country region mapping'!$G$2:$G$267)</f>
        <v>#NAME?</v>
      </c>
      <c r="G643" s="1">
        <v>5.7679999999999998</v>
      </c>
      <c r="H643" s="1">
        <v>73</v>
      </c>
      <c r="I643" s="1">
        <v>52</v>
      </c>
      <c r="J643" s="1">
        <v>60</v>
      </c>
      <c r="K643" s="1">
        <v>46</v>
      </c>
      <c r="L643" s="1">
        <v>80</v>
      </c>
      <c r="M643" s="1">
        <v>12</v>
      </c>
      <c r="N643" s="1">
        <v>113</v>
      </c>
      <c r="O643" s="1">
        <v>90</v>
      </c>
      <c r="P643" s="1">
        <v>77</v>
      </c>
      <c r="Q643" s="1">
        <v>12</v>
      </c>
      <c r="R643" s="1">
        <v>113</v>
      </c>
      <c r="S643" s="1">
        <v>68</v>
      </c>
    </row>
    <row r="644" spans="1:19">
      <c r="A644" s="1">
        <v>2021</v>
      </c>
      <c r="B644" s="1">
        <v>68</v>
      </c>
      <c r="C644" s="1" t="s">
        <v>163</v>
      </c>
      <c r="D644" s="1" t="e">
        <f t="array" aca="1" ref="D644" ca="1">_xludf.XLOOKUP(C644,'country region mapping'!$A$2:$A$250, 'country region mapping'!$E$2:$E$250)</f>
        <v>#NAME?</v>
      </c>
      <c r="E644" s="1" t="e">
        <f t="array" aca="1" ref="E644" ca="1">_xludf.XLOOKUP(C644,'country region mapping'!$A$2:$A$267,'country region mapping'!$F$2:$F$267)</f>
        <v>#NAME?</v>
      </c>
      <c r="F644" s="1" t="e">
        <f t="array" aca="1" ref="F644" ca="1">_xludf.XLOOKUP(C644,'country region mapping'!$A$2:$A$267,'country region mapping'!$G$2:$G$267)</f>
        <v>#NAME?</v>
      </c>
      <c r="G644" s="1">
        <v>5.7610000000000001</v>
      </c>
      <c r="H644" s="1">
        <v>34</v>
      </c>
      <c r="I644" s="1">
        <v>16</v>
      </c>
      <c r="J644" s="1">
        <v>71</v>
      </c>
      <c r="K644" s="1">
        <v>80</v>
      </c>
      <c r="L644" s="1">
        <v>107</v>
      </c>
      <c r="M644" s="1">
        <v>25</v>
      </c>
      <c r="N644" s="1">
        <v>89</v>
      </c>
      <c r="O644" s="1">
        <v>103</v>
      </c>
      <c r="P644" s="1">
        <v>20</v>
      </c>
      <c r="Q644" s="1">
        <v>25</v>
      </c>
      <c r="R644" s="1">
        <v>10</v>
      </c>
      <c r="S644" s="1">
        <v>110</v>
      </c>
    </row>
    <row r="645" spans="1:19">
      <c r="A645" s="1">
        <v>2021</v>
      </c>
      <c r="B645" s="1">
        <v>69</v>
      </c>
      <c r="C645" s="1" t="s">
        <v>149</v>
      </c>
      <c r="D645" s="1" t="e">
        <f t="array" aca="1" ref="D645" ca="1">_xludf.XLOOKUP(C645,'country region mapping'!$A$2:$A$250, 'country region mapping'!$E$2:$E$250)</f>
        <v>#NAME?</v>
      </c>
      <c r="E645" s="1" t="e">
        <f t="array" aca="1" ref="E645" ca="1">_xludf.XLOOKUP(C645,'country region mapping'!$A$2:$A$267,'country region mapping'!$F$2:$F$267)</f>
        <v>#NAME?</v>
      </c>
      <c r="F645" s="1" t="e">
        <f t="array" aca="1" ref="F645" ca="1">_xludf.XLOOKUP(C645,'country region mapping'!$A$2:$A$267,'country region mapping'!$G$2:$G$267)</f>
        <v>#NAME?</v>
      </c>
      <c r="G645" s="1">
        <v>5.7370000000000001</v>
      </c>
      <c r="H645" s="1">
        <v>118</v>
      </c>
      <c r="I645" s="1">
        <v>55</v>
      </c>
      <c r="J645" s="1">
        <v>54</v>
      </c>
      <c r="K645" s="1">
        <v>63</v>
      </c>
      <c r="L645" s="1">
        <v>35</v>
      </c>
      <c r="M645" s="1">
        <v>85</v>
      </c>
      <c r="N645" s="1">
        <v>34</v>
      </c>
      <c r="O645" s="1">
        <v>30</v>
      </c>
      <c r="P645" s="1">
        <v>64</v>
      </c>
      <c r="Q645" s="1">
        <v>85</v>
      </c>
      <c r="R645" s="1">
        <v>11</v>
      </c>
      <c r="S645" s="1">
        <v>25</v>
      </c>
    </row>
    <row r="646" spans="1:19">
      <c r="A646" s="1">
        <v>2021</v>
      </c>
      <c r="B646" s="1">
        <v>70</v>
      </c>
      <c r="C646" s="1" t="s">
        <v>97</v>
      </c>
      <c r="D646" s="1" t="e">
        <f t="array" aca="1" ref="D646" ca="1">_xludf.XLOOKUP(C646,'country region mapping'!$A$2:$A$250, 'country region mapping'!$E$2:$E$250)</f>
        <v>#NAME?</v>
      </c>
      <c r="E646" s="1" t="e">
        <f t="array" aca="1" ref="E646" ca="1">_xludf.XLOOKUP(C646,'country region mapping'!$A$2:$A$267,'country region mapping'!$F$2:$F$267)</f>
        <v>#NAME?</v>
      </c>
      <c r="F646" s="1" t="e">
        <f t="array" aca="1" ref="F646" ca="1">_xludf.XLOOKUP(C646,'country region mapping'!$A$2:$A$267,'country region mapping'!$G$2:$G$267)</f>
        <v>#NAME?</v>
      </c>
      <c r="G646" s="1">
        <v>5.7110000000000003</v>
      </c>
      <c r="H646" s="1">
        <v>70</v>
      </c>
      <c r="I646" s="1">
        <v>79</v>
      </c>
      <c r="J646" s="1">
        <v>45</v>
      </c>
      <c r="K646" s="1">
        <v>55</v>
      </c>
      <c r="L646" s="1">
        <v>30</v>
      </c>
      <c r="M646" s="1">
        <v>18</v>
      </c>
      <c r="N646" s="1">
        <v>60</v>
      </c>
      <c r="O646" s="1">
        <v>33</v>
      </c>
      <c r="P646" s="1">
        <v>11</v>
      </c>
      <c r="Q646" s="1">
        <v>18</v>
      </c>
      <c r="R646" s="1">
        <v>15</v>
      </c>
      <c r="S646" s="1">
        <v>48</v>
      </c>
    </row>
    <row r="647" spans="1:19">
      <c r="A647" s="1">
        <v>2021</v>
      </c>
      <c r="B647" s="1">
        <v>71</v>
      </c>
      <c r="C647" s="1" t="s">
        <v>112</v>
      </c>
      <c r="D647" s="1" t="e">
        <f t="array" aca="1" ref="D647" ca="1">_xludf.XLOOKUP(C647,'country region mapping'!$A$2:$A$267,'country region mapping'!$E$2:$E$267)</f>
        <v>#NAME?</v>
      </c>
      <c r="E647" s="1" t="e">
        <f t="array" aca="1" ref="E647" ca="1">_xludf.XLOOKUP(C647,'country region mapping'!$A$2:$A$267,'country region mapping'!$F$2:$F$267)</f>
        <v>#NAME?</v>
      </c>
      <c r="F647" s="1" t="e">
        <f t="array" aca="1" ref="F647" ca="1">_xludf.XLOOKUP(C647,'country region mapping'!$A$2:$A$267,'country region mapping'!$G$2:$G$267)</f>
        <v>#NAME?</v>
      </c>
      <c r="G647" s="1">
        <v>5.6</v>
      </c>
      <c r="H647" s="1">
        <v>43</v>
      </c>
      <c r="I647" s="1">
        <v>77</v>
      </c>
      <c r="J647" s="1">
        <v>85</v>
      </c>
      <c r="K647" s="1">
        <v>98</v>
      </c>
      <c r="L647" s="1">
        <v>34</v>
      </c>
      <c r="M647" s="1">
        <v>93</v>
      </c>
      <c r="N647" s="1">
        <v>71</v>
      </c>
      <c r="O647" s="1">
        <v>36</v>
      </c>
      <c r="P647" s="1">
        <v>106</v>
      </c>
      <c r="Q647" s="1">
        <v>93</v>
      </c>
      <c r="R647" s="1">
        <v>20</v>
      </c>
      <c r="S647" s="1">
        <v>13</v>
      </c>
    </row>
    <row r="648" spans="1:19">
      <c r="A648" s="1">
        <v>2021</v>
      </c>
      <c r="B648" s="1">
        <v>72</v>
      </c>
      <c r="C648" s="1" t="s">
        <v>142</v>
      </c>
      <c r="D648" s="1" t="e">
        <f t="array" aca="1" ref="D648" ca="1">_xludf.XLOOKUP(C648,'country region mapping'!$A$2:$A$250, 'country region mapping'!$E$2:$E$250)</f>
        <v>#NAME?</v>
      </c>
      <c r="E648" s="1" t="e">
        <f t="array" aca="1" ref="E648" ca="1">_xludf.XLOOKUP(C648,'country region mapping'!$A$2:$A$267,'country region mapping'!$F$2:$F$267)</f>
        <v>#NAME?</v>
      </c>
      <c r="F648" s="1" t="e">
        <f t="array" aca="1" ref="F648" ca="1">_xludf.XLOOKUP(C648,'country region mapping'!$A$2:$A$267,'country region mapping'!$G$2:$G$267)</f>
        <v>#NAME?</v>
      </c>
      <c r="G648" s="1">
        <v>5.585</v>
      </c>
      <c r="H648" s="1">
        <v>62</v>
      </c>
      <c r="I648" s="1">
        <v>56</v>
      </c>
      <c r="J648" s="1">
        <v>56</v>
      </c>
      <c r="K648" s="1">
        <v>26</v>
      </c>
      <c r="L648" s="1">
        <v>31</v>
      </c>
      <c r="M648" s="1">
        <v>54</v>
      </c>
      <c r="O648" s="14">
        <v>46</v>
      </c>
      <c r="P648" s="14">
        <v>35</v>
      </c>
      <c r="Q648" s="14">
        <v>54</v>
      </c>
      <c r="R648" s="14">
        <v>37</v>
      </c>
      <c r="S648" s="14">
        <v>51</v>
      </c>
    </row>
    <row r="649" spans="1:19">
      <c r="A649" s="1">
        <v>2021</v>
      </c>
      <c r="B649" s="1">
        <v>73</v>
      </c>
      <c r="C649" s="1" t="s">
        <v>126</v>
      </c>
      <c r="D649" s="1" t="e">
        <f t="array" aca="1" ref="D649" ca="1">_xludf.XLOOKUP(C649,'country region mapping'!$A$2:$A$250, 'country region mapping'!$E$2:$E$250)</f>
        <v>#NAME?</v>
      </c>
      <c r="E649" s="1" t="e">
        <f t="array" aca="1" ref="E649" ca="1">_xludf.XLOOKUP(C649,'country region mapping'!$A$2:$A$267,'country region mapping'!$F$2:$F$267)</f>
        <v>#NAME?</v>
      </c>
      <c r="F649" s="1" t="e">
        <f t="array" aca="1" ref="F649" ca="1">_xludf.XLOOKUP(C649,'country region mapping'!$A$2:$A$267,'country region mapping'!$G$2:$G$267)</f>
        <v>#NAME?</v>
      </c>
      <c r="G649" s="1">
        <v>5.5780000000000003</v>
      </c>
      <c r="H649" s="1">
        <v>96</v>
      </c>
      <c r="I649" s="1">
        <v>28</v>
      </c>
      <c r="J649" s="1">
        <v>68</v>
      </c>
      <c r="K649" s="1">
        <v>84</v>
      </c>
      <c r="L649" s="1">
        <v>26</v>
      </c>
      <c r="M649" s="1">
        <v>62</v>
      </c>
      <c r="N649" s="1">
        <v>91</v>
      </c>
      <c r="O649" s="1">
        <v>5</v>
      </c>
      <c r="P649" s="1">
        <v>43</v>
      </c>
      <c r="Q649" s="1">
        <v>62</v>
      </c>
      <c r="R649" s="1">
        <v>32</v>
      </c>
      <c r="S649" s="1">
        <v>29</v>
      </c>
    </row>
    <row r="650" spans="1:19">
      <c r="A650" s="1">
        <v>2021</v>
      </c>
      <c r="B650" s="1">
        <v>74</v>
      </c>
      <c r="C650" s="1" t="s">
        <v>118</v>
      </c>
      <c r="D650" s="1" t="e">
        <f t="array" aca="1" ref="D650" ca="1">_xludf.XLOOKUP(C650,'country region mapping'!$A$2:$A$250, 'country region mapping'!$E$2:$E$250)</f>
        <v>#NAME?</v>
      </c>
      <c r="E650" s="1" t="e">
        <f t="array" aca="1" ref="E650" ca="1">_xludf.XLOOKUP(C650,'country region mapping'!$A$2:$A$267,'country region mapping'!$F$2:$F$267)</f>
        <v>#NAME?</v>
      </c>
      <c r="F650" s="1" t="e">
        <f t="array" aca="1" ref="F650" ca="1">_xludf.XLOOKUP(C650,'country region mapping'!$A$2:$A$267,'country region mapping'!$G$2:$G$267)</f>
        <v>#NAME?</v>
      </c>
      <c r="G650" s="1">
        <v>5.5590000000000002</v>
      </c>
      <c r="H650" s="1">
        <v>87</v>
      </c>
      <c r="I650" s="1">
        <v>67</v>
      </c>
      <c r="J650" s="1">
        <v>69</v>
      </c>
      <c r="K650" s="1">
        <v>69</v>
      </c>
      <c r="L650" s="1">
        <v>61</v>
      </c>
      <c r="M650" s="1">
        <v>94</v>
      </c>
      <c r="N650" s="1">
        <v>100</v>
      </c>
      <c r="O650" s="1">
        <v>11</v>
      </c>
      <c r="P650" s="1">
        <v>100</v>
      </c>
      <c r="Q650" s="1">
        <v>94</v>
      </c>
      <c r="R650" s="1">
        <v>52</v>
      </c>
      <c r="S650" s="1">
        <v>33</v>
      </c>
    </row>
    <row r="651" spans="1:19">
      <c r="A651" s="1">
        <v>2021</v>
      </c>
      <c r="B651" s="1">
        <v>75</v>
      </c>
      <c r="C651" s="1" t="s">
        <v>147</v>
      </c>
      <c r="D651" s="1" t="e">
        <f t="array" aca="1" ref="D651" ca="1">_xludf.XLOOKUP(C651,'country region mapping'!$A$2:$A$250, 'country region mapping'!$E$2:$E$250)</f>
        <v>#NAME?</v>
      </c>
      <c r="E651" s="1" t="e">
        <f t="array" aca="1" ref="E651" ca="1">_xludf.XLOOKUP(C651,'country region mapping'!$A$2:$A$267,'country region mapping'!$F$2:$F$267)</f>
        <v>#NAME?</v>
      </c>
      <c r="F651" s="1" t="e">
        <f t="array" aca="1" ref="F651" ca="1">_xludf.XLOOKUP(C651,'country region mapping'!$A$2:$A$267,'country region mapping'!$G$2:$G$267)</f>
        <v>#NAME?</v>
      </c>
      <c r="G651" s="1">
        <v>5.5469999999999997</v>
      </c>
      <c r="H651" s="1"/>
      <c r="I651" s="1"/>
      <c r="J651" s="1"/>
      <c r="K651" s="1"/>
      <c r="L651" s="1"/>
      <c r="M651" s="1"/>
      <c r="N651" s="1"/>
      <c r="O651" s="1"/>
      <c r="P651" s="1"/>
      <c r="Q651" s="1"/>
      <c r="S651" s="1"/>
    </row>
    <row r="652" spans="1:19">
      <c r="A652" s="1">
        <v>2021</v>
      </c>
      <c r="B652" s="1">
        <v>76</v>
      </c>
      <c r="C652" s="1" t="s">
        <v>102</v>
      </c>
      <c r="D652" s="1" t="e">
        <f t="array" aca="1" ref="D652" ca="1">_xludf.XLOOKUP(C652,'country region mapping'!$A$2:$A$250, 'country region mapping'!$E$2:$E$250)</f>
        <v>#NAME?</v>
      </c>
      <c r="E652" s="1" t="e">
        <f t="array" aca="1" ref="E652" ca="1">_xludf.XLOOKUP(C652,'country region mapping'!$A$2:$A$267,'country region mapping'!$F$2:$F$267)</f>
        <v>#NAME?</v>
      </c>
      <c r="F652" s="1" t="e">
        <f t="array" aca="1" ref="F652" ca="1">_xludf.XLOOKUP(C652,'country region mapping'!$A$2:$A$267,'country region mapping'!$G$2:$G$267)</f>
        <v>#NAME?</v>
      </c>
      <c r="G652" s="1">
        <v>5.5330000000000004</v>
      </c>
      <c r="H652" s="1">
        <v>82</v>
      </c>
      <c r="I652" s="1">
        <v>82</v>
      </c>
      <c r="J652" s="1">
        <v>75</v>
      </c>
      <c r="K652" s="1">
        <v>51</v>
      </c>
      <c r="L652" s="1">
        <v>53</v>
      </c>
      <c r="M652" s="1">
        <v>96</v>
      </c>
      <c r="N652" s="1">
        <v>62</v>
      </c>
      <c r="O652" s="1">
        <v>26</v>
      </c>
      <c r="P652" s="1">
        <v>105</v>
      </c>
      <c r="Q652" s="1">
        <v>96</v>
      </c>
      <c r="R652" s="1">
        <v>31</v>
      </c>
      <c r="S652" s="1">
        <v>17</v>
      </c>
    </row>
    <row r="653" spans="1:19">
      <c r="A653" s="1">
        <v>2021</v>
      </c>
      <c r="B653" s="1">
        <v>77</v>
      </c>
      <c r="C653" s="1" t="s">
        <v>157</v>
      </c>
      <c r="D653" s="1" t="e">
        <f t="array" aca="1" ref="D653" ca="1">_xludf.XLOOKUP(C653,'country region mapping'!$A$2:$A$250, 'country region mapping'!$E$2:$E$250)</f>
        <v>#NAME?</v>
      </c>
      <c r="E653" s="1" t="e">
        <f t="array" aca="1" ref="E653" ca="1">_xludf.XLOOKUP(C653,'country region mapping'!$A$2:$A$267,'country region mapping'!$F$2:$F$267)</f>
        <v>#NAME?</v>
      </c>
      <c r="F653" s="1" t="e">
        <f t="array" aca="1" ref="F653" ca="1">_xludf.XLOOKUP(C653,'country region mapping'!$A$2:$A$267,'country region mapping'!$G$2:$G$267)</f>
        <v>#NAME?</v>
      </c>
      <c r="G653" s="1">
        <v>5.4850000000000003</v>
      </c>
      <c r="H653" s="1">
        <v>44</v>
      </c>
      <c r="I653" s="1">
        <v>76</v>
      </c>
      <c r="J653" s="1">
        <v>80</v>
      </c>
      <c r="K653" s="1">
        <v>41</v>
      </c>
      <c r="L653" s="1">
        <v>21</v>
      </c>
      <c r="M653" s="1">
        <v>41</v>
      </c>
      <c r="N653" s="1">
        <v>67</v>
      </c>
      <c r="O653" s="1">
        <v>69</v>
      </c>
      <c r="P653" s="1">
        <v>68</v>
      </c>
      <c r="Q653" s="1">
        <v>41</v>
      </c>
      <c r="R653" s="1">
        <v>44</v>
      </c>
      <c r="S653" s="1">
        <v>58</v>
      </c>
    </row>
    <row r="654" spans="1:19">
      <c r="A654" s="1">
        <v>2021</v>
      </c>
      <c r="B654" s="1">
        <v>78</v>
      </c>
      <c r="C654" s="1" t="s">
        <v>120</v>
      </c>
      <c r="D654" s="1" t="e">
        <f t="array" aca="1" ref="D654" ca="1">_xludf.XLOOKUP(C654,'country region mapping'!$A$2:$A$250, 'country region mapping'!$E$2:$E$250)</f>
        <v>#NAME?</v>
      </c>
      <c r="E654" s="1" t="e">
        <f t="array" aca="1" ref="E654" ca="1">_xludf.XLOOKUP(C654,'country region mapping'!$A$2:$A$267,'country region mapping'!$F$2:$F$267)</f>
        <v>#NAME?</v>
      </c>
      <c r="F654" s="1" t="e">
        <f t="array" aca="1" ref="F654" ca="1">_xludf.XLOOKUP(C654,'country region mapping'!$A$2:$A$267,'country region mapping'!$G$2:$G$267)</f>
        <v>#NAME?</v>
      </c>
      <c r="G654" s="1">
        <v>5.4740000000000002</v>
      </c>
      <c r="H654" s="1"/>
      <c r="I654" s="1"/>
      <c r="J654" s="1"/>
      <c r="K654" s="1"/>
      <c r="L654" s="1"/>
      <c r="M654" s="1"/>
      <c r="N654" s="1"/>
      <c r="O654" s="1"/>
      <c r="S654" s="1"/>
    </row>
    <row r="655" spans="1:19">
      <c r="A655" s="1">
        <v>2021</v>
      </c>
      <c r="B655" s="1">
        <v>78</v>
      </c>
      <c r="C655" s="1" t="s">
        <v>120</v>
      </c>
      <c r="D655" s="1" t="e">
        <f t="array" aca="1" ref="D655" ca="1">_xludf.XLOOKUP(C655,'country region mapping'!$A$2:$A$250, 'country region mapping'!$E$2:$E$250)</f>
        <v>#NAME?</v>
      </c>
      <c r="E655" s="1" t="e">
        <f t="array" aca="1" ref="E655" ca="1">_xludf.XLOOKUP(C655,'country region mapping'!$A$2:$A$267,'country region mapping'!$F$2:$F$267)</f>
        <v>#NAME?</v>
      </c>
      <c r="F655" s="1" t="e">
        <f t="array" aca="1" ref="F655" ca="1">_xludf.XLOOKUP(C655,'country region mapping'!$A$2:$A$267,'country region mapping'!$G$2:$G$267)</f>
        <v>#NAME?</v>
      </c>
      <c r="G655" s="1">
        <v>5.4740000000000002</v>
      </c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>
      <c r="A656" s="1">
        <v>2021</v>
      </c>
      <c r="B656" s="1">
        <v>80</v>
      </c>
      <c r="C656" s="1" t="s">
        <v>108</v>
      </c>
      <c r="D656" s="1" t="e">
        <f t="array" aca="1" ref="D656" ca="1">_xludf.XLOOKUP(C656,'country region mapping'!$A$2:$A$250, 'country region mapping'!$E$2:$E$250)</f>
        <v>#NAME?</v>
      </c>
      <c r="E656" s="1" t="e">
        <f t="array" aca="1" ref="E656" ca="1">_xludf.XLOOKUP(C656,'country region mapping'!$A$2:$A$267,'country region mapping'!$F$2:$F$267)</f>
        <v>#NAME?</v>
      </c>
      <c r="F656" s="1" t="e">
        <f t="array" aca="1" ref="F656" ca="1">_xludf.XLOOKUP(C656,'country region mapping'!$A$2:$A$267,'country region mapping'!$G$2:$G$267)</f>
        <v>#NAME?</v>
      </c>
      <c r="G656" s="1">
        <v>5.4589999999999996</v>
      </c>
      <c r="H656" s="1">
        <v>60</v>
      </c>
      <c r="I656" s="1">
        <v>51</v>
      </c>
      <c r="J656" s="1">
        <v>34</v>
      </c>
      <c r="K656" s="1">
        <v>83</v>
      </c>
      <c r="L656" s="1">
        <v>104</v>
      </c>
      <c r="M656" s="1">
        <v>37</v>
      </c>
      <c r="N656" s="1">
        <v>69</v>
      </c>
      <c r="O656" s="1">
        <v>92</v>
      </c>
      <c r="P656" s="1">
        <v>16</v>
      </c>
      <c r="Q656" s="1">
        <v>37</v>
      </c>
      <c r="R656" s="1">
        <v>54</v>
      </c>
      <c r="S656" s="1">
        <v>31</v>
      </c>
    </row>
    <row r="657" spans="1:19">
      <c r="A657" s="1">
        <v>2021</v>
      </c>
      <c r="B657" s="1">
        <v>81</v>
      </c>
      <c r="C657" s="1" t="s">
        <v>132</v>
      </c>
      <c r="D657" s="1" t="e">
        <f t="array" aca="1" ref="D657" ca="1">_xludf.XLOOKUP(C657,'country region mapping'!$A$2:$A$267,'country region mapping'!$E$2:$E$267)</f>
        <v>#NAME?</v>
      </c>
      <c r="E657" s="1" t="e">
        <f t="array" aca="1" ref="E657" ca="1">_xludf.XLOOKUP(C657,'country region mapping'!$A$2:$A$267,'country region mapping'!$F$2:$F$267)</f>
        <v>#NAME?</v>
      </c>
      <c r="F657" s="1" t="e">
        <f t="array" aca="1" ref="F657" ca="1">_xludf.XLOOKUP(C657,'country region mapping'!$A$2:$A$267,'country region mapping'!$G$2:$G$267)</f>
        <v>#NAME?</v>
      </c>
      <c r="G657" s="1">
        <v>5.4249999999999998</v>
      </c>
      <c r="H657" s="1">
        <v>25</v>
      </c>
      <c r="I657" s="1">
        <v>66</v>
      </c>
      <c r="J657" s="1">
        <v>9</v>
      </c>
      <c r="K657" s="1"/>
      <c r="L657" s="1">
        <v>105</v>
      </c>
      <c r="M657" s="1">
        <v>34</v>
      </c>
      <c r="N657" s="1">
        <v>10</v>
      </c>
      <c r="O657" s="1">
        <v>110</v>
      </c>
      <c r="P657" s="1">
        <v>29</v>
      </c>
      <c r="Q657" s="1">
        <v>34</v>
      </c>
      <c r="R657" s="1">
        <v>106</v>
      </c>
      <c r="S657" s="1">
        <v>88</v>
      </c>
    </row>
    <row r="658" spans="1:19">
      <c r="A658" s="1">
        <v>2021</v>
      </c>
      <c r="B658" s="1">
        <v>82</v>
      </c>
      <c r="C658" s="1" t="s">
        <v>192</v>
      </c>
      <c r="D658" s="1" t="e">
        <f t="array" aca="1" ref="D658" ca="1">_xludf.XLOOKUP(C658,'country region mapping'!$A$2:$A$250, 'country region mapping'!$E$2:$E$250)</f>
        <v>#NAME?</v>
      </c>
      <c r="E658" s="1" t="e">
        <f t="array" aca="1" ref="E658" ca="1">_xludf.XLOOKUP(C658,'country region mapping'!$A$2:$A$267,'country region mapping'!$F$2:$F$267)</f>
        <v>#NAME?</v>
      </c>
      <c r="F658" s="1" t="e">
        <f t="array" aca="1" ref="F658" ca="1">_xludf.XLOOKUP(C658,'country region mapping'!$A$2:$A$267,'country region mapping'!$G$2:$G$267)</f>
        <v>#NAME?</v>
      </c>
      <c r="G658" s="1">
        <v>5.399</v>
      </c>
      <c r="H658" s="1">
        <v>54</v>
      </c>
      <c r="I658" s="1">
        <v>87</v>
      </c>
      <c r="J658" s="1">
        <v>65</v>
      </c>
      <c r="K658" s="1">
        <v>53</v>
      </c>
      <c r="L658" s="1">
        <v>67</v>
      </c>
      <c r="M658" s="1">
        <v>110</v>
      </c>
      <c r="N658" s="1">
        <v>37</v>
      </c>
      <c r="O658" s="1">
        <v>100</v>
      </c>
      <c r="P658" s="1">
        <v>120</v>
      </c>
      <c r="Q658" s="1">
        <v>110</v>
      </c>
      <c r="R658" s="1">
        <v>110</v>
      </c>
      <c r="S658" s="1">
        <v>74</v>
      </c>
    </row>
    <row r="659" spans="1:19">
      <c r="A659" s="1">
        <v>2021</v>
      </c>
      <c r="B659" s="1">
        <v>84</v>
      </c>
      <c r="C659" s="1" t="s">
        <v>172</v>
      </c>
      <c r="D659" s="1" t="e">
        <f t="array" aca="1" ref="D659" ca="1">_xludf.XLOOKUP(C659,'country region mapping'!$A$2:$A$250, 'country region mapping'!$E$2:$E$250)</f>
        <v>#NAME?</v>
      </c>
      <c r="E659" s="1" t="e">
        <f t="array" aca="1" ref="E659" ca="1">_xludf.XLOOKUP(C659,'country region mapping'!$A$2:$A$267,'country region mapping'!$F$2:$F$267)</f>
        <v>#NAME?</v>
      </c>
      <c r="F659" s="1" t="e">
        <f t="array" aca="1" ref="F659" ca="1">_xludf.XLOOKUP(C659,'country region mapping'!$A$2:$A$267,'country region mapping'!$G$2:$G$267)</f>
        <v>#NAME?</v>
      </c>
      <c r="G659" s="1">
        <v>5.3769999999999998</v>
      </c>
      <c r="H659" s="1">
        <v>104</v>
      </c>
      <c r="I659" s="1">
        <v>98</v>
      </c>
      <c r="J659" s="1">
        <v>105</v>
      </c>
      <c r="K659" s="1">
        <v>89</v>
      </c>
      <c r="L659" s="1">
        <v>57</v>
      </c>
      <c r="M659" s="1">
        <v>46</v>
      </c>
      <c r="N659" s="1">
        <v>61</v>
      </c>
      <c r="O659" s="1">
        <v>118</v>
      </c>
      <c r="P659" s="1">
        <v>96</v>
      </c>
      <c r="Q659" s="1">
        <v>46</v>
      </c>
      <c r="R659" s="1">
        <v>27</v>
      </c>
      <c r="S659" s="1">
        <v>87</v>
      </c>
    </row>
    <row r="660" spans="1:19">
      <c r="A660" s="1">
        <v>2021</v>
      </c>
      <c r="B660" s="1">
        <v>83</v>
      </c>
      <c r="C660" s="1" t="s">
        <v>162</v>
      </c>
      <c r="D660" s="1" t="e">
        <f t="array" aca="1" ref="D660" ca="1">_xludf.XLOOKUP(C660,'country region mapping'!$A$2:$A$250, 'country region mapping'!$E$2:$E$250)</f>
        <v>#NAME?</v>
      </c>
      <c r="E660" s="1" t="e">
        <f t="array" aca="1" ref="E660" ca="1">_xludf.XLOOKUP(C660,'country region mapping'!$A$2:$A$267,'country region mapping'!$F$2:$F$267)</f>
        <v>#NAME?</v>
      </c>
      <c r="F660" s="1" t="e">
        <f t="array" aca="1" ref="F660" ca="1">_xludf.XLOOKUP(C660,'country region mapping'!$A$2:$A$267,'country region mapping'!$G$2:$G$267)</f>
        <v>#NAME?</v>
      </c>
      <c r="G660" s="1">
        <v>5.3769999999999998</v>
      </c>
      <c r="H660" s="1">
        <v>38</v>
      </c>
      <c r="I660" s="1">
        <v>41</v>
      </c>
      <c r="J660" s="1">
        <v>107</v>
      </c>
      <c r="K660" s="1">
        <v>67</v>
      </c>
      <c r="M660" s="14">
        <v>111</v>
      </c>
      <c r="N660" s="14">
        <v>16</v>
      </c>
      <c r="O660" s="14">
        <v>68</v>
      </c>
      <c r="P660" s="14">
        <v>38</v>
      </c>
      <c r="Q660" s="14">
        <v>111</v>
      </c>
      <c r="R660" s="14">
        <v>5</v>
      </c>
      <c r="S660" s="14">
        <v>77</v>
      </c>
    </row>
    <row r="661" spans="1:19">
      <c r="A661" s="1">
        <v>2021</v>
      </c>
      <c r="B661" s="1">
        <v>85</v>
      </c>
      <c r="C661" s="1" t="s">
        <v>205</v>
      </c>
      <c r="D661" s="1" t="e">
        <f t="array" aca="1" ref="D661" ca="1">_xludf.XLOOKUP(C661,'country region mapping'!$A$2:$A$250, 'country region mapping'!$E$2:$E$250)</f>
        <v>#NAME?</v>
      </c>
      <c r="E661" s="1" t="e">
        <f t="array" aca="1" ref="E661" ca="1">_xludf.XLOOKUP(C661,'country region mapping'!$A$2:$A$267,'country region mapping'!$F$2:$F$267)</f>
        <v>#NAME?</v>
      </c>
      <c r="F661" s="1" t="e">
        <f t="array" aca="1" ref="F661" ca="1">_xludf.XLOOKUP(C661,'country region mapping'!$A$2:$A$267,'country region mapping'!$G$2:$G$267)</f>
        <v>#NAME?</v>
      </c>
      <c r="G661" s="1">
        <v>5.3710000000000004</v>
      </c>
      <c r="H661" s="1">
        <v>58</v>
      </c>
      <c r="I661" s="1">
        <v>40</v>
      </c>
      <c r="J661" s="1">
        <v>47</v>
      </c>
      <c r="K661" s="1">
        <v>71</v>
      </c>
      <c r="L661" s="1">
        <v>41</v>
      </c>
      <c r="M661" s="1">
        <v>57</v>
      </c>
      <c r="N661" s="1">
        <v>104</v>
      </c>
      <c r="O661" s="1">
        <v>71</v>
      </c>
      <c r="P661" s="1">
        <v>46</v>
      </c>
      <c r="Q661" s="1">
        <v>57</v>
      </c>
      <c r="R661" s="1">
        <v>82</v>
      </c>
      <c r="S661" s="1">
        <v>28</v>
      </c>
    </row>
    <row r="662" spans="1:19">
      <c r="A662" s="1">
        <v>2021</v>
      </c>
      <c r="B662" s="1">
        <v>86</v>
      </c>
      <c r="C662" s="1" t="s">
        <v>122</v>
      </c>
      <c r="D662" s="1" t="e">
        <f t="array" aca="1" ref="D662" ca="1">_xludf.XLOOKUP(C662,'country region mapping'!$A$2:$A$250, 'country region mapping'!$E$2:$E$250)</f>
        <v>#NAME?</v>
      </c>
      <c r="E662" s="1" t="e">
        <f t="array" aca="1" ref="E662" ca="1">_xludf.XLOOKUP(C662,'country region mapping'!$A$2:$A$267,'country region mapping'!$F$2:$F$267)</f>
        <v>#NAME?</v>
      </c>
      <c r="F662" s="1" t="e">
        <f t="array" aca="1" ref="F662" ca="1">_xludf.XLOOKUP(C662,'country region mapping'!$A$2:$A$267,'country region mapping'!$G$2:$G$267)</f>
        <v>#NAME?</v>
      </c>
      <c r="G662" s="1">
        <v>5.33</v>
      </c>
      <c r="H662" s="1"/>
      <c r="I662" s="1"/>
      <c r="J662" s="1"/>
      <c r="K662" s="1"/>
      <c r="L662" s="1"/>
      <c r="M662" s="1"/>
      <c r="N662" s="1"/>
      <c r="O662" s="1"/>
      <c r="P662" s="1"/>
      <c r="Q662" s="1"/>
      <c r="S662" s="1"/>
    </row>
    <row r="663" spans="1:19">
      <c r="A663" s="1">
        <v>2021</v>
      </c>
      <c r="B663" s="1">
        <v>87</v>
      </c>
      <c r="C663" s="1" t="s">
        <v>137</v>
      </c>
      <c r="D663" s="1" t="e">
        <f t="array" aca="1" ref="D663" ca="1">_xludf.XLOOKUP(C663,'country region mapping'!$A$2:$A$250, 'country region mapping'!$E$2:$E$250)</f>
        <v>#NAME?</v>
      </c>
      <c r="E663" s="1" t="e">
        <f t="array" aca="1" ref="E663" ca="1">_xludf.XLOOKUP(C663,'country region mapping'!$A$2:$A$267,'country region mapping'!$F$2:$F$267)</f>
        <v>#NAME?</v>
      </c>
      <c r="F663" s="1" t="e">
        <f t="array" aca="1" ref="F663" ca="1">_xludf.XLOOKUP(C663,'country region mapping'!$A$2:$A$267,'country region mapping'!$G$2:$G$267)</f>
        <v>#NAME?</v>
      </c>
      <c r="G663" s="1">
        <v>5.24</v>
      </c>
      <c r="H663" s="1">
        <v>69</v>
      </c>
      <c r="I663" s="1">
        <v>68</v>
      </c>
      <c r="J663" s="1">
        <v>76</v>
      </c>
      <c r="K663" s="1">
        <v>85</v>
      </c>
      <c r="L663" s="1">
        <v>28</v>
      </c>
      <c r="M663" s="1">
        <v>1</v>
      </c>
      <c r="N663" s="1">
        <v>85</v>
      </c>
      <c r="O663" s="1">
        <v>8</v>
      </c>
      <c r="P663" s="1">
        <v>61</v>
      </c>
      <c r="Q663" s="1">
        <v>1</v>
      </c>
      <c r="R663" s="1">
        <v>1</v>
      </c>
      <c r="S663" s="1">
        <v>78</v>
      </c>
    </row>
    <row r="664" spans="1:19">
      <c r="A664" s="1">
        <v>2021</v>
      </c>
      <c r="B664" s="1">
        <v>88</v>
      </c>
      <c r="C664" s="1" t="s">
        <v>220</v>
      </c>
      <c r="D664" s="1" t="e">
        <f t="array" aca="1" ref="D664" ca="1">_xludf.XLOOKUP(C664,'country region mapping'!$A$2:$A$267,'country region mapping'!$E$2:$E$267)</f>
        <v>#NAME?</v>
      </c>
      <c r="E664" s="1" t="e">
        <f t="array" aca="1" ref="E664" ca="1">_xludf.XLOOKUP(C664,'country region mapping'!$A$2:$A$267,'country region mapping'!$F$2:$F$267)</f>
        <v>#NAME?</v>
      </c>
      <c r="F664" s="1" t="e">
        <f t="array" aca="1" ref="F664" ca="1">_xludf.XLOOKUP(C664,'country region mapping'!$A$2:$A$267,'country region mapping'!$G$2:$G$267)</f>
        <v>#NAME?</v>
      </c>
      <c r="G664" s="1">
        <v>5.2350000000000003</v>
      </c>
      <c r="H664" s="1">
        <v>109</v>
      </c>
      <c r="I664" s="1">
        <v>117</v>
      </c>
      <c r="J664" s="1">
        <v>98</v>
      </c>
      <c r="K664" s="1">
        <v>92</v>
      </c>
      <c r="L664" s="1"/>
      <c r="M664" s="1">
        <v>89</v>
      </c>
      <c r="N664" s="1">
        <v>39</v>
      </c>
      <c r="O664" s="1">
        <v>84</v>
      </c>
      <c r="P664" s="1">
        <v>91</v>
      </c>
      <c r="Q664" s="1">
        <v>89</v>
      </c>
      <c r="R664" s="1">
        <v>76</v>
      </c>
      <c r="S664" s="1">
        <v>44</v>
      </c>
    </row>
    <row r="665" spans="1:19">
      <c r="A665" s="1">
        <v>2021</v>
      </c>
      <c r="B665" s="1">
        <v>90</v>
      </c>
      <c r="C665" s="1" t="s">
        <v>174</v>
      </c>
      <c r="D665" s="1" t="e">
        <f t="array" aca="1" ref="D665" ca="1">_xludf.XLOOKUP(C665,'country region mapping'!$A$2:$A$250, 'country region mapping'!$E$2:$E$250)</f>
        <v>#NAME?</v>
      </c>
      <c r="E665" s="1" t="e">
        <f t="array" aca="1" ref="E665" ca="1">_xludf.XLOOKUP(C665,'country region mapping'!$A$2:$A$267,'country region mapping'!$F$2:$F$267)</f>
        <v>#NAME?</v>
      </c>
      <c r="F665" s="1" t="e">
        <f t="array" aca="1" ref="F665" ca="1">_xludf.XLOOKUP(C665,'country region mapping'!$A$2:$A$267,'country region mapping'!$G$2:$G$267)</f>
        <v>#NAME?</v>
      </c>
      <c r="G665" s="1">
        <v>5.1989999999999998</v>
      </c>
      <c r="H665" s="1">
        <v>90</v>
      </c>
      <c r="I665" s="1">
        <v>97</v>
      </c>
      <c r="J665" s="1">
        <v>64</v>
      </c>
      <c r="K665" s="1">
        <v>35</v>
      </c>
      <c r="L665" s="1">
        <v>50</v>
      </c>
      <c r="M665" s="1">
        <v>50</v>
      </c>
      <c r="N665" s="1">
        <v>107</v>
      </c>
      <c r="O665" s="1">
        <v>106</v>
      </c>
      <c r="P665" s="1">
        <v>48</v>
      </c>
      <c r="Q665" s="1">
        <v>50</v>
      </c>
      <c r="R665" s="1">
        <v>121</v>
      </c>
      <c r="S665" s="1">
        <v>80</v>
      </c>
    </row>
    <row r="666" spans="1:19">
      <c r="A666" s="1">
        <v>2021</v>
      </c>
      <c r="B666" s="1">
        <v>89</v>
      </c>
      <c r="C666" s="1" t="s">
        <v>156</v>
      </c>
      <c r="D666" s="1" t="e">
        <f t="array" aca="1" ref="D666" ca="1">_xludf.XLOOKUP(C666,'country region mapping'!$A$2:$A$250, 'country region mapping'!$E$2:$E$250)</f>
        <v>#NAME?</v>
      </c>
      <c r="E666" s="1" t="e">
        <f t="array" aca="1" ref="E666" ca="1">_xludf.XLOOKUP(C666,'country region mapping'!$A$2:$A$267,'country region mapping'!$F$2:$F$267)</f>
        <v>#NAME?</v>
      </c>
      <c r="F666" s="1" t="e">
        <f t="array" aca="1" ref="F666" ca="1">_xludf.XLOOKUP(C666,'country region mapping'!$A$2:$A$267,'country region mapping'!$G$2:$G$267)</f>
        <v>#NAME?</v>
      </c>
      <c r="G666" s="1">
        <v>5.1989999999999998</v>
      </c>
      <c r="H666" s="1">
        <v>85</v>
      </c>
      <c r="I666" s="1">
        <v>73</v>
      </c>
      <c r="J666" s="1">
        <v>53</v>
      </c>
      <c r="K666" s="1">
        <v>60</v>
      </c>
      <c r="L666" s="1">
        <v>69</v>
      </c>
      <c r="M666" s="1">
        <v>26</v>
      </c>
      <c r="N666" s="1">
        <v>102</v>
      </c>
      <c r="O666" s="1">
        <v>102</v>
      </c>
      <c r="P666" s="1">
        <v>75</v>
      </c>
      <c r="Q666" s="1">
        <v>26</v>
      </c>
      <c r="R666" s="1">
        <v>99</v>
      </c>
      <c r="S666" s="1">
        <v>35</v>
      </c>
    </row>
    <row r="667" spans="1:19">
      <c r="A667" s="1">
        <v>2021</v>
      </c>
      <c r="B667" s="1">
        <v>91</v>
      </c>
      <c r="C667" s="1" t="s">
        <v>185</v>
      </c>
      <c r="D667" s="1" t="e">
        <f t="array" aca="1" ref="D667" ca="1">_xludf.XLOOKUP(C667,'country region mapping'!$A$2:$A$250, 'country region mapping'!$E$2:$E$250)</f>
        <v>#NAME?</v>
      </c>
      <c r="E667" s="1" t="e">
        <f t="array" aca="1" ref="E667" ca="1">_xludf.XLOOKUP(C667,'country region mapping'!$A$2:$A$267,'country region mapping'!$F$2:$F$267)</f>
        <v>#NAME?</v>
      </c>
      <c r="F667" s="1" t="e">
        <f t="array" aca="1" ref="F667" ca="1">_xludf.XLOOKUP(C667,'country region mapping'!$A$2:$A$267,'country region mapping'!$G$2:$G$267)</f>
        <v>#NAME?</v>
      </c>
      <c r="G667" s="1">
        <v>5.194</v>
      </c>
      <c r="H667" s="1">
        <v>97</v>
      </c>
      <c r="I667" s="1">
        <v>19</v>
      </c>
      <c r="J667" s="1">
        <v>74</v>
      </c>
      <c r="K667" s="1">
        <v>114</v>
      </c>
      <c r="L667" s="1">
        <v>98</v>
      </c>
      <c r="M667" s="1">
        <v>109</v>
      </c>
      <c r="N667" s="1">
        <v>105</v>
      </c>
      <c r="O667" s="1">
        <v>12</v>
      </c>
      <c r="P667" s="1">
        <v>7</v>
      </c>
      <c r="Q667" s="1">
        <v>109</v>
      </c>
      <c r="R667" s="1">
        <v>35</v>
      </c>
      <c r="S667" s="1">
        <v>69</v>
      </c>
    </row>
    <row r="668" spans="1:19">
      <c r="A668" s="1">
        <v>2021</v>
      </c>
      <c r="B668" s="1">
        <v>92</v>
      </c>
      <c r="C668" s="1" t="s">
        <v>140</v>
      </c>
      <c r="D668" s="1" t="e">
        <f t="array" aca="1" ref="D668" ca="1">_xludf.XLOOKUP(C668,'country region mapping'!$A$2:$A$250, 'country region mapping'!$E$2:$E$250)</f>
        <v>#NAME?</v>
      </c>
      <c r="E668" s="1" t="e">
        <f t="array" aca="1" ref="E668" ca="1">_xludf.XLOOKUP(C668,'country region mapping'!$A$2:$A$267,'country region mapping'!$F$2:$F$267)</f>
        <v>#NAME?</v>
      </c>
      <c r="F668" s="1" t="e">
        <f t="array" aca="1" ref="F668" ca="1">_xludf.XLOOKUP(C668,'country region mapping'!$A$2:$A$267,'country region mapping'!$G$2:$G$267)</f>
        <v>#NAME?</v>
      </c>
      <c r="G668" s="1">
        <v>5.173</v>
      </c>
      <c r="H668" s="1"/>
      <c r="I668" s="1"/>
      <c r="J668" s="1"/>
      <c r="K668" s="1"/>
      <c r="L668" s="1"/>
      <c r="M668" s="1"/>
      <c r="N668" s="1"/>
      <c r="O668" s="1"/>
      <c r="P668" s="1"/>
      <c r="Q668" s="1"/>
      <c r="S668" s="1"/>
    </row>
    <row r="669" spans="1:19">
      <c r="A669" s="1">
        <v>2021</v>
      </c>
      <c r="B669" s="1">
        <v>93</v>
      </c>
      <c r="C669" s="1" t="s">
        <v>403</v>
      </c>
      <c r="D669" s="1" t="e">
        <f t="array" aca="1" ref="D669" ca="1">_xludf.XLOOKUP(C669,'country region mapping'!$A$2:$A$250, 'country region mapping'!$E$2:$E$250)</f>
        <v>#NAME?</v>
      </c>
      <c r="E669" s="1" t="e">
        <f t="array" aca="1" ref="E669" ca="1">_xludf.XLOOKUP(C669,'country region mapping'!$A$2:$A$267,'country region mapping'!$F$2:$F$267)</f>
        <v>#NAME?</v>
      </c>
      <c r="F669" s="1" t="e">
        <f t="array" aca="1" ref="F669" ca="1">_xludf.XLOOKUP(C669,'country region mapping'!$A$2:$A$267,'country region mapping'!$G$2:$G$267)</f>
        <v>#NAME?</v>
      </c>
      <c r="G669" s="1">
        <v>5.1639999999999997</v>
      </c>
      <c r="H669" s="1"/>
      <c r="I669" s="1"/>
      <c r="J669" s="1"/>
      <c r="K669" s="1"/>
      <c r="L669" s="1"/>
      <c r="M669" s="1"/>
      <c r="N669" s="1"/>
      <c r="O669" s="1"/>
      <c r="S669" s="1"/>
    </row>
    <row r="670" spans="1:19">
      <c r="A670" s="1">
        <v>2021</v>
      </c>
      <c r="B670" s="1">
        <v>94</v>
      </c>
      <c r="C670" s="1" t="s">
        <v>176</v>
      </c>
      <c r="D670" s="1" t="e">
        <f t="array" aca="1" ref="D670" ca="1">_xludf.XLOOKUP(C670,'country region mapping'!$A$2:$A$250, 'country region mapping'!$E$2:$E$250)</f>
        <v>#NAME?</v>
      </c>
      <c r="E670" s="1" t="e">
        <f t="array" aca="1" ref="E670" ca="1">_xludf.XLOOKUP(C670,'country region mapping'!$A$2:$A$267,'country region mapping'!$F$2:$F$267)</f>
        <v>#NAME?</v>
      </c>
      <c r="F670" s="1" t="e">
        <f t="array" aca="1" ref="F670" ca="1">_xludf.XLOOKUP(C670,'country region mapping'!$A$2:$A$267,'country region mapping'!$G$2:$G$267)</f>
        <v>#NAME?</v>
      </c>
      <c r="G670" s="1">
        <v>5.1550000000000002</v>
      </c>
      <c r="H670" s="1">
        <v>108</v>
      </c>
      <c r="I670" s="1">
        <v>120</v>
      </c>
      <c r="J670" s="1">
        <v>92</v>
      </c>
      <c r="K670" s="1">
        <v>68</v>
      </c>
      <c r="L670" s="1">
        <v>22</v>
      </c>
      <c r="M670" s="1">
        <v>56</v>
      </c>
      <c r="N670" s="1">
        <v>51</v>
      </c>
      <c r="O670" s="1">
        <v>114</v>
      </c>
      <c r="P670" s="1">
        <v>115</v>
      </c>
      <c r="Q670" s="1">
        <v>56</v>
      </c>
      <c r="R670" s="1">
        <v>83</v>
      </c>
      <c r="S670" s="1">
        <v>37</v>
      </c>
    </row>
    <row r="671" spans="1:19">
      <c r="A671" s="1">
        <v>2021</v>
      </c>
      <c r="B671" s="1">
        <v>95</v>
      </c>
      <c r="C671" s="1" t="s">
        <v>164</v>
      </c>
      <c r="D671" s="1" t="e">
        <f t="array" aca="1" ref="D671" ca="1">_xludf.XLOOKUP(C671,'country region mapping'!$A$2:$A$267,'country region mapping'!$E$2:$E$267)</f>
        <v>#NAME?</v>
      </c>
      <c r="E671" s="1" t="e">
        <f t="array" aca="1" ref="E671" ca="1">_xludf.XLOOKUP(C671,'country region mapping'!$A$2:$A$267,'country region mapping'!$F$2:$F$267)</f>
        <v>#NAME?</v>
      </c>
      <c r="F671" s="1" t="e">
        <f t="array" aca="1" ref="F671" ca="1">_xludf.XLOOKUP(C671,'country region mapping'!$A$2:$A$267,'country region mapping'!$G$2:$G$267)</f>
        <v>#NAME?</v>
      </c>
      <c r="G671" s="1">
        <v>5.14</v>
      </c>
      <c r="H671" s="1">
        <v>77</v>
      </c>
      <c r="I671" s="1">
        <v>104</v>
      </c>
      <c r="J671" s="1">
        <v>90</v>
      </c>
      <c r="K671" s="1">
        <v>87</v>
      </c>
      <c r="L671" s="1">
        <v>8</v>
      </c>
      <c r="M671" s="1">
        <v>65</v>
      </c>
      <c r="N671" s="1">
        <v>29</v>
      </c>
      <c r="O671" s="1">
        <v>42</v>
      </c>
      <c r="P671" s="1">
        <v>71</v>
      </c>
      <c r="Q671" s="1">
        <v>65</v>
      </c>
      <c r="R671" s="1">
        <v>95</v>
      </c>
      <c r="S671" s="1">
        <v>120</v>
      </c>
    </row>
    <row r="672" spans="1:19">
      <c r="A672" s="1">
        <v>2021</v>
      </c>
      <c r="B672" s="1">
        <v>96</v>
      </c>
      <c r="C672" s="1" t="s">
        <v>85</v>
      </c>
      <c r="D672" s="1" t="e">
        <f t="array" aca="1" ref="D672" ca="1">_xludf.XLOOKUP(C672,'country region mapping'!$A$2:$A$250, 'country region mapping'!$E$2:$E$250)</f>
        <v>#NAME?</v>
      </c>
      <c r="E672" s="1" t="e">
        <f t="array" aca="1" ref="E672" ca="1">_xludf.XLOOKUP(C672,'country region mapping'!$A$2:$A$267,'country region mapping'!$F$2:$F$267)</f>
        <v>#NAME?</v>
      </c>
      <c r="F672" s="1" t="e">
        <f t="array" aca="1" ref="F672" ca="1">_xludf.XLOOKUP(C672,'country region mapping'!$A$2:$A$267,'country region mapping'!$G$2:$G$267)</f>
        <v>#NAME?</v>
      </c>
      <c r="G672" s="1">
        <v>5.1219999999999999</v>
      </c>
      <c r="H672" s="1">
        <v>32</v>
      </c>
      <c r="I672" s="1">
        <v>63</v>
      </c>
      <c r="J672" s="1">
        <v>72</v>
      </c>
      <c r="K672" s="1">
        <v>39</v>
      </c>
      <c r="L672" s="1">
        <v>118</v>
      </c>
      <c r="M672" s="1">
        <v>105</v>
      </c>
      <c r="N672" s="1">
        <v>38</v>
      </c>
      <c r="O672" s="1">
        <v>115</v>
      </c>
      <c r="P672" s="1">
        <v>49</v>
      </c>
      <c r="Q672" s="1">
        <v>105</v>
      </c>
      <c r="R672" s="1">
        <v>100</v>
      </c>
      <c r="S672" s="1">
        <v>79</v>
      </c>
    </row>
    <row r="673" spans="1:19">
      <c r="A673" s="1">
        <v>2021</v>
      </c>
      <c r="B673" s="1">
        <v>97</v>
      </c>
      <c r="C673" s="1" t="s">
        <v>238</v>
      </c>
      <c r="D673" s="1" t="e">
        <f t="array" aca="1" ref="D673" ca="1">_xludf.XLOOKUP(C673,'country region mapping'!$A$2:$A$250, 'country region mapping'!$E$2:$E$250)</f>
        <v>#NAME?</v>
      </c>
      <c r="E673" s="1" t="e">
        <f t="array" aca="1" ref="E673" ca="1">_xludf.XLOOKUP(C673,'country region mapping'!$A$2:$A$267,'country region mapping'!$F$2:$F$267)</f>
        <v>#NAME?</v>
      </c>
      <c r="F673" s="1" t="e">
        <f t="array" aca="1" ref="F673" ca="1">_xludf.XLOOKUP(C673,'country region mapping'!$A$2:$A$267,'country region mapping'!$G$2:$G$267)</f>
        <v>#NAME?</v>
      </c>
      <c r="G673" s="1">
        <v>5.1219999999999999</v>
      </c>
      <c r="H673" s="1"/>
      <c r="I673" s="1"/>
      <c r="J673" s="1"/>
      <c r="K673" s="1"/>
      <c r="L673" s="1"/>
      <c r="M673" s="1"/>
      <c r="N673" s="1"/>
      <c r="O673" s="1"/>
      <c r="S673" s="1"/>
    </row>
    <row r="674" spans="1:19">
      <c r="A674" s="1">
        <v>2021</v>
      </c>
      <c r="B674" s="1">
        <v>98</v>
      </c>
      <c r="C674" s="1" t="s">
        <v>195</v>
      </c>
      <c r="D674" s="1" t="e">
        <f t="array" aca="1" ref="D674" ca="1">_xludf.XLOOKUP(C674,'country region mapping'!$A$2:$A$250, 'country region mapping'!$E$2:$E$250)</f>
        <v>#NAME?</v>
      </c>
      <c r="E674" s="1" t="e">
        <f t="array" aca="1" ref="E674" ca="1">_xludf.XLOOKUP(C674,'country region mapping'!$A$2:$A$267,'country region mapping'!$F$2:$F$267)</f>
        <v>#NAME?</v>
      </c>
      <c r="F674" s="1" t="e">
        <f t="array" aca="1" ref="F674" ca="1">_xludf.XLOOKUP(C674,'country region mapping'!$A$2:$A$267,'country region mapping'!$G$2:$G$267)</f>
        <v>#NAME?</v>
      </c>
      <c r="G674" s="1">
        <v>5.0839999999999996</v>
      </c>
      <c r="H674" s="1">
        <v>52</v>
      </c>
      <c r="I674" s="1">
        <v>45</v>
      </c>
      <c r="J674" s="1">
        <v>62</v>
      </c>
      <c r="K674" s="1">
        <v>78</v>
      </c>
      <c r="L674" s="1">
        <v>77</v>
      </c>
      <c r="M674" s="1">
        <v>31</v>
      </c>
      <c r="N674" s="1">
        <v>114</v>
      </c>
      <c r="O674" s="1">
        <v>97</v>
      </c>
      <c r="P674" s="1">
        <v>44</v>
      </c>
      <c r="Q674" s="1">
        <v>31</v>
      </c>
      <c r="R674" s="1">
        <v>56</v>
      </c>
      <c r="S674" s="1">
        <v>14</v>
      </c>
    </row>
    <row r="675" spans="1:19">
      <c r="A675" s="1">
        <v>2021</v>
      </c>
      <c r="B675" s="1">
        <v>99</v>
      </c>
      <c r="C675" s="1" t="s">
        <v>202</v>
      </c>
      <c r="D675" s="1" t="e">
        <f t="array" aca="1" ref="D675" ca="1">_xludf.XLOOKUP(C675,'country region mapping'!$A$2:$A$250, 'country region mapping'!$E$2:$E$250)</f>
        <v>#NAME?</v>
      </c>
      <c r="E675" s="1" t="e">
        <f t="array" aca="1" ref="E675" ca="1">_xludf.XLOOKUP(C675,'country region mapping'!$A$2:$A$267,'country region mapping'!$F$2:$F$267)</f>
        <v>#NAME?</v>
      </c>
      <c r="F675" s="1" t="e">
        <f t="array" aca="1" ref="F675" ca="1">_xludf.XLOOKUP(C675,'country region mapping'!$A$2:$A$267,'country region mapping'!$G$2:$G$267)</f>
        <v>#NAME?</v>
      </c>
      <c r="G675" s="1">
        <v>5.0750000000000002</v>
      </c>
      <c r="H675" s="1">
        <v>119</v>
      </c>
      <c r="I675" s="1">
        <v>115</v>
      </c>
      <c r="J675" s="1">
        <v>95</v>
      </c>
      <c r="K675" s="1">
        <v>105</v>
      </c>
      <c r="L675" s="1">
        <v>84</v>
      </c>
      <c r="M675" s="1">
        <v>102</v>
      </c>
      <c r="N675" s="1">
        <v>44</v>
      </c>
      <c r="O675" s="1">
        <v>98</v>
      </c>
      <c r="P675" s="1">
        <v>109</v>
      </c>
      <c r="Q675" s="1">
        <v>102</v>
      </c>
      <c r="R675" s="1">
        <v>45</v>
      </c>
      <c r="S675" s="1">
        <v>36</v>
      </c>
    </row>
    <row r="676" spans="1:19">
      <c r="A676" s="1">
        <v>2021</v>
      </c>
      <c r="B676" s="1">
        <v>100</v>
      </c>
      <c r="C676" s="1" t="s">
        <v>150</v>
      </c>
      <c r="D676" s="1" t="e">
        <f t="array" aca="1" ref="D676" ca="1">_xludf.XLOOKUP(C676,'country region mapping'!$A$2:$A$250, 'country region mapping'!$E$2:$E$250)</f>
        <v>#NAME?</v>
      </c>
      <c r="E676" s="1" t="e">
        <f t="array" aca="1" ref="E676" ca="1">_xludf.XLOOKUP(C676,'country region mapping'!$A$2:$A$267,'country region mapping'!$F$2:$F$267)</f>
        <v>#NAME?</v>
      </c>
      <c r="F676" s="1" t="e">
        <f t="array" aca="1" ref="F676" ca="1">_xludf.XLOOKUP(C676,'country region mapping'!$A$2:$A$267,'country region mapping'!$G$2:$G$267)</f>
        <v>#NAME?</v>
      </c>
      <c r="G676" s="1">
        <v>5.0599999999999996</v>
      </c>
      <c r="H676" s="1">
        <v>91</v>
      </c>
      <c r="I676" s="1">
        <v>119</v>
      </c>
      <c r="J676" s="1">
        <v>89</v>
      </c>
      <c r="K676" s="1">
        <v>72</v>
      </c>
      <c r="L676" s="1">
        <v>79</v>
      </c>
      <c r="M676" s="1">
        <v>120</v>
      </c>
      <c r="N676" s="1">
        <v>73</v>
      </c>
      <c r="O676" s="1">
        <v>105</v>
      </c>
      <c r="P676" s="1">
        <v>90</v>
      </c>
      <c r="Q676" s="1">
        <v>120</v>
      </c>
      <c r="R676" s="1">
        <v>98</v>
      </c>
      <c r="S676" s="1">
        <v>24</v>
      </c>
    </row>
    <row r="677" spans="1:19">
      <c r="A677" s="1">
        <v>2021</v>
      </c>
      <c r="B677" s="1">
        <v>102</v>
      </c>
      <c r="C677" s="1" t="s">
        <v>182</v>
      </c>
      <c r="D677" s="1" t="e">
        <f t="array" aca="1" ref="D677" ca="1">_xludf.XLOOKUP(C677,'country region mapping'!$A$2:$A$250, 'country region mapping'!$E$2:$E$250)</f>
        <v>#NAME?</v>
      </c>
      <c r="E677" s="1" t="e">
        <f t="array" aca="1" ref="E677" ca="1">_xludf.XLOOKUP(C677,'country region mapping'!$A$2:$A$267,'country region mapping'!$F$2:$F$267)</f>
        <v>#NAME?</v>
      </c>
      <c r="F677" s="1" t="e">
        <f t="array" aca="1" ref="F677" ca="1">_xludf.XLOOKUP(C677,'country region mapping'!$A$2:$A$267,'country region mapping'!$G$2:$G$267)</f>
        <v>#NAME?</v>
      </c>
      <c r="G677" s="1">
        <v>5.048</v>
      </c>
      <c r="H677" s="1">
        <v>100</v>
      </c>
      <c r="I677" s="1">
        <v>99</v>
      </c>
      <c r="J677" s="1">
        <v>104</v>
      </c>
      <c r="K677" s="1">
        <v>108</v>
      </c>
      <c r="L677" s="1">
        <v>94</v>
      </c>
      <c r="M677" s="1">
        <v>101</v>
      </c>
      <c r="N677" s="1">
        <v>88</v>
      </c>
      <c r="O677" s="1">
        <v>88</v>
      </c>
      <c r="P677" s="1">
        <v>93</v>
      </c>
      <c r="Q677" s="1">
        <v>101</v>
      </c>
      <c r="R677" s="1">
        <v>70</v>
      </c>
      <c r="S677" s="1">
        <v>32</v>
      </c>
    </row>
    <row r="678" spans="1:19">
      <c r="A678" s="1">
        <v>2021</v>
      </c>
      <c r="B678" s="1">
        <v>101</v>
      </c>
      <c r="C678" s="1" t="s">
        <v>252</v>
      </c>
      <c r="D678" s="1" t="e">
        <f t="array" aca="1" ref="D678" ca="1">_xludf.XLOOKUP(C678,'country region mapping'!$A$2:$A$250, 'country region mapping'!$E$2:$E$250)</f>
        <v>#NAME?</v>
      </c>
      <c r="E678" s="1" t="e">
        <f t="array" aca="1" ref="E678" ca="1">_xludf.XLOOKUP(C678,'country region mapping'!$A$2:$A$267,'country region mapping'!$F$2:$F$267)</f>
        <v>#NAME?</v>
      </c>
      <c r="F678" s="1" t="e">
        <f t="array" aca="1" ref="F678" ca="1">_xludf.XLOOKUP(C678,'country region mapping'!$A$2:$A$267,'country region mapping'!$G$2:$G$267)</f>
        <v>#NAME?</v>
      </c>
      <c r="G678" s="1">
        <v>5.048</v>
      </c>
      <c r="H678" s="1">
        <v>122</v>
      </c>
      <c r="I678" s="1">
        <v>102</v>
      </c>
      <c r="J678" s="1">
        <v>120</v>
      </c>
      <c r="K678" s="1">
        <v>117</v>
      </c>
      <c r="L678" s="1">
        <v>43</v>
      </c>
      <c r="M678" s="1">
        <v>104</v>
      </c>
      <c r="N678" s="1">
        <v>24</v>
      </c>
      <c r="O678" s="1">
        <v>96</v>
      </c>
      <c r="P678" s="1">
        <v>102</v>
      </c>
      <c r="Q678" s="1">
        <v>104</v>
      </c>
      <c r="R678" s="1">
        <v>26</v>
      </c>
      <c r="S678" s="1">
        <v>94</v>
      </c>
    </row>
    <row r="679" spans="1:19">
      <c r="A679" s="1">
        <v>2021</v>
      </c>
      <c r="B679" s="1">
        <v>103</v>
      </c>
      <c r="C679" s="1" t="s">
        <v>204</v>
      </c>
      <c r="D679" s="1" t="e">
        <f t="array" aca="1" ref="D679" ca="1">_xludf.XLOOKUP(C679,'country region mapping'!$A$2:$A$250, 'country region mapping'!$E$2:$E$250)</f>
        <v>#NAME?</v>
      </c>
      <c r="E679" s="1" t="e">
        <f t="array" aca="1" ref="E679" ca="1">_xludf.XLOOKUP(C679,'country region mapping'!$A$2:$A$267,'country region mapping'!$F$2:$F$267)</f>
        <v>#NAME?</v>
      </c>
      <c r="F679" s="1" t="e">
        <f t="array" aca="1" ref="F679" ca="1">_xludf.XLOOKUP(C679,'country region mapping'!$A$2:$A$267,'country region mapping'!$G$2:$G$267)</f>
        <v>#NAME?</v>
      </c>
      <c r="G679" s="1">
        <v>5.0460000000000003</v>
      </c>
      <c r="H679" s="1">
        <v>105</v>
      </c>
      <c r="I679" s="1">
        <v>105</v>
      </c>
      <c r="J679" s="1">
        <v>106</v>
      </c>
      <c r="K679" s="1">
        <v>92</v>
      </c>
      <c r="L679" s="1">
        <v>81</v>
      </c>
      <c r="M679" s="1">
        <v>88</v>
      </c>
      <c r="N679" s="1">
        <v>74</v>
      </c>
      <c r="O679" s="1">
        <v>3</v>
      </c>
      <c r="P679" s="1">
        <v>55</v>
      </c>
      <c r="Q679" s="1">
        <v>88</v>
      </c>
      <c r="R679" s="1">
        <v>47</v>
      </c>
      <c r="S679" s="1">
        <v>30</v>
      </c>
    </row>
    <row r="680" spans="1:19">
      <c r="A680" s="1">
        <v>2021</v>
      </c>
      <c r="B680" s="1">
        <v>104</v>
      </c>
      <c r="C680" s="1" t="s">
        <v>224</v>
      </c>
      <c r="D680" s="1" t="e">
        <f t="array" aca="1" ref="D680" ca="1">_xludf.XLOOKUP(C680,'country region mapping'!$A$2:$A$250, 'country region mapping'!$E$2:$E$250)</f>
        <v>#NAME?</v>
      </c>
      <c r="E680" s="1" t="e">
        <f t="array" aca="1" ref="E680" ca="1">_xludf.XLOOKUP(C680,'country region mapping'!$A$2:$A$267,'country region mapping'!$F$2:$F$267)</f>
        <v>#NAME?</v>
      </c>
      <c r="F680" s="1" t="e">
        <f t="array" aca="1" ref="F680" ca="1">_xludf.XLOOKUP(C680,'country region mapping'!$A$2:$A$267,'country region mapping'!$G$2:$G$267)</f>
        <v>#NAME?</v>
      </c>
      <c r="G680" s="1">
        <v>5.0030000000000001</v>
      </c>
      <c r="H680" s="1"/>
      <c r="I680" s="1"/>
      <c r="J680" s="1"/>
      <c r="K680" s="1"/>
      <c r="L680" s="1"/>
      <c r="M680" s="1"/>
      <c r="N680" s="1"/>
      <c r="O680" s="1"/>
      <c r="P680" s="1"/>
      <c r="Q680" s="1"/>
      <c r="S680" s="1"/>
    </row>
    <row r="681" spans="1:19">
      <c r="A681" s="1">
        <v>2021</v>
      </c>
      <c r="B681" s="1">
        <v>105</v>
      </c>
      <c r="C681" s="1" t="s">
        <v>201</v>
      </c>
      <c r="D681" s="1" t="e">
        <f t="array" aca="1" ref="D681" ca="1">_xludf.XLOOKUP(C681,'country region mapping'!$A$2:$A$250, 'country region mapping'!$E$2:$E$250)</f>
        <v>#NAME?</v>
      </c>
      <c r="E681" s="1" t="e">
        <f t="array" aca="1" ref="E681" ca="1">_xludf.XLOOKUP(C681,'country region mapping'!$A$2:$A$267,'country region mapping'!$F$2:$F$267)</f>
        <v>#NAME?</v>
      </c>
      <c r="F681" s="1" t="e">
        <f t="array" aca="1" ref="F681" ca="1">_xludf.XLOOKUP(C681,'country region mapping'!$A$2:$A$267,'country region mapping'!$G$2:$G$267)</f>
        <v>#NAME?</v>
      </c>
      <c r="G681" s="1">
        <v>4.9729999999999999</v>
      </c>
      <c r="H681" s="1">
        <v>55</v>
      </c>
      <c r="I681" s="1">
        <v>101</v>
      </c>
      <c r="J681" s="1">
        <v>58</v>
      </c>
      <c r="K681" s="1">
        <v>70</v>
      </c>
      <c r="L681" s="1">
        <v>73</v>
      </c>
      <c r="M681" s="1">
        <v>122</v>
      </c>
      <c r="N681" s="1">
        <v>41</v>
      </c>
      <c r="O681" s="1">
        <v>113</v>
      </c>
      <c r="P681" s="1">
        <v>37</v>
      </c>
      <c r="Q681" s="1">
        <v>122</v>
      </c>
      <c r="R681" s="1">
        <v>69</v>
      </c>
      <c r="S681" s="1">
        <v>41</v>
      </c>
    </row>
    <row r="682" spans="1:19">
      <c r="A682" s="1">
        <v>2021</v>
      </c>
      <c r="B682" s="1">
        <v>106</v>
      </c>
      <c r="C682" s="1" t="s">
        <v>306</v>
      </c>
      <c r="D682" s="1" t="e">
        <f t="array" aca="1" ref="D682" ca="1">_xludf.XLOOKUP(C682,'country region mapping'!$A$2:$A$250, 'country region mapping'!$E$2:$E$250)</f>
        <v>#NAME?</v>
      </c>
      <c r="E682" s="1" t="e">
        <f t="array" aca="1" ref="E682" ca="1">_xludf.XLOOKUP(C682,'country region mapping'!$A$2:$A$267,'country region mapping'!$F$2:$F$267)</f>
        <v>#NAME?</v>
      </c>
      <c r="F682" s="1" t="e">
        <f t="array" aca="1" ref="F682" ca="1">_xludf.XLOOKUP(C682,'country region mapping'!$A$2:$A$267,'country region mapping'!$G$2:$G$267)</f>
        <v>#NAME?</v>
      </c>
      <c r="G682" s="1">
        <v>4.9580000000000002</v>
      </c>
      <c r="H682" s="1">
        <v>57</v>
      </c>
      <c r="I682" s="1">
        <v>88</v>
      </c>
      <c r="J682" s="1">
        <v>59</v>
      </c>
      <c r="K682" s="1">
        <v>101</v>
      </c>
      <c r="L682" s="1">
        <v>100</v>
      </c>
      <c r="M682" s="1">
        <v>116</v>
      </c>
      <c r="N682" s="1">
        <v>59</v>
      </c>
      <c r="O682" s="1">
        <v>86</v>
      </c>
      <c r="P682" s="1">
        <v>98</v>
      </c>
      <c r="Q682" s="1">
        <v>116</v>
      </c>
      <c r="R682" s="1">
        <v>87</v>
      </c>
      <c r="S682" s="1">
        <v>23</v>
      </c>
    </row>
    <row r="683" spans="1:19">
      <c r="A683" s="1">
        <v>2021</v>
      </c>
      <c r="B683" s="1">
        <v>107</v>
      </c>
      <c r="C683" s="1" t="s">
        <v>179</v>
      </c>
      <c r="D683" s="1" t="e">
        <f t="array" aca="1" ref="D683" ca="1">_xludf.XLOOKUP(C683,'country region mapping'!$A$2:$A$250, 'country region mapping'!$E$2:$E$250)</f>
        <v>#NAME?</v>
      </c>
      <c r="E683" s="1" t="e">
        <f t="array" aca="1" ref="E683" ca="1">_xludf.XLOOKUP(C683,'country region mapping'!$A$2:$A$267,'country region mapping'!$F$2:$F$267)</f>
        <v>#NAME?</v>
      </c>
      <c r="F683" s="1" t="e">
        <f t="array" aca="1" ref="F683" ca="1">_xludf.XLOOKUP(C683,'country region mapping'!$A$2:$A$267,'country region mapping'!$G$2:$G$267)</f>
        <v>#NAME?</v>
      </c>
      <c r="G683" s="1">
        <v>4.9409999999999998</v>
      </c>
      <c r="H683" s="1">
        <v>93</v>
      </c>
      <c r="I683" s="1">
        <v>91</v>
      </c>
      <c r="J683" s="1">
        <v>77</v>
      </c>
      <c r="K683" s="1">
        <v>82</v>
      </c>
      <c r="L683" s="1">
        <v>115</v>
      </c>
      <c r="M683" s="1">
        <v>75</v>
      </c>
      <c r="N683" s="1">
        <v>108</v>
      </c>
      <c r="O683" s="1">
        <v>95</v>
      </c>
      <c r="P683" s="1">
        <v>119</v>
      </c>
      <c r="Q683" s="1">
        <v>75</v>
      </c>
      <c r="R683" s="1">
        <v>112</v>
      </c>
      <c r="S683" s="1">
        <v>22</v>
      </c>
    </row>
    <row r="684" spans="1:19">
      <c r="A684" s="1">
        <v>2021</v>
      </c>
      <c r="B684" s="1">
        <v>108</v>
      </c>
      <c r="C684" s="1" t="s">
        <v>93</v>
      </c>
      <c r="D684" s="1" t="e">
        <f t="array" aca="1" ref="D684" ca="1">_xludf.XLOOKUP(C684,'country region mapping'!$A$2:$A$267,'country region mapping'!$E$2:$E$267)</f>
        <v>#NAME?</v>
      </c>
      <c r="E684" s="1" t="e">
        <f t="array" aca="1" ref="E684" ca="1">_xludf.XLOOKUP(C684,'country region mapping'!$A$2:$A$267,'country region mapping'!$F$2:$F$267)</f>
        <v>#NAME?</v>
      </c>
      <c r="F684" s="1" t="e">
        <f t="array" aca="1" ref="F684" ca="1">_xludf.XLOOKUP(C684,'country region mapping'!$A$2:$A$267,'country region mapping'!$G$2:$G$267)</f>
        <v>#NAME?</v>
      </c>
      <c r="G684" s="1">
        <v>4.9249999999999998</v>
      </c>
      <c r="H684" s="1">
        <v>84</v>
      </c>
      <c r="I684" s="1">
        <v>70</v>
      </c>
      <c r="K684" s="1">
        <v>74</v>
      </c>
      <c r="L684" s="1">
        <v>114</v>
      </c>
      <c r="M684" s="14">
        <v>91</v>
      </c>
      <c r="N684" s="14">
        <v>75</v>
      </c>
      <c r="O684" s="14">
        <v>45</v>
      </c>
      <c r="P684" s="14">
        <v>103</v>
      </c>
      <c r="Q684" s="14">
        <v>91</v>
      </c>
      <c r="R684" s="14">
        <v>28</v>
      </c>
      <c r="S684" s="14">
        <v>2</v>
      </c>
    </row>
    <row r="685" spans="1:19">
      <c r="A685" s="1">
        <v>2021</v>
      </c>
      <c r="B685" s="1">
        <v>109</v>
      </c>
      <c r="C685" s="1" t="s">
        <v>240</v>
      </c>
      <c r="D685" s="1" t="e">
        <f t="array" aca="1" ref="D685" ca="1">_xludf.XLOOKUP(C685,'country region mapping'!$A$2:$A$250, 'country region mapping'!$E$2:$E$250)</f>
        <v>#NAME?</v>
      </c>
      <c r="E685" s="1" t="e">
        <f t="array" aca="1" ref="E685" ca="1">_xludf.XLOOKUP(C685,'country region mapping'!$A$2:$A$267,'country region mapping'!$F$2:$F$267)</f>
        <v>#NAME?</v>
      </c>
      <c r="F685" s="1" t="e">
        <f t="array" aca="1" ref="F685" ca="1">_xludf.XLOOKUP(C685,'country region mapping'!$A$2:$A$267,'country region mapping'!$G$2:$G$267)</f>
        <v>#NAME?</v>
      </c>
      <c r="G685" s="1">
        <v>4.891</v>
      </c>
      <c r="H685" s="1">
        <v>113</v>
      </c>
      <c r="I685" s="1">
        <v>107</v>
      </c>
      <c r="J685" s="1">
        <v>108</v>
      </c>
      <c r="K685" s="1">
        <v>110</v>
      </c>
      <c r="L685" s="1">
        <v>102</v>
      </c>
      <c r="M685" s="1">
        <v>52</v>
      </c>
      <c r="N685" s="1">
        <v>65</v>
      </c>
      <c r="O685" s="1">
        <v>58</v>
      </c>
      <c r="P685" s="1">
        <v>117</v>
      </c>
      <c r="Q685" s="1">
        <v>52</v>
      </c>
      <c r="R685" s="1">
        <v>17</v>
      </c>
      <c r="S685" s="1">
        <v>26</v>
      </c>
    </row>
    <row r="686" spans="1:19">
      <c r="A686" s="1">
        <v>2021</v>
      </c>
      <c r="B686" s="1">
        <v>110</v>
      </c>
      <c r="C686" s="1" t="s">
        <v>169</v>
      </c>
      <c r="D686" s="1" t="e">
        <f t="array" aca="1" ref="D686" ca="1">_xludf.XLOOKUP(C686,'country region mapping'!$A$2:$A$267,'country region mapping'!$E$2:$E$267)</f>
        <v>#NAME?</v>
      </c>
      <c r="E686" s="1" t="e">
        <f t="array" aca="1" ref="E686" ca="1">_xludf.XLOOKUP(C686,'country region mapping'!$A$2:$A$267,'country region mapping'!$F$2:$F$267)</f>
        <v>#NAME?</v>
      </c>
      <c r="F686" s="1" t="e">
        <f t="array" aca="1" ref="F686" ca="1">_xludf.XLOOKUP(C686,'country region mapping'!$A$2:$A$267,'country region mapping'!$G$2:$G$267)</f>
        <v>#NAME?</v>
      </c>
      <c r="G686" s="1">
        <v>4.8879999999999999</v>
      </c>
      <c r="H686" s="1">
        <v>74</v>
      </c>
      <c r="I686" s="1">
        <v>86</v>
      </c>
      <c r="J686" s="1">
        <v>70</v>
      </c>
      <c r="K686" s="1">
        <v>54</v>
      </c>
      <c r="L686" s="1">
        <v>113</v>
      </c>
      <c r="M686" s="1">
        <v>28</v>
      </c>
      <c r="N686" s="1">
        <v>57</v>
      </c>
      <c r="O686" s="1">
        <v>111</v>
      </c>
      <c r="P686" s="1">
        <v>110</v>
      </c>
      <c r="Q686" s="1">
        <v>28</v>
      </c>
      <c r="R686" s="1">
        <v>93</v>
      </c>
      <c r="S686" s="1">
        <v>57</v>
      </c>
    </row>
    <row r="687" spans="1:19">
      <c r="A687" s="1">
        <v>2021</v>
      </c>
      <c r="B687" s="1">
        <v>111</v>
      </c>
      <c r="C687" s="1" t="s">
        <v>197</v>
      </c>
      <c r="D687" s="1" t="e">
        <f t="array" aca="1" ref="D687" ca="1">_xludf.XLOOKUP(C687,'country region mapping'!$A$2:$A$250, 'country region mapping'!$E$2:$E$250)</f>
        <v>#NAME?</v>
      </c>
      <c r="E687" s="1" t="e">
        <f t="array" aca="1" ref="E687" ca="1">_xludf.XLOOKUP(C687,'country region mapping'!$A$2:$A$267,'country region mapping'!$F$2:$F$267)</f>
        <v>#NAME?</v>
      </c>
      <c r="F687" s="1" t="e">
        <f t="array" aca="1" ref="F687" ca="1">_xludf.XLOOKUP(C687,'country region mapping'!$A$2:$A$267,'country region mapping'!$G$2:$G$267)</f>
        <v>#NAME?</v>
      </c>
      <c r="G687" s="1">
        <v>4.8719999999999999</v>
      </c>
      <c r="H687" s="1">
        <v>61</v>
      </c>
      <c r="I687" s="1">
        <v>106</v>
      </c>
      <c r="J687" s="1">
        <v>94</v>
      </c>
      <c r="K687" s="1">
        <v>97</v>
      </c>
      <c r="L687" s="1">
        <v>87</v>
      </c>
      <c r="M687" s="1">
        <v>53</v>
      </c>
      <c r="N687" s="1">
        <v>103</v>
      </c>
      <c r="O687" s="1">
        <v>93</v>
      </c>
      <c r="P687" s="1">
        <v>73</v>
      </c>
      <c r="Q687" s="1">
        <v>53</v>
      </c>
      <c r="R687" s="1">
        <v>16</v>
      </c>
      <c r="S687" s="1">
        <v>71</v>
      </c>
    </row>
    <row r="688" spans="1:19">
      <c r="A688" s="1">
        <v>2021</v>
      </c>
      <c r="B688" s="1">
        <v>112</v>
      </c>
      <c r="C688" s="1" t="s">
        <v>136</v>
      </c>
      <c r="D688" s="1" t="e">
        <f t="array" aca="1" ref="D688" ca="1">_xludf.XLOOKUP(C688,'country region mapping'!$A$2:$A$250, 'country region mapping'!$E$2:$E$250)</f>
        <v>#NAME?</v>
      </c>
      <c r="E688" s="1" t="e">
        <f t="array" aca="1" ref="E688" ca="1">_xludf.XLOOKUP(C688,'country region mapping'!$A$2:$A$267,'country region mapping'!$F$2:$F$267)</f>
        <v>#NAME?</v>
      </c>
      <c r="F688" s="1" t="e">
        <f t="array" aca="1" ref="F688" ca="1">_xludf.XLOOKUP(C688,'country region mapping'!$A$2:$A$267,'country region mapping'!$G$2:$G$267)</f>
        <v>#NAME?</v>
      </c>
      <c r="G688" s="1">
        <v>4.7439999999999998</v>
      </c>
      <c r="H688" s="1">
        <v>89</v>
      </c>
      <c r="I688" s="1">
        <v>90</v>
      </c>
      <c r="J688" s="1">
        <v>43</v>
      </c>
      <c r="K688" s="1">
        <v>42</v>
      </c>
      <c r="L688" s="1">
        <v>119</v>
      </c>
      <c r="M688" s="1">
        <v>58</v>
      </c>
      <c r="N688" s="1">
        <v>70</v>
      </c>
      <c r="O688" s="1">
        <v>120</v>
      </c>
      <c r="P688" s="1">
        <v>118</v>
      </c>
      <c r="Q688" s="1">
        <v>58</v>
      </c>
      <c r="R688" s="1">
        <v>107</v>
      </c>
      <c r="S688" s="1">
        <v>16</v>
      </c>
    </row>
    <row r="689" spans="1:19">
      <c r="A689" s="1">
        <v>2021</v>
      </c>
      <c r="B689" s="1">
        <v>113</v>
      </c>
      <c r="C689" s="1" t="s">
        <v>229</v>
      </c>
      <c r="D689" s="1" t="e">
        <f t="array" aca="1" ref="D689" ca="1">_xludf.XLOOKUP(C689,'country region mapping'!$A$2:$A$250, 'country region mapping'!$E$2:$E$250)</f>
        <v>#NAME?</v>
      </c>
      <c r="E689" s="1" t="e">
        <f t="array" aca="1" ref="E689" ca="1">_xludf.XLOOKUP(C689,'country region mapping'!$A$2:$A$267,'country region mapping'!$F$2:$F$267)</f>
        <v>#NAME?</v>
      </c>
      <c r="F689" s="1" t="e">
        <f t="array" aca="1" ref="F689" ca="1">_xludf.XLOOKUP(C689,'country region mapping'!$A$2:$A$267,'country region mapping'!$G$2:$G$267)</f>
        <v>#NAME?</v>
      </c>
      <c r="G689" s="1">
        <v>4.67</v>
      </c>
      <c r="H689" s="1">
        <v>101</v>
      </c>
      <c r="I689" s="1">
        <v>103</v>
      </c>
      <c r="J689" s="1">
        <v>116</v>
      </c>
      <c r="K689" s="1">
        <v>107</v>
      </c>
      <c r="L689" s="1">
        <v>110</v>
      </c>
      <c r="M689" s="1">
        <v>86</v>
      </c>
      <c r="N689" s="1">
        <v>45</v>
      </c>
      <c r="O689" s="1">
        <v>87</v>
      </c>
      <c r="P689" s="1">
        <v>99</v>
      </c>
      <c r="Q689" s="1">
        <v>86</v>
      </c>
      <c r="R689" s="1">
        <v>23</v>
      </c>
      <c r="S689" s="1">
        <v>72</v>
      </c>
    </row>
    <row r="690" spans="1:19">
      <c r="A690" s="1">
        <v>2021</v>
      </c>
      <c r="B690" s="1">
        <v>114</v>
      </c>
      <c r="C690" s="1" t="s">
        <v>221</v>
      </c>
      <c r="D690" s="1" t="e">
        <f t="array" aca="1" ref="D690" ca="1">_xludf.XLOOKUP(C690,'country region mapping'!$A$2:$A$250, 'country region mapping'!$E$2:$E$250)</f>
        <v>#NAME?</v>
      </c>
      <c r="E690" s="1" t="e">
        <f t="array" aca="1" ref="E690" ca="1">_xludf.XLOOKUP(C690,'country region mapping'!$A$2:$A$267,'country region mapping'!$F$2:$F$267)</f>
        <v>#NAME?</v>
      </c>
      <c r="F690" s="1" t="e">
        <f t="array" aca="1" ref="F690" ca="1">_xludf.XLOOKUP(C690,'country region mapping'!$A$2:$A$267,'country region mapping'!$G$2:$G$267)</f>
        <v>#NAME?</v>
      </c>
      <c r="G690" s="1">
        <v>4.6399999999999997</v>
      </c>
      <c r="H690" s="1">
        <v>68</v>
      </c>
      <c r="I690" s="1">
        <v>93</v>
      </c>
      <c r="J690" s="1">
        <v>96</v>
      </c>
      <c r="K690" s="1">
        <v>86</v>
      </c>
      <c r="L690" s="1">
        <v>1</v>
      </c>
      <c r="M690" s="1">
        <v>87</v>
      </c>
      <c r="N690" s="1">
        <v>84</v>
      </c>
      <c r="O690" s="1">
        <v>18</v>
      </c>
      <c r="P690" s="1">
        <v>104</v>
      </c>
      <c r="Q690" s="1">
        <v>87</v>
      </c>
      <c r="R690" s="1">
        <v>116</v>
      </c>
      <c r="S690" s="1">
        <v>122</v>
      </c>
    </row>
    <row r="691" spans="1:19">
      <c r="A691" s="1">
        <v>2021</v>
      </c>
      <c r="B691" s="1">
        <v>115</v>
      </c>
      <c r="C691" s="1" t="s">
        <v>244</v>
      </c>
      <c r="D691" s="1" t="e">
        <f t="array" aca="1" ref="D691" ca="1">_xludf.XLOOKUP(C691,'country region mapping'!$A$2:$A$250, 'country region mapping'!$E$2:$E$250)</f>
        <v>#NAME?</v>
      </c>
      <c r="E691" s="1" t="e">
        <f t="array" aca="1" ref="E691" ca="1">_xludf.XLOOKUP(C691,'country region mapping'!$A$2:$A$267,'country region mapping'!$F$2:$F$267)</f>
        <v>#NAME?</v>
      </c>
      <c r="F691" s="1" t="e">
        <f t="array" aca="1" ref="F691" ca="1">_xludf.XLOOKUP(C691,'country region mapping'!$A$2:$A$267,'country region mapping'!$G$2:$G$267)</f>
        <v>#NAME?</v>
      </c>
      <c r="G691" s="1">
        <v>4.6230000000000002</v>
      </c>
      <c r="H691" s="1">
        <v>103</v>
      </c>
      <c r="I691" s="1">
        <v>122</v>
      </c>
      <c r="J691" s="1">
        <v>111</v>
      </c>
      <c r="K691" s="1">
        <v>103</v>
      </c>
      <c r="L691" s="1">
        <v>90</v>
      </c>
      <c r="M691" s="1">
        <v>100</v>
      </c>
      <c r="N691" s="1">
        <v>23</v>
      </c>
      <c r="O691" s="1">
        <v>91</v>
      </c>
      <c r="P691" s="1">
        <v>113</v>
      </c>
      <c r="Q691" s="1">
        <v>100</v>
      </c>
      <c r="R691" s="1">
        <v>57</v>
      </c>
      <c r="S691" s="1">
        <v>91</v>
      </c>
    </row>
    <row r="692" spans="1:19">
      <c r="A692" s="1">
        <v>2021</v>
      </c>
      <c r="B692" s="1">
        <v>116</v>
      </c>
      <c r="C692" s="1" t="s">
        <v>219</v>
      </c>
      <c r="D692" s="1" t="e">
        <f t="array" aca="1" ref="D692" ca="1">_xludf.XLOOKUP(C692,'country region mapping'!$A$2:$A$250, 'country region mapping'!$E$2:$E$250)</f>
        <v>#NAME?</v>
      </c>
      <c r="E692" s="1" t="e">
        <f t="array" aca="1" ref="E692" ca="1">_xludf.XLOOKUP(C692,'country region mapping'!$A$2:$A$267,'country region mapping'!$F$2:$F$267)</f>
        <v>#NAME?</v>
      </c>
      <c r="F692" s="1" t="e">
        <f t="array" aca="1" ref="F692" ca="1">_xludf.XLOOKUP(C692,'country region mapping'!$A$2:$A$267,'country region mapping'!$G$2:$G$267)</f>
        <v>#NAME?</v>
      </c>
      <c r="G692" s="1">
        <v>4.609</v>
      </c>
      <c r="H692" s="1"/>
      <c r="I692" s="1"/>
      <c r="J692" s="1"/>
      <c r="K692" s="1"/>
      <c r="L692" s="1"/>
      <c r="M692" s="1"/>
      <c r="N692" s="1"/>
      <c r="O692" s="1"/>
      <c r="P692" s="1"/>
      <c r="Q692" s="1"/>
      <c r="S692" s="1"/>
    </row>
    <row r="693" spans="1:19">
      <c r="A693" s="1">
        <v>2021</v>
      </c>
      <c r="B693" s="1">
        <v>117</v>
      </c>
      <c r="C693" s="1" t="s">
        <v>231</v>
      </c>
      <c r="D693" s="1" t="e">
        <f t="array" aca="1" ref="D693" ca="1">_xludf.XLOOKUP(C693,'country region mapping'!$A$2:$A$250, 'country region mapping'!$E$2:$E$250)</f>
        <v>#NAME?</v>
      </c>
      <c r="E693" s="1" t="e">
        <f t="array" aca="1" ref="E693" ca="1">_xludf.XLOOKUP(C693,'country region mapping'!$A$2:$A$267,'country region mapping'!$F$2:$F$267)</f>
        <v>#NAME?</v>
      </c>
      <c r="F693" s="1" t="e">
        <f t="array" aca="1" ref="F693" ca="1">_xludf.XLOOKUP(C693,'country region mapping'!$A$2:$A$267,'country region mapping'!$G$2:$G$267)</f>
        <v>#NAME?</v>
      </c>
      <c r="G693" s="1">
        <v>4.6029999999999998</v>
      </c>
      <c r="H693" s="1">
        <v>110</v>
      </c>
      <c r="I693" s="1">
        <v>80</v>
      </c>
      <c r="J693" s="1">
        <v>114</v>
      </c>
      <c r="K693" s="1">
        <v>99</v>
      </c>
      <c r="L693" s="1">
        <v>95</v>
      </c>
      <c r="M693" s="1">
        <v>81</v>
      </c>
      <c r="N693" s="1">
        <v>80</v>
      </c>
      <c r="O693" s="1">
        <v>44</v>
      </c>
      <c r="P693" s="1">
        <v>97</v>
      </c>
      <c r="Q693" s="1">
        <v>81</v>
      </c>
      <c r="R693" s="1">
        <v>12</v>
      </c>
      <c r="S693" s="1">
        <v>8</v>
      </c>
    </row>
    <row r="694" spans="1:19">
      <c r="A694" s="1">
        <v>2021</v>
      </c>
      <c r="B694" s="1">
        <v>118</v>
      </c>
      <c r="C694" s="1" t="s">
        <v>165</v>
      </c>
      <c r="D694" s="1" t="e">
        <f t="array" aca="1" ref="D694" ca="1">_xludf.XLOOKUP(C694,'country region mapping'!$A$2:$A$250, 'country region mapping'!$E$2:$E$250)</f>
        <v>#NAME?</v>
      </c>
      <c r="E694" s="1" t="e">
        <f t="array" aca="1" ref="E694" ca="1">_xludf.XLOOKUP(C694,'country region mapping'!$A$2:$A$267,'country region mapping'!$F$2:$F$267)</f>
        <v>#NAME?</v>
      </c>
      <c r="F694" s="1" t="e">
        <f t="array" aca="1" ref="F694" ca="1">_xludf.XLOOKUP(C694,'country region mapping'!$A$2:$A$267,'country region mapping'!$G$2:$G$267)</f>
        <v>#NAME?</v>
      </c>
      <c r="G694" s="1">
        <v>4.5519999999999996</v>
      </c>
      <c r="H694" s="1">
        <v>78</v>
      </c>
      <c r="I694" s="1">
        <v>89</v>
      </c>
      <c r="J694" s="1">
        <v>100</v>
      </c>
      <c r="K694" s="1">
        <v>104</v>
      </c>
      <c r="L694" s="1">
        <v>89</v>
      </c>
      <c r="M694" s="1">
        <v>76</v>
      </c>
      <c r="N694" s="1">
        <v>112</v>
      </c>
      <c r="O694" s="1">
        <v>62</v>
      </c>
      <c r="P694" s="1">
        <v>13</v>
      </c>
      <c r="Q694" s="1">
        <v>76</v>
      </c>
      <c r="R694" s="1">
        <v>13</v>
      </c>
      <c r="S694" s="1">
        <v>5</v>
      </c>
    </row>
    <row r="695" spans="1:19">
      <c r="A695" s="1">
        <v>2021</v>
      </c>
      <c r="B695" s="1">
        <v>119</v>
      </c>
      <c r="C695" s="1" t="s">
        <v>193</v>
      </c>
      <c r="D695" s="1" t="e">
        <f t="array" aca="1" ref="D695" ca="1">_xludf.XLOOKUP(C695,'country region mapping'!$A$2:$A$250, 'country region mapping'!$E$2:$E$250)</f>
        <v>#NAME?</v>
      </c>
      <c r="E695" s="1" t="e">
        <f t="array" aca="1" ref="E695" ca="1">_xludf.XLOOKUP(C695,'country region mapping'!$A$2:$A$267,'country region mapping'!$F$2:$F$267)</f>
        <v>#NAME?</v>
      </c>
      <c r="F695" s="1" t="e">
        <f t="array" aca="1" ref="F695" ca="1">_xludf.XLOOKUP(C695,'country region mapping'!$A$2:$A$267,'country region mapping'!$G$2:$G$267)</f>
        <v>#NAME?</v>
      </c>
      <c r="G695" s="1">
        <v>4.5430000000000001</v>
      </c>
      <c r="H695" s="1">
        <v>116</v>
      </c>
      <c r="I695" s="1">
        <v>96</v>
      </c>
      <c r="J695" s="1">
        <v>102</v>
      </c>
      <c r="K695" s="1">
        <v>94</v>
      </c>
      <c r="L695" s="1">
        <v>101</v>
      </c>
      <c r="M695" s="1">
        <v>21</v>
      </c>
      <c r="N695" s="1">
        <v>82</v>
      </c>
      <c r="O695" s="1">
        <v>25</v>
      </c>
      <c r="P695" s="1">
        <v>47</v>
      </c>
      <c r="Q695" s="1">
        <v>21</v>
      </c>
      <c r="R695" s="1">
        <v>2</v>
      </c>
      <c r="S695" s="1">
        <v>7</v>
      </c>
    </row>
    <row r="696" spans="1:19">
      <c r="A696" s="1">
        <v>2021</v>
      </c>
      <c r="B696" s="1">
        <v>121</v>
      </c>
      <c r="C696" s="1" t="s">
        <v>152</v>
      </c>
      <c r="D696" s="1" t="e">
        <f t="array" aca="1" ref="D696" ca="1">_xludf.XLOOKUP(C696,'country region mapping'!$A$2:$A$250, 'country region mapping'!$E$2:$E$250)</f>
        <v>#NAME?</v>
      </c>
      <c r="E696" s="1" t="e">
        <f t="array" aca="1" ref="E696" ca="1">_xludf.XLOOKUP(C696,'country region mapping'!$A$2:$A$267,'country region mapping'!$F$2:$F$267)</f>
        <v>#NAME?</v>
      </c>
      <c r="F696" s="1" t="e">
        <f t="array" aca="1" ref="F696" ca="1">_xludf.XLOOKUP(C696,'country region mapping'!$A$2:$A$267,'country region mapping'!$G$2:$G$267)</f>
        <v>#NAME?</v>
      </c>
      <c r="G696" s="1">
        <v>4.516</v>
      </c>
      <c r="H696" s="1">
        <v>94</v>
      </c>
      <c r="I696" s="1">
        <v>111</v>
      </c>
      <c r="J696" s="1">
        <v>101</v>
      </c>
      <c r="K696" s="1">
        <v>100</v>
      </c>
      <c r="L696" s="1">
        <v>78</v>
      </c>
      <c r="M696" s="1">
        <v>84</v>
      </c>
      <c r="N696" s="1">
        <v>48</v>
      </c>
      <c r="O696" s="1">
        <v>112</v>
      </c>
      <c r="P696" s="1">
        <v>78</v>
      </c>
      <c r="Q696" s="1">
        <v>84</v>
      </c>
      <c r="R696" s="1">
        <v>114</v>
      </c>
      <c r="S696" s="1">
        <v>97</v>
      </c>
    </row>
    <row r="697" spans="1:19">
      <c r="A697" s="1">
        <v>2021</v>
      </c>
      <c r="B697" s="1">
        <v>120</v>
      </c>
      <c r="C697" s="1" t="s">
        <v>159</v>
      </c>
      <c r="D697" s="1" t="e">
        <f t="array" aca="1" ref="D697" ca="1">_xludf.XLOOKUP(C697,'country region mapping'!$A$2:$A$250, 'country region mapping'!$E$2:$E$250)</f>
        <v>#NAME?</v>
      </c>
      <c r="E697" s="1" t="e">
        <f t="array" aca="1" ref="E697" ca="1">_xludf.XLOOKUP(C697,'country region mapping'!$A$2:$A$267,'country region mapping'!$F$2:$F$267)</f>
        <v>#NAME?</v>
      </c>
      <c r="F697" s="1" t="e">
        <f t="array" aca="1" ref="F697" ca="1">_xludf.XLOOKUP(C697,'country region mapping'!$A$2:$A$267,'country region mapping'!$G$2:$G$267)</f>
        <v>#NAME?</v>
      </c>
      <c r="G697" s="1">
        <v>4.516</v>
      </c>
      <c r="H697" s="1">
        <v>63</v>
      </c>
      <c r="I697" s="1">
        <v>94</v>
      </c>
      <c r="J697" s="1">
        <v>78</v>
      </c>
      <c r="K697" s="1">
        <v>62</v>
      </c>
      <c r="L697" s="1">
        <v>116</v>
      </c>
      <c r="M697" s="1">
        <v>118</v>
      </c>
      <c r="N697" s="1">
        <v>116</v>
      </c>
      <c r="O697" s="1">
        <v>117</v>
      </c>
      <c r="P697" s="1">
        <v>89</v>
      </c>
      <c r="Q697" s="1">
        <v>118</v>
      </c>
      <c r="R697" s="1">
        <v>101</v>
      </c>
      <c r="S697" s="1">
        <v>65</v>
      </c>
    </row>
    <row r="698" spans="1:19">
      <c r="A698" s="1">
        <v>2021</v>
      </c>
      <c r="B698" s="1">
        <v>122</v>
      </c>
      <c r="C698" s="1" t="s">
        <v>173</v>
      </c>
      <c r="D698" s="1" t="e">
        <f t="array" aca="1" ref="D698" ca="1">_xludf.XLOOKUP(C698,'country region mapping'!$A$2:$A$267,'country region mapping'!$E$2:$E$267)</f>
        <v>#NAME?</v>
      </c>
      <c r="E698" s="1" t="e">
        <f t="array" aca="1" ref="E698" ca="1">_xludf.XLOOKUP(C698,'country region mapping'!$A$2:$A$267,'country region mapping'!$F$2:$F$267)</f>
        <v>#NAME?</v>
      </c>
      <c r="F698" s="1" t="e">
        <f t="array" aca="1" ref="F698" ca="1">_xludf.XLOOKUP(C698,'country region mapping'!$A$2:$A$267,'country region mapping'!$G$2:$G$267)</f>
        <v>#NAME?</v>
      </c>
      <c r="G698" s="1">
        <v>4.4829999999999997</v>
      </c>
      <c r="H698" s="1"/>
      <c r="I698" s="1"/>
      <c r="J698" s="1"/>
      <c r="K698" s="1"/>
      <c r="L698" s="1"/>
      <c r="M698" s="1"/>
      <c r="N698" s="1"/>
      <c r="O698" s="1"/>
      <c r="P698" s="1"/>
      <c r="Q698" s="1"/>
      <c r="S698" s="1"/>
    </row>
    <row r="699" spans="1:19">
      <c r="A699" s="1">
        <v>2021</v>
      </c>
      <c r="B699" s="1">
        <v>123</v>
      </c>
      <c r="C699" s="1" t="s">
        <v>311</v>
      </c>
      <c r="D699" s="1" t="e">
        <f t="array" aca="1" ref="D699" ca="1">_xludf.XLOOKUP(C699,'country region mapping'!$A$2:$A$250, 'country region mapping'!$E$2:$E$250)</f>
        <v>#NAME?</v>
      </c>
      <c r="E699" s="1" t="e">
        <f t="array" aca="1" ref="E699" ca="1">_xludf.XLOOKUP(C699,'country region mapping'!$A$2:$A$267,'country region mapping'!$F$2:$F$267)</f>
        <v>#NAME?</v>
      </c>
      <c r="F699" s="1" t="e">
        <f t="array" aca="1" ref="F699" ca="1">_xludf.XLOOKUP(C699,'country region mapping'!$A$2:$A$267,'country region mapping'!$G$2:$G$267)</f>
        <v>#NAME?</v>
      </c>
      <c r="G699" s="1">
        <v>4.4790000000000001</v>
      </c>
      <c r="H699" s="1">
        <v>112</v>
      </c>
      <c r="I699" s="1">
        <v>113</v>
      </c>
      <c r="J699" s="1">
        <v>117</v>
      </c>
      <c r="K699" s="1">
        <v>109</v>
      </c>
      <c r="L699" s="1">
        <v>103</v>
      </c>
      <c r="M699" s="1">
        <v>107</v>
      </c>
      <c r="N699" s="1">
        <v>109</v>
      </c>
      <c r="O699" s="1">
        <v>75</v>
      </c>
      <c r="P699" s="1">
        <v>114</v>
      </c>
      <c r="Q699" s="1">
        <v>107</v>
      </c>
      <c r="R699" s="1">
        <v>24</v>
      </c>
      <c r="S699" s="1">
        <v>62</v>
      </c>
    </row>
    <row r="700" spans="1:19">
      <c r="A700" s="1">
        <v>2021</v>
      </c>
      <c r="B700" s="1">
        <v>124</v>
      </c>
      <c r="C700" s="1" t="s">
        <v>181</v>
      </c>
      <c r="D700" s="1" t="e">
        <f t="array" aca="1" ref="D700" ca="1">_xludf.XLOOKUP(C700,'country region mapping'!$A$2:$A$250, 'country region mapping'!$E$2:$E$250)</f>
        <v>#NAME?</v>
      </c>
      <c r="E700" s="1" t="e">
        <f t="array" aca="1" ref="E700" ca="1">_xludf.XLOOKUP(C700,'country region mapping'!$A$2:$A$267,'country region mapping'!$F$2:$F$267)</f>
        <v>#NAME?</v>
      </c>
      <c r="F700" s="1" t="e">
        <f t="array" aca="1" ref="F700" ca="1">_xludf.XLOOKUP(C700,'country region mapping'!$A$2:$A$267,'country region mapping'!$G$2:$G$267)</f>
        <v>#NAME?</v>
      </c>
      <c r="G700" s="1">
        <v>4.4589999999999996</v>
      </c>
      <c r="H700" s="1">
        <v>99</v>
      </c>
      <c r="I700" s="1">
        <v>74</v>
      </c>
      <c r="J700" s="1">
        <v>83</v>
      </c>
      <c r="K700" s="1">
        <v>109</v>
      </c>
      <c r="L700" s="1">
        <v>113</v>
      </c>
      <c r="M700" s="1">
        <v>115</v>
      </c>
      <c r="N700" s="1">
        <v>77</v>
      </c>
      <c r="O700" s="1">
        <v>72</v>
      </c>
      <c r="P700" s="1">
        <v>32</v>
      </c>
      <c r="Q700" s="1">
        <v>115</v>
      </c>
      <c r="R700" s="1">
        <v>63</v>
      </c>
      <c r="S700" s="1">
        <v>42</v>
      </c>
    </row>
    <row r="701" spans="1:19">
      <c r="A701" s="1">
        <v>2021</v>
      </c>
      <c r="B701" s="1">
        <v>125</v>
      </c>
      <c r="C701" s="1" t="s">
        <v>453</v>
      </c>
      <c r="D701" s="1" t="e">
        <f t="array" aca="1" ref="D701" ca="1">_xludf.XLOOKUP(C701,'country region mapping'!$A$2:$A$250, 'country region mapping'!$E$2:$E$250)</f>
        <v>#NAME?</v>
      </c>
      <c r="E701" s="1" t="e">
        <f t="array" aca="1" ref="E701" ca="1">_xludf.XLOOKUP(C701,'country region mapping'!$A$2:$A$267,'country region mapping'!$F$2:$F$267)</f>
        <v>#NAME?</v>
      </c>
      <c r="F701" s="1" t="e">
        <f t="array" aca="1" ref="F701" ca="1">_xludf.XLOOKUP(C701,'country region mapping'!$A$2:$A$267,'country region mapping'!$G$2:$G$267)</f>
        <v>#NAME?</v>
      </c>
      <c r="G701" s="1">
        <v>4.3959999999999999</v>
      </c>
      <c r="H701" s="1"/>
      <c r="I701" s="1"/>
      <c r="J701" s="1"/>
      <c r="K701" s="1"/>
      <c r="L701" s="1"/>
      <c r="M701" s="1"/>
      <c r="N701" s="1"/>
      <c r="O701" s="1"/>
      <c r="S701" s="1"/>
    </row>
    <row r="702" spans="1:19">
      <c r="A702" s="1">
        <v>2021</v>
      </c>
      <c r="B702" s="1">
        <v>126</v>
      </c>
      <c r="C702" s="1" t="s">
        <v>190</v>
      </c>
      <c r="D702" s="1" t="e">
        <f t="array" aca="1" ref="D702" ca="1">_xludf.XLOOKUP(C702,'country region mapping'!$A$2:$A$250, 'country region mapping'!$E$2:$E$250)</f>
        <v>#NAME?</v>
      </c>
      <c r="E702" s="1" t="e">
        <f t="array" aca="1" ref="E702" ca="1">_xludf.XLOOKUP(C702,'country region mapping'!$A$2:$A$267,'country region mapping'!$F$2:$F$267)</f>
        <v>#NAME?</v>
      </c>
      <c r="F702" s="1" t="e">
        <f t="array" aca="1" ref="F702" ca="1">_xludf.XLOOKUP(C702,'country region mapping'!$A$2:$A$267,'country region mapping'!$G$2:$G$267)</f>
        <v>#NAME?</v>
      </c>
      <c r="G702" s="1">
        <v>4.3940000000000001</v>
      </c>
      <c r="H702" s="1">
        <v>80</v>
      </c>
      <c r="I702" s="1">
        <v>83</v>
      </c>
      <c r="J702" s="1">
        <v>103</v>
      </c>
      <c r="K702" s="1">
        <v>91</v>
      </c>
      <c r="L702" s="1">
        <v>111</v>
      </c>
      <c r="M702" s="1">
        <v>2</v>
      </c>
      <c r="N702" s="1">
        <v>31</v>
      </c>
      <c r="O702" s="1">
        <v>78</v>
      </c>
      <c r="P702" s="1">
        <v>57</v>
      </c>
      <c r="Q702" s="1">
        <v>2</v>
      </c>
      <c r="R702" s="1">
        <v>36</v>
      </c>
      <c r="S702" s="1">
        <v>85</v>
      </c>
    </row>
    <row r="703" spans="1:19">
      <c r="A703" s="1">
        <v>2021</v>
      </c>
      <c r="B703" s="1">
        <v>127</v>
      </c>
      <c r="C703" s="1" t="s">
        <v>187</v>
      </c>
      <c r="D703" s="1" t="e">
        <f t="array" aca="1" ref="D703" ca="1">_xludf.XLOOKUP(C703,'country region mapping'!$A$2:$A$250, 'country region mapping'!$E$2:$E$250)</f>
        <v>#NAME?</v>
      </c>
      <c r="E703" s="1" t="e">
        <f t="array" aca="1" ref="E703" ca="1">_xludf.XLOOKUP(C703,'country region mapping'!$A$2:$A$267,'country region mapping'!$F$2:$F$267)</f>
        <v>#NAME?</v>
      </c>
      <c r="F703" s="1" t="e">
        <f t="array" aca="1" ref="F703" ca="1">_xludf.XLOOKUP(C703,'country region mapping'!$A$2:$A$267,'country region mapping'!$G$2:$G$267)</f>
        <v>#NAME?</v>
      </c>
      <c r="G703" s="1">
        <v>4.3620000000000001</v>
      </c>
      <c r="H703" s="1">
        <v>76</v>
      </c>
      <c r="I703" s="1">
        <v>71</v>
      </c>
      <c r="J703" s="1">
        <v>73</v>
      </c>
      <c r="K703" s="1">
        <v>34</v>
      </c>
      <c r="L703" s="1">
        <v>76</v>
      </c>
      <c r="M703" s="1">
        <v>70</v>
      </c>
      <c r="N703" s="1">
        <v>87</v>
      </c>
      <c r="O703" s="1">
        <v>31</v>
      </c>
      <c r="P703" s="1">
        <v>82</v>
      </c>
      <c r="Q703" s="1">
        <v>70</v>
      </c>
      <c r="R703" s="1">
        <v>8</v>
      </c>
      <c r="S703" s="1">
        <v>45</v>
      </c>
    </row>
    <row r="704" spans="1:19">
      <c r="A704" s="1">
        <v>2021</v>
      </c>
      <c r="B704" s="1">
        <v>128</v>
      </c>
      <c r="C704" s="1" t="s">
        <v>235</v>
      </c>
      <c r="D704" s="1" t="e">
        <f t="array" aca="1" ref="D704" ca="1">_xludf.XLOOKUP(C704,'country region mapping'!$A$2:$A$250, 'country region mapping'!$E$2:$E$250)</f>
        <v>#NAME?</v>
      </c>
      <c r="E704" s="1" t="e">
        <f t="array" aca="1" ref="E704" ca="1">_xludf.XLOOKUP(C704,'country region mapping'!$A$2:$A$267,'country region mapping'!$F$2:$F$267)</f>
        <v>#NAME?</v>
      </c>
      <c r="F704" s="1" t="e">
        <f t="array" aca="1" ref="F704" ca="1">_xludf.XLOOKUP(C704,'country region mapping'!$A$2:$A$267,'country region mapping'!$G$2:$G$267)</f>
        <v>#NAME?</v>
      </c>
      <c r="G704" s="1">
        <v>4.3390000000000004</v>
      </c>
      <c r="H704" s="1"/>
      <c r="I704" s="1"/>
      <c r="J704" s="1"/>
      <c r="K704" s="1"/>
      <c r="L704" s="1"/>
      <c r="M704" s="1"/>
      <c r="N704" s="1"/>
      <c r="O704" s="1"/>
      <c r="P704" s="1"/>
      <c r="Q704" s="1"/>
      <c r="S704" s="1"/>
    </row>
    <row r="705" spans="1:19">
      <c r="A705" s="1">
        <v>2021</v>
      </c>
      <c r="B705" s="1">
        <v>129</v>
      </c>
      <c r="C705" s="1" t="s">
        <v>191</v>
      </c>
      <c r="D705" s="1" t="e">
        <f t="array" aca="1" ref="D705" ca="1">_xludf.XLOOKUP(C705,'country region mapping'!$A$2:$A$250, 'country region mapping'!$E$2:$E$250)</f>
        <v>#NAME?</v>
      </c>
      <c r="E705" s="1" t="e">
        <f t="array" aca="1" ref="E705" ca="1">_xludf.XLOOKUP(C705,'country region mapping'!$A$2:$A$267,'country region mapping'!$F$2:$F$267)</f>
        <v>#NAME?</v>
      </c>
      <c r="F705" s="1" t="e">
        <f t="array" aca="1" ref="F705" ca="1">_xludf.XLOOKUP(C705,'country region mapping'!$A$2:$A$267,'country region mapping'!$G$2:$G$267)</f>
        <v>#NAME?</v>
      </c>
      <c r="G705" s="1">
        <v>4.2880000000000003</v>
      </c>
      <c r="H705" s="1">
        <v>48</v>
      </c>
      <c r="I705" s="1">
        <v>92</v>
      </c>
      <c r="J705" s="1">
        <v>67</v>
      </c>
      <c r="K705" s="1">
        <v>88</v>
      </c>
      <c r="L705" s="1">
        <v>97</v>
      </c>
      <c r="M705" s="1">
        <v>119</v>
      </c>
      <c r="N705" s="1">
        <v>21</v>
      </c>
      <c r="O705" s="1">
        <v>119</v>
      </c>
      <c r="P705" s="1">
        <v>87</v>
      </c>
      <c r="Q705" s="1">
        <v>119</v>
      </c>
      <c r="R705" s="1">
        <v>122</v>
      </c>
      <c r="S705" s="1">
        <v>83</v>
      </c>
    </row>
    <row r="706" spans="1:19">
      <c r="A706" s="1">
        <v>2021</v>
      </c>
      <c r="B706" s="1">
        <v>130</v>
      </c>
      <c r="C706" s="1" t="s">
        <v>227</v>
      </c>
      <c r="D706" s="1" t="e">
        <f t="array" aca="1" ref="D706" ca="1">_xludf.XLOOKUP(C706,'country region mapping'!$A$2:$A$250, 'country region mapping'!$E$2:$E$250)</f>
        <v>#NAME?</v>
      </c>
      <c r="E706" s="1" t="e">
        <f t="array" aca="1" ref="E706" ca="1">_xludf.XLOOKUP(C706,'country region mapping'!$A$2:$A$267,'country region mapping'!$F$2:$F$267)</f>
        <v>#NAME?</v>
      </c>
      <c r="F706" s="1" t="e">
        <f t="array" aca="1" ref="F706" ca="1">_xludf.XLOOKUP(C706,'country region mapping'!$A$2:$A$267,'country region mapping'!$G$2:$G$267)</f>
        <v>#NAME?</v>
      </c>
      <c r="G706" s="1">
        <v>4.2510000000000003</v>
      </c>
      <c r="H706" s="1"/>
      <c r="I706" s="1"/>
      <c r="J706" s="1"/>
      <c r="K706" s="1"/>
      <c r="L706" s="1"/>
      <c r="M706" s="1"/>
      <c r="N706" s="1"/>
      <c r="O706" s="1"/>
      <c r="P706" s="1"/>
      <c r="Q706" s="1"/>
      <c r="S706" s="1"/>
    </row>
    <row r="707" spans="1:19">
      <c r="A707" s="1">
        <v>2021</v>
      </c>
      <c r="B707" s="1">
        <v>131</v>
      </c>
      <c r="C707" s="1" t="s">
        <v>183</v>
      </c>
      <c r="D707" s="1" t="e">
        <f t="array" aca="1" ref="D707" ca="1">_xludf.XLOOKUP(C707,'country region mapping'!$A$2:$A$250, 'country region mapping'!$E$2:$E$250)</f>
        <v>#NAME?</v>
      </c>
      <c r="E707" s="1" t="e">
        <f t="array" aca="1" ref="E707" ca="1">_xludf.XLOOKUP(C707,'country region mapping'!$A$2:$A$267,'country region mapping'!$F$2:$F$267)</f>
        <v>#NAME?</v>
      </c>
      <c r="F707" s="1" t="e">
        <f t="array" aca="1" ref="F707" ca="1">_xludf.XLOOKUP(C707,'country region mapping'!$A$2:$A$267,'country region mapping'!$G$2:$G$267)</f>
        <v>#NAME?</v>
      </c>
      <c r="G707" s="1">
        <v>4.2409999999999997</v>
      </c>
      <c r="H707" s="1"/>
      <c r="I707" s="1"/>
      <c r="J707" s="1"/>
      <c r="K707" s="1"/>
      <c r="L707" s="1"/>
      <c r="M707" s="1"/>
      <c r="N707" s="1"/>
      <c r="O707" s="1"/>
      <c r="S707" s="1"/>
    </row>
    <row r="708" spans="1:19">
      <c r="A708" s="1">
        <v>2021</v>
      </c>
      <c r="B708" s="1">
        <v>132</v>
      </c>
      <c r="C708" s="1" t="s">
        <v>233</v>
      </c>
      <c r="D708" s="1" t="e">
        <f t="array" aca="1" ref="D708" ca="1">_xludf.XLOOKUP(C708,'country region mapping'!$A$2:$A$250, 'country region mapping'!$E$2:$E$250)</f>
        <v>#NAME?</v>
      </c>
      <c r="E708" s="1" t="e">
        <f t="array" aca="1" ref="E708" ca="1">_xludf.XLOOKUP(C708,'country region mapping'!$A$2:$A$267,'country region mapping'!$F$2:$F$267)</f>
        <v>#NAME?</v>
      </c>
      <c r="F708" s="1" t="e">
        <f t="array" aca="1" ref="F708" ca="1">_xludf.XLOOKUP(C708,'country region mapping'!$A$2:$A$267,'country region mapping'!$G$2:$G$267)</f>
        <v>#NAME?</v>
      </c>
      <c r="G708" s="1">
        <v>4.1970000000000001</v>
      </c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>
      <c r="A709" s="1">
        <v>2021</v>
      </c>
      <c r="B709" s="1">
        <v>133</v>
      </c>
      <c r="C709" s="1" t="s">
        <v>206</v>
      </c>
      <c r="D709" s="1" t="e">
        <f t="array" aca="1" ref="D709" ca="1">_xludf.XLOOKUP(C709,'country region mapping'!$A$2:$A$250, 'country region mapping'!$E$2:$E$250)</f>
        <v>#NAME?</v>
      </c>
      <c r="E709" s="1" t="e">
        <f t="array" aca="1" ref="E709" ca="1">_xludf.XLOOKUP(C709,'country region mapping'!$A$2:$A$267,'country region mapping'!$F$2:$F$267)</f>
        <v>#NAME?</v>
      </c>
      <c r="F709" s="1" t="e">
        <f t="array" aca="1" ref="F709" ca="1">_xludf.XLOOKUP(C709,'country region mapping'!$A$2:$A$267,'country region mapping'!$G$2:$G$267)</f>
        <v>#NAME?</v>
      </c>
      <c r="G709" s="1">
        <v>4.1529999999999996</v>
      </c>
      <c r="H709" s="1"/>
      <c r="I709" s="1"/>
      <c r="J709" s="1"/>
      <c r="K709" s="1"/>
      <c r="L709" s="1"/>
      <c r="M709" s="1"/>
      <c r="N709" s="1"/>
      <c r="O709" s="1"/>
      <c r="S709" s="1"/>
    </row>
    <row r="710" spans="1:19">
      <c r="A710" s="1">
        <v>2021</v>
      </c>
      <c r="B710" s="1">
        <v>134</v>
      </c>
      <c r="C710" s="1" t="s">
        <v>138</v>
      </c>
      <c r="D710" s="1" t="e">
        <f t="array" aca="1" ref="D710" ca="1">_xludf.XLOOKUP(C710,'country region mapping'!$A$2:$A$250, 'country region mapping'!$E$2:$E$250)</f>
        <v>#NAME?</v>
      </c>
      <c r="E710" s="1" t="e">
        <f t="array" aca="1" ref="E710" ca="1">_xludf.XLOOKUP(C710,'country region mapping'!$A$2:$A$267,'country region mapping'!$F$2:$F$267)</f>
        <v>#NAME?</v>
      </c>
      <c r="F710" s="1" t="e">
        <f t="array" aca="1" ref="F710" ca="1">_xludf.XLOOKUP(C710,'country region mapping'!$A$2:$A$267,'country region mapping'!$G$2:$G$267)</f>
        <v>#NAME?</v>
      </c>
      <c r="G710" s="1">
        <v>4.1520000000000001</v>
      </c>
      <c r="H710" s="1">
        <v>107</v>
      </c>
      <c r="I710" s="1">
        <v>95</v>
      </c>
      <c r="J710" s="1">
        <v>87</v>
      </c>
      <c r="K710" s="1">
        <v>43</v>
      </c>
      <c r="L710" s="1">
        <v>75</v>
      </c>
      <c r="M710" s="1">
        <v>114</v>
      </c>
      <c r="N710" s="1">
        <v>25</v>
      </c>
      <c r="O710" s="1">
        <v>116</v>
      </c>
      <c r="P710" s="1">
        <v>112</v>
      </c>
      <c r="Q710" s="1">
        <v>114</v>
      </c>
      <c r="R710" s="1">
        <v>119</v>
      </c>
      <c r="S710" s="1">
        <v>21</v>
      </c>
    </row>
    <row r="711" spans="1:19">
      <c r="A711" s="1">
        <v>2021</v>
      </c>
      <c r="B711" s="1">
        <v>135</v>
      </c>
      <c r="C711" s="1" t="s">
        <v>247</v>
      </c>
      <c r="D711" s="1" t="e">
        <f t="array" aca="1" ref="D711" ca="1">_xludf.XLOOKUP(C711,'country region mapping'!$A$2:$A$250, 'country region mapping'!$E$2:$E$250)</f>
        <v>#NAME?</v>
      </c>
      <c r="E711" s="1" t="e">
        <f t="array" aca="1" ref="E711" ca="1">_xludf.XLOOKUP(C711,'country region mapping'!$A$2:$A$267,'country region mapping'!$F$2:$F$267)</f>
        <v>#NAME?</v>
      </c>
      <c r="F711" s="1" t="e">
        <f t="array" aca="1" ref="F711" ca="1">_xludf.XLOOKUP(C711,'country region mapping'!$A$2:$A$267,'country region mapping'!$G$2:$G$267)</f>
        <v>#NAME?</v>
      </c>
      <c r="G711" s="1">
        <v>4.1120000000000001</v>
      </c>
      <c r="H711" s="1">
        <v>71</v>
      </c>
      <c r="I711" s="1">
        <v>112</v>
      </c>
      <c r="J711" s="1">
        <v>115</v>
      </c>
      <c r="K711" s="1">
        <v>102</v>
      </c>
      <c r="L711" s="1">
        <v>112</v>
      </c>
      <c r="M711" s="1">
        <v>92</v>
      </c>
      <c r="N711" s="1">
        <v>58</v>
      </c>
      <c r="O711" s="1">
        <v>83</v>
      </c>
      <c r="P711" s="1">
        <v>108</v>
      </c>
      <c r="Q711" s="1">
        <v>92</v>
      </c>
      <c r="R711" s="1">
        <v>60</v>
      </c>
      <c r="S711" s="1">
        <v>82</v>
      </c>
    </row>
    <row r="712" spans="1:19">
      <c r="A712" s="1">
        <v>2021</v>
      </c>
      <c r="B712" s="1">
        <v>136</v>
      </c>
      <c r="C712" s="1" t="s">
        <v>188</v>
      </c>
      <c r="D712" s="1" t="e">
        <f t="array" aca="1" ref="D712" ca="1">_xludf.XLOOKUP(C712,'country region mapping'!$A$2:$A$250, 'country region mapping'!$E$2:$E$250)</f>
        <v>#NAME?</v>
      </c>
      <c r="E712" s="1" t="e">
        <f t="array" aca="1" ref="E712" ca="1">_xludf.XLOOKUP(C712,'country region mapping'!$A$2:$A$267,'country region mapping'!$F$2:$F$267)</f>
        <v>#NAME?</v>
      </c>
      <c r="F712" s="1" t="e">
        <f t="array" aca="1" ref="F712" ca="1">_xludf.XLOOKUP(C712,'country region mapping'!$A$2:$A$267,'country region mapping'!$G$2:$G$267)</f>
        <v>#NAME?</v>
      </c>
      <c r="G712" s="1">
        <v>3.7770000000000001</v>
      </c>
      <c r="H712" s="1">
        <v>106</v>
      </c>
      <c r="I712" s="1">
        <v>114</v>
      </c>
      <c r="J712" s="1">
        <v>91</v>
      </c>
      <c r="K712" s="1">
        <v>95</v>
      </c>
      <c r="L712" s="1">
        <v>33</v>
      </c>
      <c r="M712" s="1">
        <v>64</v>
      </c>
      <c r="N712" s="1">
        <v>55</v>
      </c>
      <c r="O712" s="1">
        <v>108</v>
      </c>
      <c r="P712" s="1">
        <v>111</v>
      </c>
      <c r="Q712" s="1">
        <v>64</v>
      </c>
      <c r="R712" s="1">
        <v>19</v>
      </c>
      <c r="S712" s="1">
        <v>84</v>
      </c>
    </row>
    <row r="713" spans="1:19">
      <c r="A713" s="1">
        <v>2021</v>
      </c>
      <c r="B713" s="1">
        <v>137</v>
      </c>
      <c r="C713" s="1" t="s">
        <v>170</v>
      </c>
      <c r="D713" s="1" t="e">
        <f t="array" aca="1" ref="D713" ca="1">_xludf.XLOOKUP(C713,'country region mapping'!$A$2:$A$250, 'country region mapping'!$E$2:$E$250)</f>
        <v>#NAME?</v>
      </c>
      <c r="E713" s="1" t="e">
        <f t="array" aca="1" ref="E713" ca="1">_xludf.XLOOKUP(C713,'country region mapping'!$A$2:$A$267,'country region mapping'!$F$2:$F$267)</f>
        <v>#NAME?</v>
      </c>
      <c r="F713" s="1" t="e">
        <f t="array" aca="1" ref="F713" ca="1">_xludf.XLOOKUP(C713,'country region mapping'!$A$2:$A$267,'country region mapping'!$G$2:$G$267)</f>
        <v>#NAME?</v>
      </c>
      <c r="G713" s="1">
        <v>3.76</v>
      </c>
      <c r="H713" s="1">
        <v>117</v>
      </c>
      <c r="I713" s="1">
        <v>108</v>
      </c>
      <c r="J713" s="1">
        <v>109</v>
      </c>
      <c r="K713" s="1">
        <v>112</v>
      </c>
      <c r="L713" s="1">
        <v>49</v>
      </c>
      <c r="M713" s="1">
        <v>55</v>
      </c>
      <c r="N713" s="1">
        <v>76</v>
      </c>
      <c r="O713" s="1">
        <v>67</v>
      </c>
      <c r="P713" s="1">
        <v>95</v>
      </c>
      <c r="Q713" s="1">
        <v>55</v>
      </c>
      <c r="R713" s="1">
        <v>4</v>
      </c>
      <c r="S713" s="1">
        <v>18</v>
      </c>
    </row>
    <row r="714" spans="1:19">
      <c r="A714" s="1">
        <v>2021</v>
      </c>
      <c r="B714" s="1">
        <v>138</v>
      </c>
      <c r="C714" s="1" t="s">
        <v>210</v>
      </c>
      <c r="D714" s="1" t="e">
        <f t="array" aca="1" ref="D714" ca="1">_xludf.XLOOKUP(C714,'country region mapping'!$A$2:$A$250, 'country region mapping'!$E$2:$E$250)</f>
        <v>#NAME?</v>
      </c>
      <c r="E714" s="1" t="e">
        <f t="array" aca="1" ref="E714" ca="1">_xludf.XLOOKUP(C714,'country region mapping'!$A$2:$A$267,'country region mapping'!$F$2:$F$267)</f>
        <v>#NAME?</v>
      </c>
      <c r="F714" s="1" t="e">
        <f t="array" aca="1" ref="F714" ca="1">_xludf.XLOOKUP(C714,'country region mapping'!$A$2:$A$267,'country region mapping'!$G$2:$G$267)</f>
        <v>#NAME?</v>
      </c>
      <c r="G714" s="1">
        <v>3.75</v>
      </c>
      <c r="H714" s="1">
        <v>120</v>
      </c>
      <c r="I714" s="1">
        <v>116</v>
      </c>
      <c r="J714" s="1">
        <v>119</v>
      </c>
      <c r="K714" s="1">
        <v>106</v>
      </c>
      <c r="L714" s="1">
        <v>82</v>
      </c>
      <c r="M714" s="1">
        <v>113</v>
      </c>
      <c r="N714" s="1">
        <v>47</v>
      </c>
      <c r="O714" s="1">
        <v>107</v>
      </c>
      <c r="P714" s="1">
        <v>88</v>
      </c>
      <c r="Q714" s="1">
        <v>113</v>
      </c>
      <c r="R714" s="1">
        <v>29</v>
      </c>
      <c r="S714" s="1">
        <v>20</v>
      </c>
    </row>
    <row r="715" spans="1:19">
      <c r="A715" s="1">
        <v>2021</v>
      </c>
      <c r="B715" s="1">
        <v>139</v>
      </c>
      <c r="C715" s="1" t="s">
        <v>236</v>
      </c>
      <c r="D715" s="1" t="e">
        <f t="array" aca="1" ref="D715" ca="1">_xludf.XLOOKUP(C715,'country region mapping'!$A$2:$A$267,'country region mapping'!$E$2:$E$267)</f>
        <v>#NAME?</v>
      </c>
      <c r="E715" s="1" t="e">
        <f t="array" aca="1" ref="E715" ca="1">_xludf.XLOOKUP(C715,'country region mapping'!$A$2:$A$267,'country region mapping'!$F$2:$F$267)</f>
        <v>#NAME?</v>
      </c>
      <c r="F715" s="1" t="e">
        <f t="array" aca="1" ref="F715" ca="1">_xludf.XLOOKUP(C715,'country region mapping'!$A$2:$A$267,'country region mapping'!$G$2:$G$267)</f>
        <v>#NAME?</v>
      </c>
      <c r="G715" s="1">
        <v>3.702</v>
      </c>
      <c r="H715" s="1">
        <v>114</v>
      </c>
      <c r="I715" s="1">
        <v>109</v>
      </c>
      <c r="J715" s="1">
        <v>110</v>
      </c>
      <c r="K715" s="1">
        <v>96</v>
      </c>
      <c r="L715" s="1">
        <v>52</v>
      </c>
      <c r="M715" s="1">
        <v>68</v>
      </c>
      <c r="N715" s="1">
        <v>19</v>
      </c>
      <c r="O715" s="1">
        <v>70</v>
      </c>
      <c r="P715" s="1">
        <v>42</v>
      </c>
      <c r="Q715" s="1">
        <v>68</v>
      </c>
      <c r="R715" s="1">
        <v>97</v>
      </c>
      <c r="S715" s="1">
        <v>95</v>
      </c>
    </row>
    <row r="716" spans="1:19">
      <c r="A716" s="1">
        <v>2021</v>
      </c>
      <c r="B716" s="1">
        <v>140</v>
      </c>
      <c r="C716" s="1" t="s">
        <v>178</v>
      </c>
      <c r="D716" s="1" t="e">
        <f t="array" aca="1" ref="D716" ca="1">_xludf.XLOOKUP(C716,'country region mapping'!$A$2:$A$250, 'country region mapping'!$E$2:$E$250)</f>
        <v>#NAME?</v>
      </c>
      <c r="E716" s="1" t="e">
        <f t="array" aca="1" ref="E716" ca="1">_xludf.XLOOKUP(C716,'country region mapping'!$A$2:$A$267,'country region mapping'!$F$2:$F$267)</f>
        <v>#NAME?</v>
      </c>
      <c r="F716" s="1" t="e">
        <f t="array" aca="1" ref="F716" ca="1">_xludf.XLOOKUP(C716,'country region mapping'!$A$2:$A$267,'country region mapping'!$G$2:$G$267)</f>
        <v>#NAME?</v>
      </c>
      <c r="G716" s="1">
        <v>3.5739999999999998</v>
      </c>
      <c r="H716" s="1">
        <v>121</v>
      </c>
      <c r="I716" s="1">
        <v>110</v>
      </c>
      <c r="J716" s="1">
        <v>113</v>
      </c>
      <c r="K716" s="1">
        <v>111</v>
      </c>
      <c r="L716" s="1">
        <v>108</v>
      </c>
      <c r="M716" s="1">
        <v>80</v>
      </c>
      <c r="N716" s="1">
        <v>90</v>
      </c>
      <c r="O716" s="1">
        <v>109</v>
      </c>
      <c r="P716" s="1">
        <v>116</v>
      </c>
      <c r="Q716" s="1">
        <v>80</v>
      </c>
      <c r="R716" s="1">
        <v>3</v>
      </c>
      <c r="S716" s="1">
        <v>1</v>
      </c>
    </row>
    <row r="717" spans="1:19">
      <c r="A717" s="1">
        <v>2021</v>
      </c>
      <c r="B717" s="1">
        <v>141</v>
      </c>
      <c r="C717" s="1" t="s">
        <v>321</v>
      </c>
      <c r="D717" s="1" t="e">
        <f t="array" aca="1" ref="D717" ca="1">_xludf.XLOOKUP(C717,'country region mapping'!$A$2:$A$250, 'country region mapping'!$E$2:$E$250)</f>
        <v>#NAME?</v>
      </c>
      <c r="E717" s="1" t="e">
        <f t="array" aca="1" ref="E717" ca="1">_xludf.XLOOKUP(C717,'country region mapping'!$A$2:$A$267,'country region mapping'!$F$2:$F$267)</f>
        <v>#NAME?</v>
      </c>
      <c r="F717" s="1" t="e">
        <f t="array" aca="1" ref="F717" ca="1">_xludf.XLOOKUP(C717,'country region mapping'!$A$2:$A$267,'country region mapping'!$G$2:$G$267)</f>
        <v>#NAME?</v>
      </c>
      <c r="G717" s="1">
        <v>3.512</v>
      </c>
      <c r="H717" s="1"/>
      <c r="I717" s="1"/>
      <c r="J717" s="1"/>
      <c r="K717" s="1"/>
      <c r="L717" s="1"/>
      <c r="M717" s="1"/>
      <c r="N717" s="1"/>
      <c r="O717" s="1"/>
      <c r="S717" s="1"/>
    </row>
    <row r="718" spans="1:19">
      <c r="A718" s="1">
        <v>2021</v>
      </c>
      <c r="B718" s="1">
        <v>142</v>
      </c>
      <c r="C718" s="1" t="s">
        <v>218</v>
      </c>
      <c r="D718" s="1" t="e">
        <f t="array" aca="1" ref="D718" ca="1">_xludf.XLOOKUP(C718,'country region mapping'!$A$2:$A$250, 'country region mapping'!$E$2:$E$250)</f>
        <v>#NAME?</v>
      </c>
      <c r="E718" s="1" t="e">
        <f t="array" aca="1" ref="E718" ca="1">_xludf.XLOOKUP(C718,'country region mapping'!$A$2:$A$267,'country region mapping'!$F$2:$F$267)</f>
        <v>#NAME?</v>
      </c>
      <c r="F718" s="1" t="e">
        <f t="array" aca="1" ref="F718" ca="1">_xludf.XLOOKUP(C718,'country region mapping'!$A$2:$A$267,'country region mapping'!$G$2:$G$267)</f>
        <v>#NAME?</v>
      </c>
      <c r="G718" s="1">
        <v>3.4710000000000001</v>
      </c>
      <c r="H718" s="1"/>
      <c r="I718" s="1"/>
      <c r="J718" s="1"/>
      <c r="K718" s="1"/>
      <c r="L718" s="1"/>
      <c r="M718" s="1"/>
      <c r="N718" s="1"/>
      <c r="O718" s="1"/>
      <c r="P718" s="1"/>
      <c r="Q718" s="1"/>
      <c r="S718" s="1"/>
    </row>
    <row r="719" spans="1:19">
      <c r="A719" s="1">
        <v>2021</v>
      </c>
      <c r="B719" s="1">
        <v>143</v>
      </c>
      <c r="C719" s="1" t="s">
        <v>242</v>
      </c>
      <c r="D719" s="1" t="e">
        <f t="array" aca="1" ref="D719" ca="1">_xludf.XLOOKUP(C719,'country region mapping'!$A$2:$A$250, 'country region mapping'!$E$2:$E$250)</f>
        <v>#NAME?</v>
      </c>
      <c r="E719" s="1" t="e">
        <f t="array" aca="1" ref="E719" ca="1">_xludf.XLOOKUP(C719,'country region mapping'!$A$2:$A$267,'country region mapping'!$F$2:$F$267)</f>
        <v>#NAME?</v>
      </c>
      <c r="F719" s="1" t="e">
        <f t="array" aca="1" ref="F719" ca="1">_xludf.XLOOKUP(C719,'country region mapping'!$A$2:$A$267,'country region mapping'!$G$2:$G$267)</f>
        <v>#NAME?</v>
      </c>
      <c r="G719" s="1">
        <v>3.2679999999999998</v>
      </c>
      <c r="H719" s="1"/>
      <c r="I719" s="1"/>
      <c r="J719" s="1"/>
      <c r="K719" s="1"/>
      <c r="L719" s="1"/>
      <c r="M719" s="1"/>
      <c r="N719" s="1"/>
      <c r="O719" s="1"/>
      <c r="S719" s="1"/>
    </row>
    <row r="720" spans="1:19">
      <c r="A720" s="1">
        <v>2021</v>
      </c>
      <c r="B720" s="1">
        <v>144</v>
      </c>
      <c r="C720" s="1" t="s">
        <v>208</v>
      </c>
      <c r="D720" s="1" t="e">
        <f t="array" aca="1" ref="D720" ca="1">_xludf.XLOOKUP(C720,'country region mapping'!$A$2:$A$250, 'country region mapping'!$E$2:$E$250)</f>
        <v>#NAME?</v>
      </c>
      <c r="E720" s="1" t="e">
        <f t="array" aca="1" ref="E720" ca="1">_xludf.XLOOKUP(C720,'country region mapping'!$A$2:$A$267,'country region mapping'!$F$2:$F$267)</f>
        <v>#NAME?</v>
      </c>
      <c r="F720" s="1" t="e">
        <f t="array" aca="1" ref="F720" ca="1">_xludf.XLOOKUP(C720,'country region mapping'!$A$2:$A$267,'country region mapping'!$G$2:$G$267)</f>
        <v>#NAME?</v>
      </c>
      <c r="G720" s="1">
        <v>2.9950000000000001</v>
      </c>
      <c r="H720" s="1">
        <v>92</v>
      </c>
      <c r="I720" s="1">
        <v>100</v>
      </c>
      <c r="J720" s="1">
        <v>112</v>
      </c>
      <c r="K720" s="1">
        <v>115</v>
      </c>
      <c r="L720" s="1">
        <v>106</v>
      </c>
      <c r="M720" s="1">
        <v>117</v>
      </c>
      <c r="N720" s="1">
        <v>56</v>
      </c>
      <c r="O720" s="1">
        <v>89</v>
      </c>
      <c r="P720" s="1">
        <v>40</v>
      </c>
      <c r="Q720" s="1">
        <v>117</v>
      </c>
      <c r="R720" s="1">
        <v>81</v>
      </c>
      <c r="S720" s="1">
        <v>64</v>
      </c>
    </row>
    <row r="721" spans="1:19">
      <c r="A721" s="1">
        <v>2021</v>
      </c>
      <c r="B721" s="1">
        <v>145</v>
      </c>
      <c r="C721" s="1" t="s">
        <v>154</v>
      </c>
      <c r="D721" s="1" t="e">
        <f t="array" aca="1" ref="D721" ca="1">_xludf.XLOOKUP(C721,'country region mapping'!$A$2:$A$250, 'country region mapping'!$E$2:$E$250)</f>
        <v>#NAME?</v>
      </c>
      <c r="E721" s="1" t="e">
        <f t="array" aca="1" ref="E721" ca="1">_xludf.XLOOKUP(C721,'country region mapping'!$A$2:$A$267,'country region mapping'!$F$2:$F$267)</f>
        <v>#NAME?</v>
      </c>
      <c r="F721" s="1" t="e">
        <f t="array" aca="1" ref="F721" ca="1">_xludf.XLOOKUP(C721,'country region mapping'!$A$2:$A$267,'country region mapping'!$G$2:$G$267)</f>
        <v>#NAME?</v>
      </c>
      <c r="G721" s="1">
        <v>2.9550000000000001</v>
      </c>
      <c r="H721" s="1">
        <v>64</v>
      </c>
      <c r="I721" s="1">
        <v>118</v>
      </c>
      <c r="J721" s="1">
        <v>81</v>
      </c>
      <c r="K721" s="1">
        <v>66</v>
      </c>
      <c r="L721" s="1">
        <v>120</v>
      </c>
      <c r="M721" s="1">
        <v>112</v>
      </c>
      <c r="N721" s="1">
        <v>111</v>
      </c>
      <c r="O721" s="1">
        <v>121</v>
      </c>
      <c r="P721" s="1">
        <v>121</v>
      </c>
      <c r="Q721" s="1">
        <v>112</v>
      </c>
      <c r="R721" s="1">
        <v>120</v>
      </c>
      <c r="S721" s="1">
        <v>109</v>
      </c>
    </row>
    <row r="722" spans="1:19">
      <c r="A722" s="1">
        <v>2021</v>
      </c>
      <c r="B722" s="1">
        <v>146</v>
      </c>
      <c r="C722" s="1" t="s">
        <v>245</v>
      </c>
      <c r="D722" s="1" t="e">
        <f t="array" aca="1" ref="D722" ca="1">_xludf.XLOOKUP(C722,'country region mapping'!$A$2:$A$250, 'country region mapping'!$E$2:$E$250)</f>
        <v>#NAME?</v>
      </c>
      <c r="E722" s="1" t="e">
        <f t="array" aca="1" ref="E722" ca="1">_xludf.XLOOKUP(C722,'country region mapping'!$A$2:$A$267,'country region mapping'!$F$2:$F$267)</f>
        <v>#NAME?</v>
      </c>
      <c r="F722" s="1" t="e">
        <f t="array" aca="1" ref="F722" ca="1">_xludf.XLOOKUP(C722,'country region mapping'!$A$2:$A$267,'country region mapping'!$G$2:$G$267)</f>
        <v>#NAME?</v>
      </c>
      <c r="G722" s="1">
        <v>2.4039999999999999</v>
      </c>
      <c r="H722" s="1">
        <v>1</v>
      </c>
      <c r="I722" s="1">
        <v>121</v>
      </c>
      <c r="J722" s="1">
        <v>118</v>
      </c>
      <c r="K722" s="1">
        <v>116</v>
      </c>
      <c r="L722" s="1">
        <v>121</v>
      </c>
      <c r="M722" s="1">
        <v>121</v>
      </c>
      <c r="N722" s="1">
        <v>119</v>
      </c>
      <c r="O722" s="1">
        <v>122</v>
      </c>
      <c r="P722" s="1">
        <v>122</v>
      </c>
      <c r="Q722" s="1">
        <v>121</v>
      </c>
      <c r="R722" s="1">
        <v>102</v>
      </c>
      <c r="S722" s="1">
        <v>115</v>
      </c>
    </row>
    <row r="723" spans="1:19">
      <c r="A723" s="1">
        <v>2020</v>
      </c>
      <c r="B723" s="1">
        <v>1</v>
      </c>
      <c r="C723" s="1" t="s">
        <v>37</v>
      </c>
      <c r="D723" s="1" t="e">
        <f t="array" aca="1" ref="D723" ca="1">_xludf.XLOOKUP(C723,'country region mapping'!$A$2:$A$250, 'country region mapping'!$E$2:$E$250)</f>
        <v>#NAME?</v>
      </c>
      <c r="E723" s="1" t="e">
        <f t="array" aca="1" ref="E723" ca="1">_xludf.XLOOKUP(C723,'country region mapping'!$A$2:$A$267,'country region mapping'!$F$2:$F$267)</f>
        <v>#NAME?</v>
      </c>
      <c r="F723" s="1" t="e">
        <f t="array" aca="1" ref="F723" ca="1">_xludf.XLOOKUP(C723,'country region mapping'!$A$2:$A$267,'country region mapping'!$G$2:$G$267)</f>
        <v>#NAME?</v>
      </c>
      <c r="G723" s="1">
        <v>7.8419999999999996</v>
      </c>
      <c r="H723" s="1">
        <v>2</v>
      </c>
      <c r="I723" s="1">
        <v>4</v>
      </c>
      <c r="J723" s="1">
        <v>15</v>
      </c>
      <c r="K723" s="1">
        <v>17</v>
      </c>
      <c r="L723" s="1">
        <v>3</v>
      </c>
      <c r="M723" s="1">
        <v>63</v>
      </c>
      <c r="N723" s="1">
        <v>1</v>
      </c>
      <c r="O723" s="1">
        <v>21</v>
      </c>
      <c r="P723" s="1">
        <v>8</v>
      </c>
      <c r="Q723" s="1">
        <v>63</v>
      </c>
      <c r="R723" s="1">
        <v>34</v>
      </c>
      <c r="S723" s="1">
        <v>95</v>
      </c>
    </row>
    <row r="724" spans="1:19">
      <c r="A724" s="1">
        <v>2020</v>
      </c>
      <c r="B724" s="1">
        <v>2</v>
      </c>
      <c r="C724" s="1" t="s">
        <v>30</v>
      </c>
      <c r="D724" s="1" t="e">
        <f t="array" aca="1" ref="D724" ca="1">_xludf.XLOOKUP(C724,'country region mapping'!$A$2:$A$250, 'country region mapping'!$E$2:$E$250)</f>
        <v>#NAME?</v>
      </c>
      <c r="E724" s="1" t="e">
        <f t="array" aca="1" ref="E724" ca="1">_xludf.XLOOKUP(C724,'country region mapping'!$A$2:$A$267,'country region mapping'!$F$2:$F$267)</f>
        <v>#NAME?</v>
      </c>
      <c r="F724" s="1" t="e">
        <f t="array" aca="1" ref="F724" ca="1">_xludf.XLOOKUP(C724,'country region mapping'!$A$2:$A$267,'country region mapping'!$G$2:$G$267)</f>
        <v>#NAME?</v>
      </c>
      <c r="G724" s="1">
        <v>7.62</v>
      </c>
      <c r="H724" s="1">
        <v>18</v>
      </c>
      <c r="I724" s="1">
        <v>14</v>
      </c>
      <c r="J724" s="1">
        <v>6</v>
      </c>
      <c r="K724" s="1">
        <v>13</v>
      </c>
      <c r="L724" s="1">
        <v>11</v>
      </c>
      <c r="M724" s="1">
        <v>18</v>
      </c>
      <c r="N724" s="1">
        <v>3</v>
      </c>
      <c r="O724" s="1">
        <v>19</v>
      </c>
      <c r="P724" s="1">
        <v>22</v>
      </c>
      <c r="Q724" s="1">
        <v>18</v>
      </c>
      <c r="R724" s="1">
        <v>51</v>
      </c>
      <c r="S724" s="1">
        <v>84</v>
      </c>
    </row>
    <row r="725" spans="1:19">
      <c r="A725" s="1">
        <v>2020</v>
      </c>
      <c r="B725" s="1">
        <v>3</v>
      </c>
      <c r="C725" s="1" t="s">
        <v>32</v>
      </c>
      <c r="D725" s="1" t="e">
        <f t="array" aca="1" ref="D725" ca="1">_xludf.XLOOKUP(C725,'country region mapping'!$A$2:$A$250, 'country region mapping'!$E$2:$E$250)</f>
        <v>#NAME?</v>
      </c>
      <c r="E725" s="1" t="e">
        <f t="array" aca="1" ref="E725" ca="1">_xludf.XLOOKUP(C725,'country region mapping'!$A$2:$A$267,'country region mapping'!$F$2:$F$267)</f>
        <v>#NAME?</v>
      </c>
      <c r="F725" s="1" t="e">
        <f t="array" aca="1" ref="F725" ca="1">_xludf.XLOOKUP(C725,'country region mapping'!$A$2:$A$267,'country region mapping'!$G$2:$G$267)</f>
        <v>#NAME?</v>
      </c>
      <c r="G725" s="1">
        <v>7.5709999999999997</v>
      </c>
      <c r="H725" s="1">
        <v>6</v>
      </c>
      <c r="I725" s="1">
        <v>16</v>
      </c>
      <c r="J725" s="1">
        <v>3</v>
      </c>
      <c r="K725" s="1">
        <v>8</v>
      </c>
      <c r="L725" s="1">
        <v>19</v>
      </c>
      <c r="M725" s="1">
        <v>39</v>
      </c>
      <c r="N725" s="1">
        <v>5</v>
      </c>
      <c r="O725" s="1">
        <v>30</v>
      </c>
      <c r="P725" s="1">
        <v>9</v>
      </c>
      <c r="Q725" s="1">
        <v>39</v>
      </c>
      <c r="R725" s="1">
        <v>48</v>
      </c>
      <c r="S725" s="1">
        <v>113</v>
      </c>
    </row>
    <row r="726" spans="1:19">
      <c r="A726" s="1">
        <v>2020</v>
      </c>
      <c r="B726" s="1">
        <v>4</v>
      </c>
      <c r="C726" s="1" t="s">
        <v>34</v>
      </c>
      <c r="D726" s="1" t="e">
        <f t="array" aca="1" ref="D726" ca="1">_xludf.XLOOKUP(C726,'country region mapping'!$A$2:$A$250, 'country region mapping'!$E$2:$E$250)</f>
        <v>#NAME?</v>
      </c>
      <c r="E726" s="1" t="e">
        <f t="array" aca="1" ref="E726" ca="1">_xludf.XLOOKUP(C726,'country region mapping'!$A$2:$A$267,'country region mapping'!$F$2:$F$267)</f>
        <v>#NAME?</v>
      </c>
      <c r="F726" s="1" t="e">
        <f t="array" aca="1" ref="F726" ca="1">_xludf.XLOOKUP(C726,'country region mapping'!$A$2:$A$267,'country region mapping'!$G$2:$G$267)</f>
        <v>#NAME?</v>
      </c>
      <c r="G726" s="1">
        <v>7.5540000000000003</v>
      </c>
      <c r="H726" s="1">
        <v>4</v>
      </c>
      <c r="I726" s="1">
        <v>1</v>
      </c>
      <c r="J726" s="1">
        <v>11</v>
      </c>
      <c r="K726" s="1">
        <v>3</v>
      </c>
      <c r="L726" s="1">
        <v>7</v>
      </c>
      <c r="M726" s="1">
        <v>7</v>
      </c>
      <c r="N726" s="1">
        <v>28</v>
      </c>
      <c r="O726" s="1">
        <v>3</v>
      </c>
      <c r="P726" s="1">
        <v>4</v>
      </c>
      <c r="Q726" s="1">
        <v>7</v>
      </c>
      <c r="R726" s="1">
        <v>63</v>
      </c>
      <c r="S726" s="1">
        <v>108</v>
      </c>
    </row>
    <row r="727" spans="1:19">
      <c r="A727" s="1">
        <v>2020</v>
      </c>
      <c r="B727" s="1">
        <v>5</v>
      </c>
      <c r="C727" s="1" t="s">
        <v>40</v>
      </c>
      <c r="D727" s="1" t="e">
        <f t="array" aca="1" ref="D727" ca="1">_xludf.XLOOKUP(C727,'country region mapping'!$A$2:$A$267,'country region mapping'!$E$2:$E$267)</f>
        <v>#NAME?</v>
      </c>
      <c r="E727" s="1" t="e">
        <f t="array" aca="1" ref="E727" ca="1">_xludf.XLOOKUP(C727,'country region mapping'!$A$2:$A$267,'country region mapping'!$F$2:$F$267)</f>
        <v>#NAME?</v>
      </c>
      <c r="F727" s="1" t="e">
        <f t="array" aca="1" ref="F727" ca="1">_xludf.XLOOKUP(C727,'country region mapping'!$A$2:$A$267,'country region mapping'!$G$2:$G$267)</f>
        <v>#NAME?</v>
      </c>
      <c r="G727" s="1">
        <v>7.4640000000000004</v>
      </c>
      <c r="H727" s="1">
        <v>1</v>
      </c>
      <c r="I727" s="1">
        <v>17</v>
      </c>
      <c r="J727" s="1">
        <v>7</v>
      </c>
      <c r="K727" s="1"/>
      <c r="L727" s="1">
        <v>13</v>
      </c>
      <c r="M727" s="1">
        <v>8</v>
      </c>
      <c r="N727" s="1">
        <v>6</v>
      </c>
      <c r="O727" s="1">
        <v>52</v>
      </c>
      <c r="P727" s="1">
        <v>28</v>
      </c>
      <c r="Q727" s="1">
        <v>8</v>
      </c>
      <c r="R727" s="1">
        <v>40</v>
      </c>
      <c r="S727" s="1">
        <v>109</v>
      </c>
    </row>
    <row r="728" spans="1:19">
      <c r="A728" s="1">
        <v>2020</v>
      </c>
      <c r="B728" s="1">
        <v>6</v>
      </c>
      <c r="C728" s="1" t="s">
        <v>35</v>
      </c>
      <c r="D728" s="1" t="e">
        <f t="array" aca="1" ref="D728" ca="1">_xludf.XLOOKUP(C728,'country region mapping'!$A$2:$A$250, 'country region mapping'!$E$2:$E$250)</f>
        <v>#NAME?</v>
      </c>
      <c r="E728" s="1" t="e">
        <f t="array" aca="1" ref="E728" ca="1">_xludf.XLOOKUP(C728,'country region mapping'!$A$2:$A$267,'country region mapping'!$F$2:$F$267)</f>
        <v>#NAME?</v>
      </c>
      <c r="F728" s="1" t="e">
        <f t="array" aca="1" ref="F728" ca="1">_xludf.XLOOKUP(C728,'country region mapping'!$A$2:$A$267,'country region mapping'!$G$2:$G$267)</f>
        <v>#NAME?</v>
      </c>
      <c r="G728" s="1">
        <v>7.3920000000000003</v>
      </c>
      <c r="H728" s="1">
        <v>12</v>
      </c>
      <c r="I728" s="1">
        <v>8</v>
      </c>
      <c r="J728" s="1">
        <v>2</v>
      </c>
      <c r="K728" s="1">
        <v>5</v>
      </c>
      <c r="L728" s="1">
        <v>1</v>
      </c>
      <c r="M728" s="1">
        <v>12</v>
      </c>
      <c r="N728" s="1">
        <v>4</v>
      </c>
      <c r="O728" s="1">
        <v>6</v>
      </c>
      <c r="P728" s="1">
        <v>18</v>
      </c>
      <c r="Q728" s="1">
        <v>12</v>
      </c>
      <c r="R728" s="1">
        <v>50</v>
      </c>
      <c r="S728" s="1">
        <v>104</v>
      </c>
    </row>
    <row r="729" spans="1:19">
      <c r="A729" s="1">
        <v>2020</v>
      </c>
      <c r="B729" s="1">
        <v>7</v>
      </c>
      <c r="C729" s="1" t="s">
        <v>45</v>
      </c>
      <c r="D729" s="1" t="e">
        <f t="array" aca="1" ref="D729" ca="1">_xludf.XLOOKUP(C729,'country region mapping'!$A$2:$A$250, 'country region mapping'!$E$2:$E$250)</f>
        <v>#NAME?</v>
      </c>
      <c r="E729" s="1" t="e">
        <f t="array" aca="1" ref="E729" ca="1">_xludf.XLOOKUP(C729,'country region mapping'!$A$2:$A$267,'country region mapping'!$F$2:$F$267)</f>
        <v>#NAME?</v>
      </c>
      <c r="F729" s="1" t="e">
        <f t="array" aca="1" ref="F729" ca="1">_xludf.XLOOKUP(C729,'country region mapping'!$A$2:$A$267,'country region mapping'!$G$2:$G$267)</f>
        <v>#NAME?</v>
      </c>
      <c r="G729" s="1">
        <v>7.3630000000000004</v>
      </c>
      <c r="H729" s="1">
        <v>17</v>
      </c>
      <c r="I729" s="1">
        <v>22</v>
      </c>
      <c r="J729" s="1">
        <v>12</v>
      </c>
      <c r="K729" s="1">
        <v>9</v>
      </c>
      <c r="L729" s="1">
        <v>6</v>
      </c>
      <c r="M729" s="1">
        <v>11</v>
      </c>
      <c r="N729" s="1">
        <v>2</v>
      </c>
      <c r="O729" s="1">
        <v>38</v>
      </c>
      <c r="P729" s="1">
        <v>20</v>
      </c>
      <c r="Q729" s="1">
        <v>11</v>
      </c>
      <c r="R729" s="1">
        <v>97</v>
      </c>
      <c r="S729" s="1">
        <v>101</v>
      </c>
    </row>
    <row r="730" spans="1:19">
      <c r="A730" s="1">
        <v>2020</v>
      </c>
      <c r="B730" s="1">
        <v>8</v>
      </c>
      <c r="C730" s="1" t="s">
        <v>59</v>
      </c>
      <c r="D730" s="1" t="e">
        <f t="array" aca="1" ref="D730" ca="1">_xludf.XLOOKUP(C730,'country region mapping'!$A$2:$A$250, 'country region mapping'!$E$2:$E$250)</f>
        <v>#NAME?</v>
      </c>
      <c r="E730" s="1" t="e">
        <f t="array" aca="1" ref="E730" ca="1">_xludf.XLOOKUP(C730,'country region mapping'!$A$2:$A$267,'country region mapping'!$F$2:$F$267)</f>
        <v>#NAME?</v>
      </c>
      <c r="F730" s="1" t="e">
        <f t="array" aca="1" ref="F730" ca="1">_xludf.XLOOKUP(C730,'country region mapping'!$A$2:$A$267,'country region mapping'!$G$2:$G$267)</f>
        <v>#NAME?</v>
      </c>
      <c r="G730" s="1">
        <v>7.3239999999999998</v>
      </c>
      <c r="H730" s="1"/>
      <c r="I730" s="1"/>
      <c r="J730" s="1"/>
      <c r="K730" s="1"/>
      <c r="L730" s="1"/>
      <c r="M730" s="1"/>
      <c r="N730" s="1"/>
      <c r="O730" s="1"/>
      <c r="Q730" s="1"/>
      <c r="R730" s="1"/>
      <c r="S730" s="1"/>
    </row>
    <row r="731" spans="1:19">
      <c r="A731" s="1">
        <v>2020</v>
      </c>
      <c r="B731" s="1">
        <v>9</v>
      </c>
      <c r="C731" s="1" t="s">
        <v>42</v>
      </c>
      <c r="D731" s="1" t="e">
        <f t="array" aca="1" ref="D731" ca="1">_xludf.XLOOKUP(C731,'country region mapping'!$A$2:$A$250, 'country region mapping'!$E$2:$E$250)</f>
        <v>#NAME?</v>
      </c>
      <c r="E731" s="1" t="e">
        <f t="array" aca="1" ref="E731" ca="1">_xludf.XLOOKUP(C731,'country region mapping'!$A$2:$A$267,'country region mapping'!$F$2:$F$267)</f>
        <v>#NAME?</v>
      </c>
      <c r="F731" s="1" t="e">
        <f t="array" aca="1" ref="F731" ca="1">_xludf.XLOOKUP(C731,'country region mapping'!$A$2:$A$267,'country region mapping'!$G$2:$G$267)</f>
        <v>#NAME?</v>
      </c>
      <c r="G731" s="1">
        <v>7.2770000000000001</v>
      </c>
      <c r="H731" s="1">
        <v>16</v>
      </c>
      <c r="I731" s="1">
        <v>13</v>
      </c>
      <c r="J731" s="1">
        <v>22</v>
      </c>
      <c r="K731" s="1">
        <v>14</v>
      </c>
      <c r="L731" s="1">
        <v>18</v>
      </c>
      <c r="M731" s="1">
        <v>10</v>
      </c>
      <c r="N731" s="1">
        <v>7</v>
      </c>
      <c r="O731" s="1">
        <v>4</v>
      </c>
      <c r="P731" s="1">
        <v>16</v>
      </c>
      <c r="Q731" s="1">
        <v>10</v>
      </c>
      <c r="R731" s="1">
        <v>7</v>
      </c>
      <c r="S731" s="1">
        <v>68</v>
      </c>
    </row>
    <row r="732" spans="1:19">
      <c r="A732" s="1">
        <v>2020</v>
      </c>
      <c r="B732" s="1">
        <v>10</v>
      </c>
      <c r="C732" s="1" t="s">
        <v>49</v>
      </c>
      <c r="D732" s="1" t="e">
        <f t="array" aca="1" ref="D732" ca="1">_xludf.XLOOKUP(C732,'country region mapping'!$A$2:$A$250, 'country region mapping'!$E$2:$E$250)</f>
        <v>#NAME?</v>
      </c>
      <c r="E732" s="1" t="e">
        <f t="array" aca="1" ref="E732" ca="1">_xludf.XLOOKUP(C732,'country region mapping'!$A$2:$A$267,'country region mapping'!$F$2:$F$267)</f>
        <v>#NAME?</v>
      </c>
      <c r="F732" s="1" t="e">
        <f t="array" aca="1" ref="F732" ca="1">_xludf.XLOOKUP(C732,'country region mapping'!$A$2:$A$267,'country region mapping'!$G$2:$G$267)</f>
        <v>#NAME?</v>
      </c>
      <c r="G732" s="1">
        <v>7.2679999999999998</v>
      </c>
      <c r="H732" s="1">
        <v>7</v>
      </c>
      <c r="I732" s="1">
        <v>27</v>
      </c>
      <c r="J732" s="1">
        <v>9</v>
      </c>
      <c r="K732" s="1">
        <v>18</v>
      </c>
      <c r="L732" s="1">
        <v>22</v>
      </c>
      <c r="M732" s="1">
        <v>29</v>
      </c>
      <c r="N732" s="1">
        <v>13</v>
      </c>
      <c r="O732" s="1">
        <v>39</v>
      </c>
      <c r="P732" s="1">
        <v>15</v>
      </c>
      <c r="Q732" s="1">
        <v>29</v>
      </c>
      <c r="R732" s="1">
        <v>56</v>
      </c>
      <c r="S732" s="1">
        <v>96</v>
      </c>
    </row>
    <row r="733" spans="1:19">
      <c r="A733" s="1">
        <v>2020</v>
      </c>
      <c r="B733" s="1">
        <v>11</v>
      </c>
      <c r="C733" s="1" t="s">
        <v>43</v>
      </c>
      <c r="D733" s="1" t="e">
        <f t="array" aca="1" ref="D733" ca="1">_xludf.XLOOKUP(C733,'country region mapping'!$A$2:$A$250, 'country region mapping'!$E$2:$E$250)</f>
        <v>#NAME?</v>
      </c>
      <c r="E733" s="1" t="e">
        <f t="array" aca="1" ref="E733" ca="1">_xludf.XLOOKUP(C733,'country region mapping'!$A$2:$A$267,'country region mapping'!$F$2:$F$267)</f>
        <v>#NAME?</v>
      </c>
      <c r="F733" s="1" t="e">
        <f t="array" aca="1" ref="F733" ca="1">_xludf.XLOOKUP(C733,'country region mapping'!$A$2:$A$267,'country region mapping'!$G$2:$G$267)</f>
        <v>#NAME?</v>
      </c>
      <c r="G733" s="1">
        <v>7.1829999999999998</v>
      </c>
      <c r="H733" s="1">
        <v>22</v>
      </c>
      <c r="I733" s="1">
        <v>21</v>
      </c>
      <c r="J733" s="1">
        <v>14</v>
      </c>
      <c r="K733" s="1">
        <v>10</v>
      </c>
      <c r="L733" s="1">
        <v>26</v>
      </c>
      <c r="M733" s="1">
        <v>3</v>
      </c>
      <c r="N733" s="1">
        <v>16</v>
      </c>
      <c r="O733" s="1">
        <v>32</v>
      </c>
      <c r="P733" s="1">
        <v>13</v>
      </c>
      <c r="Q733" s="1">
        <v>3</v>
      </c>
      <c r="R733" s="1">
        <v>14</v>
      </c>
      <c r="S733" s="1">
        <v>58</v>
      </c>
    </row>
    <row r="734" spans="1:19">
      <c r="A734" s="1">
        <v>2020</v>
      </c>
      <c r="B734" s="1">
        <v>12</v>
      </c>
      <c r="C734" s="1" t="s">
        <v>47</v>
      </c>
      <c r="D734" s="1" t="e">
        <f t="array" aca="1" ref="D734" ca="1">_xludf.XLOOKUP(C734,'country region mapping'!$A$2:$A$250, 'country region mapping'!$E$2:$E$250)</f>
        <v>#NAME?</v>
      </c>
      <c r="E734" s="1" t="e">
        <f t="array" aca="1" ref="E734" ca="1">_xludf.XLOOKUP(C734,'country region mapping'!$A$2:$A$267,'country region mapping'!$F$2:$F$267)</f>
        <v>#NAME?</v>
      </c>
      <c r="F734" s="1" t="e">
        <f t="array" aca="1" ref="F734" ca="1">_xludf.XLOOKUP(C734,'country region mapping'!$A$2:$A$267,'country region mapping'!$G$2:$G$267)</f>
        <v>#NAME?</v>
      </c>
      <c r="G734" s="1">
        <v>7.157</v>
      </c>
      <c r="H734" s="1">
        <v>14</v>
      </c>
      <c r="I734" s="1">
        <v>6</v>
      </c>
      <c r="J734" s="1">
        <v>29</v>
      </c>
      <c r="K734" s="1">
        <v>4</v>
      </c>
      <c r="L734" s="1">
        <v>51</v>
      </c>
      <c r="M734" s="1">
        <v>46</v>
      </c>
      <c r="N734" s="1">
        <v>43</v>
      </c>
      <c r="O734" s="1">
        <v>99</v>
      </c>
      <c r="P734" s="1">
        <v>25</v>
      </c>
      <c r="Q734" s="1">
        <v>46</v>
      </c>
      <c r="R734" s="1">
        <v>88</v>
      </c>
      <c r="S734" s="1">
        <v>103</v>
      </c>
    </row>
    <row r="735" spans="1:19">
      <c r="A735" s="1">
        <v>2020</v>
      </c>
      <c r="B735" s="1">
        <v>13</v>
      </c>
      <c r="C735" s="1" t="s">
        <v>539</v>
      </c>
      <c r="D735" s="1" t="e">
        <f t="array" aca="1" ref="D735" ca="1">_xludf.XLOOKUP(C735,'country region mapping'!$A$2:$A$250, 'country region mapping'!$E$2:$E$250)</f>
        <v>#NAME?</v>
      </c>
      <c r="E735" s="1" t="e">
        <f t="array" aca="1" ref="E735" ca="1">_xludf.XLOOKUP(C735,'country region mapping'!$A$2:$A$267,'country region mapping'!$F$2:$F$267)</f>
        <v>#NAME?</v>
      </c>
      <c r="F735" s="1" t="e">
        <f t="array" aca="1" ref="F735" ca="1">_xludf.XLOOKUP(C735,'country region mapping'!$A$2:$A$267,'country region mapping'!$G$2:$G$267)</f>
        <v>#NAME?</v>
      </c>
      <c r="G735" s="1">
        <v>7.1550000000000002</v>
      </c>
      <c r="H735" s="1">
        <v>10</v>
      </c>
      <c r="I735" s="1">
        <v>33</v>
      </c>
      <c r="J735" s="1">
        <v>10</v>
      </c>
      <c r="K735" s="1">
        <v>25</v>
      </c>
      <c r="L735" s="1">
        <v>40</v>
      </c>
      <c r="M735" s="1">
        <v>41</v>
      </c>
      <c r="N735" s="1">
        <v>11</v>
      </c>
      <c r="O735" s="1">
        <v>50</v>
      </c>
      <c r="P735" s="1">
        <v>14</v>
      </c>
      <c r="Q735" s="1">
        <v>41</v>
      </c>
      <c r="R735" s="1">
        <v>72</v>
      </c>
      <c r="S735" s="1">
        <v>102</v>
      </c>
    </row>
    <row r="736" spans="1:19">
      <c r="A736" s="1">
        <v>2020</v>
      </c>
      <c r="B736" s="1">
        <v>14</v>
      </c>
      <c r="C736" s="1" t="s">
        <v>38</v>
      </c>
      <c r="D736" s="1" t="e">
        <f t="array" aca="1" ref="D736" ca="1">_xludf.XLOOKUP(C736,'country region mapping'!$A$2:$A$250, 'country region mapping'!$E$2:$E$250)</f>
        <v>#NAME?</v>
      </c>
      <c r="E736" s="1" t="e">
        <f t="array" aca="1" ref="E736" ca="1">_xludf.XLOOKUP(C736,'country region mapping'!$A$2:$A$267,'country region mapping'!$F$2:$F$267)</f>
        <v>#NAME?</v>
      </c>
      <c r="F736" s="1" t="e">
        <f t="array" aca="1" ref="F736" ca="1">_xludf.XLOOKUP(C736,'country region mapping'!$A$2:$A$267,'country region mapping'!$G$2:$G$267)</f>
        <v>#NAME?</v>
      </c>
      <c r="G736" s="1">
        <v>7.1029999999999998</v>
      </c>
      <c r="H736" s="1">
        <v>25</v>
      </c>
      <c r="I736" s="1">
        <v>24</v>
      </c>
      <c r="J736" s="1">
        <v>16</v>
      </c>
      <c r="K736" s="1">
        <v>19</v>
      </c>
      <c r="L736" s="1">
        <v>29</v>
      </c>
      <c r="M736" s="1">
        <v>25</v>
      </c>
      <c r="N736" s="1">
        <v>12</v>
      </c>
      <c r="O736" s="1">
        <v>26</v>
      </c>
      <c r="P736" s="1">
        <v>64</v>
      </c>
      <c r="Q736" s="1">
        <v>25</v>
      </c>
      <c r="R736" s="1">
        <v>53</v>
      </c>
      <c r="S736" s="1">
        <v>76</v>
      </c>
    </row>
    <row r="737" spans="1:19">
      <c r="A737" s="1">
        <v>2020</v>
      </c>
      <c r="B737" s="1">
        <v>15</v>
      </c>
      <c r="C737" s="1" t="s">
        <v>57</v>
      </c>
      <c r="D737" s="1" t="e">
        <f t="array" aca="1" ref="D737" ca="1">_xludf.XLOOKUP(C737,'country region mapping'!$A$2:$A$250, 'country region mapping'!$E$2:$E$250)</f>
        <v>#NAME?</v>
      </c>
      <c r="E737" s="1" t="e">
        <f t="array" aca="1" ref="E737" ca="1">_xludf.XLOOKUP(C737,'country region mapping'!$A$2:$A$267,'country region mapping'!$F$2:$F$267)</f>
        <v>#NAME?</v>
      </c>
      <c r="F737" s="1" t="e">
        <f t="array" aca="1" ref="F737" ca="1">_xludf.XLOOKUP(C737,'country region mapping'!$A$2:$A$267,'country region mapping'!$G$2:$G$267)</f>
        <v>#NAME?</v>
      </c>
      <c r="G737" s="1">
        <v>7.085</v>
      </c>
      <c r="H737" s="1">
        <v>9</v>
      </c>
      <c r="I737" s="1">
        <v>5</v>
      </c>
      <c r="J737" s="1">
        <v>1</v>
      </c>
      <c r="K737" s="1">
        <v>15</v>
      </c>
      <c r="L737" s="1">
        <v>32</v>
      </c>
      <c r="M737" s="1">
        <v>21</v>
      </c>
      <c r="N737" s="1">
        <v>8</v>
      </c>
      <c r="O737" s="1">
        <v>18</v>
      </c>
      <c r="P737" s="1">
        <v>27</v>
      </c>
      <c r="Q737" s="1">
        <v>21</v>
      </c>
      <c r="R737" s="1">
        <v>21</v>
      </c>
      <c r="S737" s="1">
        <v>80</v>
      </c>
    </row>
    <row r="738" spans="1:19">
      <c r="A738" s="1">
        <v>2020</v>
      </c>
      <c r="B738" s="1">
        <v>16</v>
      </c>
      <c r="C738" s="1" t="s">
        <v>52</v>
      </c>
      <c r="D738" s="1" t="e">
        <f t="array" aca="1" ref="D738" ca="1">_xludf.XLOOKUP(C738,'country region mapping'!$A$2:$A$250, 'country region mapping'!$E$2:$E$250)</f>
        <v>#NAME?</v>
      </c>
      <c r="E738" s="1" t="e">
        <f t="array" aca="1" ref="E738" ca="1">_xludf.XLOOKUP(C738,'country region mapping'!$A$2:$A$267,'country region mapping'!$F$2:$F$267)</f>
        <v>#NAME?</v>
      </c>
      <c r="F738" s="1" t="e">
        <f t="array" aca="1" ref="F738" ca="1">_xludf.XLOOKUP(C738,'country region mapping'!$A$2:$A$267,'country region mapping'!$G$2:$G$267)</f>
        <v>#NAME?</v>
      </c>
      <c r="G738" s="1">
        <v>7.069</v>
      </c>
      <c r="H738" s="1">
        <v>59</v>
      </c>
      <c r="I738" s="1">
        <v>60</v>
      </c>
      <c r="J738" s="1">
        <v>49</v>
      </c>
      <c r="K738" s="1">
        <v>26</v>
      </c>
      <c r="L738" s="1">
        <v>28</v>
      </c>
      <c r="M738" s="1">
        <v>92</v>
      </c>
      <c r="N738" s="1">
        <v>48</v>
      </c>
      <c r="O738" s="1">
        <v>14</v>
      </c>
      <c r="P738" s="1">
        <v>88</v>
      </c>
      <c r="Q738" s="1">
        <v>92</v>
      </c>
      <c r="R738" s="1">
        <v>89</v>
      </c>
      <c r="S738" s="1">
        <v>54</v>
      </c>
    </row>
    <row r="739" spans="1:19">
      <c r="A739" s="1">
        <v>2020</v>
      </c>
      <c r="B739" s="1">
        <v>17</v>
      </c>
      <c r="C739" s="1" t="s">
        <v>64</v>
      </c>
      <c r="D739" s="1" t="e">
        <f t="array" aca="1" ref="D739" ca="1">_xludf.XLOOKUP(C739,'country region mapping'!$A$2:$A$267,'country region mapping'!$E$2:$E$267)</f>
        <v>#NAME?</v>
      </c>
      <c r="E739" s="1" t="e">
        <f t="array" aca="1" ref="E739" ca="1">_xludf.XLOOKUP(C739,'country region mapping'!$A$2:$A$267,'country region mapping'!$F$2:$F$267)</f>
        <v>#NAME?</v>
      </c>
      <c r="F739" s="1" t="e">
        <f t="array" aca="1" ref="F739" ca="1">_xludf.XLOOKUP(C739,'country region mapping'!$A$2:$A$267,'country region mapping'!$G$2:$G$267)</f>
        <v>#NAME?</v>
      </c>
      <c r="G739" s="1">
        <v>7.0640000000000001</v>
      </c>
      <c r="H739" s="1">
        <v>13</v>
      </c>
      <c r="I739" s="1">
        <v>25</v>
      </c>
      <c r="J739" s="1">
        <v>21</v>
      </c>
      <c r="K739" s="1">
        <v>27</v>
      </c>
      <c r="L739" s="1">
        <v>30</v>
      </c>
      <c r="M739" s="1">
        <v>6</v>
      </c>
      <c r="N739" s="1">
        <v>14</v>
      </c>
      <c r="O739" s="1">
        <v>37</v>
      </c>
      <c r="P739" s="1">
        <v>21</v>
      </c>
      <c r="Q739" s="1">
        <v>6</v>
      </c>
      <c r="R739" s="1">
        <v>37</v>
      </c>
      <c r="S739" s="1">
        <v>91</v>
      </c>
    </row>
    <row r="740" spans="1:19">
      <c r="A740" s="1">
        <v>2020</v>
      </c>
      <c r="B740" s="1">
        <v>18</v>
      </c>
      <c r="C740" s="1" t="s">
        <v>70</v>
      </c>
      <c r="D740" s="1" t="e">
        <f t="array" aca="1" ref="D740" ca="1">_xludf.XLOOKUP(C740,'country region mapping'!$A$2:$A$250, 'country region mapping'!$E$2:$E$250)</f>
        <v>#NAME?</v>
      </c>
      <c r="E740" s="1" t="e">
        <f t="array" aca="1" ref="E740" ca="1">_xludf.XLOOKUP(C740,'country region mapping'!$A$2:$A$267,'country region mapping'!$F$2:$F$267)</f>
        <v>#NAME?</v>
      </c>
      <c r="F740" s="1" t="e">
        <f t="array" aca="1" ref="F740" ca="1">_xludf.XLOOKUP(C740,'country region mapping'!$A$2:$A$267,'country region mapping'!$G$2:$G$267)</f>
        <v>#NAME?</v>
      </c>
      <c r="G740" s="1">
        <v>6.9649999999999999</v>
      </c>
      <c r="H740" s="1">
        <v>29</v>
      </c>
      <c r="I740" s="1">
        <v>3</v>
      </c>
      <c r="J740" s="1">
        <v>25</v>
      </c>
      <c r="K740" s="1">
        <v>33</v>
      </c>
      <c r="L740" s="1">
        <v>24</v>
      </c>
      <c r="M740" s="1">
        <v>76</v>
      </c>
      <c r="N740" s="1">
        <v>93</v>
      </c>
      <c r="O740" s="1">
        <v>20</v>
      </c>
      <c r="P740" s="1">
        <v>55</v>
      </c>
      <c r="Q740" s="1">
        <v>76</v>
      </c>
      <c r="R740" s="1">
        <v>47</v>
      </c>
      <c r="S740" s="1">
        <v>88</v>
      </c>
    </row>
    <row r="741" spans="1:19">
      <c r="A741" s="1">
        <v>2020</v>
      </c>
      <c r="B741" s="1">
        <v>19</v>
      </c>
      <c r="C741" s="1" t="s">
        <v>51</v>
      </c>
      <c r="D741" s="1" t="e">
        <f t="array" aca="1" ref="D741" ca="1">_xludf.XLOOKUP(C741,'country region mapping'!$A$2:$A$267,'country region mapping'!$E$2:$E$267)</f>
        <v>#NAME?</v>
      </c>
      <c r="E741" s="1" t="e">
        <f t="array" aca="1" ref="E741" ca="1">_xludf.XLOOKUP(C741,'country region mapping'!$A$2:$A$267,'country region mapping'!$F$2:$F$267)</f>
        <v>#NAME?</v>
      </c>
      <c r="F741" s="1" t="e">
        <f t="array" aca="1" ref="F741" ca="1">_xludf.XLOOKUP(C741,'country region mapping'!$A$2:$A$267,'country region mapping'!$G$2:$G$267)</f>
        <v>#NAME?</v>
      </c>
      <c r="G741" s="1">
        <v>6.9509999999999996</v>
      </c>
      <c r="H741" s="1">
        <v>30</v>
      </c>
      <c r="I741" s="1">
        <v>20</v>
      </c>
      <c r="J741" s="1">
        <v>4</v>
      </c>
      <c r="K741" s="1">
        <v>60</v>
      </c>
      <c r="L741" s="1">
        <v>44</v>
      </c>
      <c r="M741" s="1">
        <v>24</v>
      </c>
      <c r="N741" s="1">
        <v>33</v>
      </c>
      <c r="O741" s="1">
        <v>34</v>
      </c>
      <c r="P741" s="1">
        <v>59</v>
      </c>
      <c r="Q741" s="1">
        <v>24</v>
      </c>
      <c r="R741" s="1">
        <v>22</v>
      </c>
      <c r="S741" s="1">
        <v>56</v>
      </c>
    </row>
    <row r="742" spans="1:19">
      <c r="A742" s="1">
        <v>2020</v>
      </c>
      <c r="B742" s="1">
        <v>20</v>
      </c>
      <c r="C742" s="1" t="s">
        <v>415</v>
      </c>
      <c r="D742" s="1" t="e">
        <f t="array" aca="1" ref="D742" ca="1">_xludf.XLOOKUP(C742,'country region mapping'!$A$2:$A$250, 'country region mapping'!$E$2:$E$250)</f>
        <v>#NAME?</v>
      </c>
      <c r="E742" s="1" t="e">
        <f t="array" aca="1" ref="E742" ca="1">_xludf.XLOOKUP(C742,'country region mapping'!$A$2:$A$267,'country region mapping'!$F$2:$F$267)</f>
        <v>#NAME?</v>
      </c>
      <c r="F742" s="1" t="e">
        <f t="array" aca="1" ref="F742" ca="1">_xludf.XLOOKUP(C742,'country region mapping'!$A$2:$A$267,'country region mapping'!$G$2:$G$267)</f>
        <v>#NAME?</v>
      </c>
      <c r="G742" s="1">
        <v>6.8339999999999996</v>
      </c>
      <c r="H742" s="1">
        <v>5</v>
      </c>
      <c r="I742" s="1">
        <v>34</v>
      </c>
      <c r="J742" s="1">
        <v>13</v>
      </c>
      <c r="K742" s="1">
        <v>23</v>
      </c>
      <c r="L742" s="1">
        <v>84</v>
      </c>
      <c r="M742" s="1">
        <v>81</v>
      </c>
      <c r="N742" s="1">
        <v>25</v>
      </c>
      <c r="O742" s="1">
        <v>84</v>
      </c>
      <c r="P742" s="1">
        <v>38</v>
      </c>
      <c r="Q742" s="1">
        <v>81</v>
      </c>
      <c r="R742" s="1">
        <v>71</v>
      </c>
      <c r="S742" s="1">
        <v>115</v>
      </c>
    </row>
    <row r="743" spans="1:19">
      <c r="A743" s="1">
        <v>2020</v>
      </c>
      <c r="B743" s="1">
        <v>21</v>
      </c>
      <c r="C743" s="1" t="s">
        <v>76</v>
      </c>
      <c r="D743" s="1" t="e">
        <f t="array" aca="1" ref="D743" ca="1">_xludf.XLOOKUP(C743,'country region mapping'!$A$2:$A$250, 'country region mapping'!$E$2:$E$250)</f>
        <v>#NAME?</v>
      </c>
      <c r="E743" s="1" t="e">
        <f t="array" aca="1" ref="E743" ca="1">_xludf.XLOOKUP(C743,'country region mapping'!$A$2:$A$267,'country region mapping'!$F$2:$F$267)</f>
        <v>#NAME?</v>
      </c>
      <c r="F743" s="1" t="e">
        <f t="array" aca="1" ref="F743" ca="1">_xludf.XLOOKUP(C743,'country region mapping'!$A$2:$A$267,'country region mapping'!$G$2:$G$267)</f>
        <v>#NAME?</v>
      </c>
      <c r="G743" s="1">
        <v>6.69</v>
      </c>
      <c r="H743" s="1">
        <v>3</v>
      </c>
      <c r="I743" s="1">
        <v>15</v>
      </c>
      <c r="J743" s="1">
        <v>20</v>
      </c>
      <c r="K743" s="1">
        <v>16</v>
      </c>
      <c r="L743" s="1">
        <v>58</v>
      </c>
      <c r="M743" s="1">
        <v>85</v>
      </c>
      <c r="N743" s="1">
        <v>20</v>
      </c>
      <c r="O743" s="1">
        <v>53</v>
      </c>
      <c r="P743" s="1">
        <v>23</v>
      </c>
      <c r="Q743" s="1">
        <v>85</v>
      </c>
      <c r="R743" s="1">
        <v>31</v>
      </c>
      <c r="S743" s="1">
        <v>112</v>
      </c>
    </row>
    <row r="744" spans="1:19">
      <c r="A744" s="1">
        <v>2020</v>
      </c>
      <c r="B744" s="1">
        <v>22</v>
      </c>
      <c r="C744" s="1" t="s">
        <v>90</v>
      </c>
      <c r="D744" s="1" t="e">
        <f t="array" aca="1" ref="D744" ca="1">_xludf.XLOOKUP(C744,'country region mapping'!$A$2:$A$250, 'country region mapping'!$E$2:$E$250)</f>
        <v>#NAME?</v>
      </c>
      <c r="E744" s="1" t="e">
        <f t="array" aca="1" ref="E744" ca="1">_xludf.XLOOKUP(C744,'country region mapping'!$A$2:$A$267,'country region mapping'!$F$2:$F$267)</f>
        <v>#NAME?</v>
      </c>
      <c r="F744" s="1" t="e">
        <f t="array" aca="1" ref="F744" ca="1">_xludf.XLOOKUP(C744,'country region mapping'!$A$2:$A$267,'country region mapping'!$G$2:$G$267)</f>
        <v>#NAME?</v>
      </c>
      <c r="G744" s="1">
        <v>6.6470000000000002</v>
      </c>
      <c r="H744" s="1">
        <v>79</v>
      </c>
      <c r="I744" s="1">
        <v>58</v>
      </c>
      <c r="J744" s="1">
        <v>17</v>
      </c>
      <c r="K744" s="1">
        <v>58</v>
      </c>
      <c r="L744" s="1">
        <v>8</v>
      </c>
      <c r="M744" s="1">
        <v>9</v>
      </c>
      <c r="O744" s="14">
        <v>29</v>
      </c>
      <c r="P744" s="14">
        <v>60</v>
      </c>
      <c r="Q744" s="14">
        <v>9</v>
      </c>
      <c r="R744" s="14">
        <v>49</v>
      </c>
      <c r="S744" s="14">
        <v>31</v>
      </c>
    </row>
    <row r="745" spans="1:19">
      <c r="A745" s="1">
        <v>2020</v>
      </c>
      <c r="B745" s="1">
        <v>23</v>
      </c>
      <c r="C745" s="1" t="s">
        <v>74</v>
      </c>
      <c r="D745" s="1" t="e">
        <f t="array" aca="1" ref="D745" ca="1">_xludf.XLOOKUP(C745,'country region mapping'!$A$2:$A$250, 'country region mapping'!$E$2:$E$250)</f>
        <v>#NAME?</v>
      </c>
      <c r="E745" s="1" t="e">
        <f t="array" aca="1" ref="E745" ca="1">_xludf.XLOOKUP(C745,'country region mapping'!$A$2:$A$267,'country region mapping'!$F$2:$F$267)</f>
        <v>#NAME?</v>
      </c>
      <c r="F745" s="1" t="e">
        <f t="array" aca="1" ref="F745" ca="1">_xludf.XLOOKUP(C745,'country region mapping'!$A$2:$A$267,'country region mapping'!$G$2:$G$267)</f>
        <v>#NAME?</v>
      </c>
      <c r="G745" s="1">
        <v>6.6020000000000003</v>
      </c>
      <c r="H745" s="1">
        <v>43</v>
      </c>
      <c r="I745" s="1">
        <v>19</v>
      </c>
      <c r="J745" s="1">
        <v>19</v>
      </c>
      <c r="K745" s="1">
        <v>6</v>
      </c>
      <c r="L745" s="1">
        <v>15</v>
      </c>
      <c r="M745" s="1">
        <v>32</v>
      </c>
      <c r="N745" s="1">
        <v>32</v>
      </c>
      <c r="O745" s="1">
        <v>93</v>
      </c>
      <c r="P745" s="1">
        <v>102</v>
      </c>
      <c r="Q745" s="1">
        <v>32</v>
      </c>
      <c r="R745" s="1">
        <v>54</v>
      </c>
      <c r="S745" s="1">
        <v>105</v>
      </c>
    </row>
    <row r="746" spans="1:19">
      <c r="A746" s="1">
        <v>2020</v>
      </c>
      <c r="B746" s="1">
        <v>24</v>
      </c>
      <c r="C746" s="1" t="s">
        <v>81</v>
      </c>
      <c r="D746" s="1" t="e">
        <f t="array" aca="1" ref="D746" ca="1">_xludf.XLOOKUP(C746,'country region mapping'!$A$2:$A$267,'country region mapping'!$E$2:$E$267)</f>
        <v>#NAME?</v>
      </c>
      <c r="E746" s="1" t="e">
        <f t="array" aca="1" ref="E746" ca="1">_xludf.XLOOKUP(C746,'country region mapping'!$A$2:$A$267,'country region mapping'!$F$2:$F$267)</f>
        <v>#NAME?</v>
      </c>
      <c r="F746" s="1" t="e">
        <f t="array" aca="1" ref="F746" ca="1">_xludf.XLOOKUP(C746,'country region mapping'!$A$2:$A$267,'country region mapping'!$G$2:$G$267)</f>
        <v>#NAME?</v>
      </c>
      <c r="G746" s="1">
        <v>6.5839999999999996</v>
      </c>
      <c r="H746" s="1">
        <v>11</v>
      </c>
      <c r="I746" s="1">
        <v>36</v>
      </c>
      <c r="K746" s="1"/>
      <c r="L746" s="1">
        <v>67</v>
      </c>
      <c r="M746" s="14">
        <v>40</v>
      </c>
      <c r="N746" s="14">
        <v>35</v>
      </c>
      <c r="O746" s="14">
        <v>23</v>
      </c>
      <c r="P746" s="14">
        <v>1</v>
      </c>
      <c r="Q746" s="14">
        <v>40</v>
      </c>
      <c r="R746" s="14">
        <v>90</v>
      </c>
      <c r="S746" s="14">
        <v>97</v>
      </c>
    </row>
    <row r="747" spans="1:19">
      <c r="A747" s="1">
        <v>2020</v>
      </c>
      <c r="B747" s="1">
        <v>25</v>
      </c>
      <c r="C747" s="1" t="s">
        <v>71</v>
      </c>
      <c r="D747" s="1" t="e">
        <f t="array" aca="1" ref="D747" ca="1">_xludf.XLOOKUP(C747,'country region mapping'!$A$2:$A$250, 'country region mapping'!$E$2:$E$250)</f>
        <v>#NAME?</v>
      </c>
      <c r="E747" s="1" t="e">
        <f t="array" aca="1" ref="E747" ca="1">_xludf.XLOOKUP(C747,'country region mapping'!$A$2:$A$267,'country region mapping'!$F$2:$F$267)</f>
        <v>#NAME?</v>
      </c>
      <c r="F747" s="1" t="e">
        <f t="array" aca="1" ref="F747" ca="1">_xludf.XLOOKUP(C747,'country region mapping'!$A$2:$A$267,'country region mapping'!$G$2:$G$267)</f>
        <v>#NAME?</v>
      </c>
      <c r="G747" s="1">
        <v>6.5609999999999999</v>
      </c>
      <c r="H747" s="1">
        <v>75</v>
      </c>
      <c r="I747" s="1">
        <v>62</v>
      </c>
      <c r="J747" s="1">
        <v>5</v>
      </c>
      <c r="K747" s="1">
        <v>28</v>
      </c>
      <c r="L747" s="1">
        <v>10</v>
      </c>
      <c r="M747" s="1">
        <v>15</v>
      </c>
      <c r="O747" s="14">
        <v>44</v>
      </c>
      <c r="P747" s="14">
        <v>62</v>
      </c>
      <c r="Q747" s="14">
        <v>15</v>
      </c>
      <c r="R747" s="14">
        <v>43</v>
      </c>
      <c r="S747" s="14">
        <v>22</v>
      </c>
    </row>
    <row r="748" spans="1:19">
      <c r="A748" s="1">
        <v>2020</v>
      </c>
      <c r="B748" s="1">
        <v>26</v>
      </c>
      <c r="C748" s="1" t="s">
        <v>79</v>
      </c>
      <c r="D748" s="1" t="e">
        <f t="array" aca="1" ref="D748" ca="1">_xludf.XLOOKUP(C748,'country region mapping'!$A$2:$A$250, 'country region mapping'!$E$2:$E$250)</f>
        <v>#NAME?</v>
      </c>
      <c r="E748" s="1" t="e">
        <f t="array" aca="1" ref="E748" ca="1">_xludf.XLOOKUP(C748,'country region mapping'!$A$2:$A$267,'country region mapping'!$F$2:$F$267)</f>
        <v>#NAME?</v>
      </c>
      <c r="F748" s="1" t="e">
        <f t="array" aca="1" ref="F748" ca="1">_xludf.XLOOKUP(C748,'country region mapping'!$A$2:$A$267,'country region mapping'!$G$2:$G$267)</f>
        <v>#NAME?</v>
      </c>
      <c r="G748" s="1">
        <v>6.4939999999999998</v>
      </c>
      <c r="H748" s="1">
        <v>53</v>
      </c>
      <c r="I748" s="1">
        <v>41</v>
      </c>
      <c r="J748" s="1">
        <v>18</v>
      </c>
      <c r="K748" s="1">
        <v>52</v>
      </c>
      <c r="L748" s="1">
        <v>31</v>
      </c>
      <c r="M748" s="1">
        <v>61</v>
      </c>
      <c r="O748" s="14">
        <v>45</v>
      </c>
      <c r="P748" s="14">
        <v>31</v>
      </c>
      <c r="Q748" s="14">
        <v>61</v>
      </c>
      <c r="R748" s="14">
        <v>76</v>
      </c>
      <c r="S748" s="14">
        <v>34</v>
      </c>
    </row>
    <row r="749" spans="1:19">
      <c r="A749" s="1">
        <v>2020</v>
      </c>
      <c r="B749" s="1">
        <v>27</v>
      </c>
      <c r="C749" s="1" t="s">
        <v>274</v>
      </c>
      <c r="D749" s="1" t="e">
        <f t="array" aca="1" ref="D749" ca="1">_xludf.XLOOKUP(C749,'country region mapping'!$A$2:$A$250, 'country region mapping'!$E$2:$E$250)</f>
        <v>#NAME?</v>
      </c>
      <c r="E749" s="1" t="e">
        <f t="array" aca="1" ref="E749" ca="1">_xludf.XLOOKUP(C749,'country region mapping'!$A$2:$A$267,'country region mapping'!$F$2:$F$267)</f>
        <v>#NAME?</v>
      </c>
      <c r="F749" s="1" t="e">
        <f t="array" aca="1" ref="F749" ca="1">_xludf.XLOOKUP(C749,'country region mapping'!$A$2:$A$267,'country region mapping'!$G$2:$G$267)</f>
        <v>#NAME?</v>
      </c>
      <c r="G749" s="1">
        <v>6.4909999999999997</v>
      </c>
      <c r="H749" s="1">
        <v>15</v>
      </c>
      <c r="I749" s="1">
        <v>23</v>
      </c>
      <c r="J749" s="1">
        <v>31</v>
      </c>
      <c r="K749" s="1">
        <v>11</v>
      </c>
      <c r="L749" s="1">
        <v>72</v>
      </c>
      <c r="M749" s="1">
        <v>71</v>
      </c>
      <c r="N749" s="1">
        <v>39</v>
      </c>
      <c r="O749" s="1">
        <v>66</v>
      </c>
      <c r="P749" s="1">
        <v>71</v>
      </c>
      <c r="Q749" s="1">
        <v>71</v>
      </c>
      <c r="R749" s="1">
        <v>86</v>
      </c>
      <c r="S749" s="1">
        <v>99</v>
      </c>
    </row>
    <row r="750" spans="1:19">
      <c r="A750" s="1">
        <v>2020</v>
      </c>
      <c r="B750" s="1">
        <v>28</v>
      </c>
      <c r="C750" s="1" t="s">
        <v>100</v>
      </c>
      <c r="D750" s="1" t="e">
        <f t="array" aca="1" ref="D750" ca="1">_xludf.XLOOKUP(C750,'country region mapping'!$A$2:$A$250, 'country region mapping'!$E$2:$E$250)</f>
        <v>#NAME?</v>
      </c>
      <c r="E750" s="1" t="e">
        <f t="array" aca="1" ref="E750" ca="1">_xludf.XLOOKUP(C750,'country region mapping'!$A$2:$A$267,'country region mapping'!$F$2:$F$267)</f>
        <v>#NAME?</v>
      </c>
      <c r="F750" s="1" t="e">
        <f t="array" aca="1" ref="F750" ca="1">_xludf.XLOOKUP(C750,'country region mapping'!$A$2:$A$267,'country region mapping'!$G$2:$G$267)</f>
        <v>#NAME?</v>
      </c>
      <c r="G750" s="1">
        <v>6.4829999999999997</v>
      </c>
      <c r="H750" s="1">
        <v>8</v>
      </c>
      <c r="I750" s="1">
        <v>42</v>
      </c>
      <c r="J750" s="1">
        <v>24</v>
      </c>
      <c r="K750" s="1">
        <v>12</v>
      </c>
      <c r="L750" s="1">
        <v>95</v>
      </c>
      <c r="M750" s="1">
        <v>82</v>
      </c>
      <c r="N750" s="1">
        <v>81</v>
      </c>
      <c r="O750" s="1">
        <v>87</v>
      </c>
      <c r="P750" s="1">
        <v>66</v>
      </c>
      <c r="Q750" s="1">
        <v>82</v>
      </c>
      <c r="R750" s="1">
        <v>105</v>
      </c>
      <c r="S750" s="1">
        <v>110</v>
      </c>
    </row>
    <row r="751" spans="1:19">
      <c r="A751" s="1">
        <v>2020</v>
      </c>
      <c r="B751" s="1">
        <v>29</v>
      </c>
      <c r="C751" s="1" t="s">
        <v>116</v>
      </c>
      <c r="D751" s="1" t="e">
        <f t="array" aca="1" ref="D751" ca="1">_xludf.XLOOKUP(C751,'country region mapping'!$A$2:$A$250, 'country region mapping'!$E$2:$E$250)</f>
        <v>#NAME?</v>
      </c>
      <c r="E751" s="1" t="e">
        <f t="array" aca="1" ref="E751" ca="1">_xludf.XLOOKUP(C751,'country region mapping'!$A$2:$A$267,'country region mapping'!$F$2:$F$267)</f>
        <v>#NAME?</v>
      </c>
      <c r="F751" s="1" t="e">
        <f t="array" aca="1" ref="F751" ca="1">_xludf.XLOOKUP(C751,'country region mapping'!$A$2:$A$267,'country region mapping'!$G$2:$G$267)</f>
        <v>#NAME?</v>
      </c>
      <c r="G751" s="1">
        <v>6.4610000000000003</v>
      </c>
      <c r="H751" s="1">
        <v>21</v>
      </c>
      <c r="I751" s="1">
        <v>10</v>
      </c>
      <c r="J751" s="1">
        <v>30</v>
      </c>
      <c r="K751" s="1">
        <v>20</v>
      </c>
      <c r="L751" s="1">
        <v>4</v>
      </c>
      <c r="M751" s="1">
        <v>54</v>
      </c>
      <c r="N751" s="1">
        <v>59</v>
      </c>
      <c r="O751" s="1">
        <v>95</v>
      </c>
      <c r="P751" s="1">
        <v>67</v>
      </c>
      <c r="Q751" s="1">
        <v>54</v>
      </c>
      <c r="R751" s="1">
        <v>33</v>
      </c>
      <c r="S751" s="1">
        <v>111</v>
      </c>
    </row>
    <row r="752" spans="1:19">
      <c r="A752" s="1">
        <v>2020</v>
      </c>
      <c r="B752" s="1">
        <v>30</v>
      </c>
      <c r="C752" s="1" t="s">
        <v>86</v>
      </c>
      <c r="D752" s="1" t="e">
        <f t="array" aca="1" ref="D752" ca="1">_xludf.XLOOKUP(C752,'country region mapping'!$A$2:$A$250, 'country region mapping'!$E$2:$E$250)</f>
        <v>#NAME?</v>
      </c>
      <c r="E752" s="1" t="e">
        <f t="array" aca="1" ref="E752" ca="1">_xludf.XLOOKUP(C752,'country region mapping'!$A$2:$A$267,'country region mapping'!$F$2:$F$267)</f>
        <v>#NAME?</v>
      </c>
      <c r="F752" s="1" t="e">
        <f t="array" aca="1" ref="F752" ca="1">_xludf.XLOOKUP(C752,'country region mapping'!$A$2:$A$267,'country region mapping'!$G$2:$G$267)</f>
        <v>#NAME?</v>
      </c>
      <c r="G752" s="1">
        <v>6.4349999999999996</v>
      </c>
      <c r="H752" s="1"/>
      <c r="I752" s="1"/>
      <c r="J752" s="1"/>
      <c r="K752" s="1"/>
      <c r="L752" s="1"/>
      <c r="M752" s="1"/>
      <c r="N752" s="1"/>
      <c r="O752" s="1"/>
      <c r="Q752" s="1"/>
      <c r="R752" s="1"/>
      <c r="S752" s="1"/>
    </row>
    <row r="753" spans="1:19">
      <c r="A753" s="1">
        <v>2020</v>
      </c>
      <c r="B753" s="1">
        <v>31</v>
      </c>
      <c r="C753" s="1" t="s">
        <v>73</v>
      </c>
      <c r="D753" s="1" t="e">
        <f t="array" aca="1" ref="D753" ca="1">_xludf.XLOOKUP(C753,'country region mapping'!$A$2:$A$250, 'country region mapping'!$E$2:$E$250)</f>
        <v>#NAME?</v>
      </c>
      <c r="E753" s="1" t="e">
        <f t="array" aca="1" ref="E753" ca="1">_xludf.XLOOKUP(C753,'country region mapping'!$A$2:$A$267,'country region mapping'!$F$2:$F$267)</f>
        <v>#NAME?</v>
      </c>
      <c r="F753" s="1" t="e">
        <f t="array" aca="1" ref="F753" ca="1">_xludf.XLOOKUP(C753,'country region mapping'!$A$2:$A$267,'country region mapping'!$G$2:$G$267)</f>
        <v>#NAME?</v>
      </c>
      <c r="G753" s="1">
        <v>6.431</v>
      </c>
      <c r="H753" s="1">
        <v>35</v>
      </c>
      <c r="I753" s="1">
        <v>29</v>
      </c>
      <c r="J753" s="1">
        <v>45</v>
      </c>
      <c r="K753" s="1">
        <v>34</v>
      </c>
      <c r="L753" s="1">
        <v>23</v>
      </c>
      <c r="M753" s="1">
        <v>75</v>
      </c>
      <c r="N753" s="1">
        <v>15</v>
      </c>
      <c r="O753" s="1">
        <v>35</v>
      </c>
      <c r="P753" s="1">
        <v>39</v>
      </c>
      <c r="Q753" s="1">
        <v>75</v>
      </c>
      <c r="R753" s="1">
        <v>73</v>
      </c>
      <c r="S753" s="1">
        <v>63</v>
      </c>
    </row>
    <row r="754" spans="1:19">
      <c r="A754" s="1">
        <v>2020</v>
      </c>
      <c r="B754" s="1">
        <v>32</v>
      </c>
      <c r="C754" s="1" t="s">
        <v>63</v>
      </c>
      <c r="D754" s="1" t="e">
        <f t="array" aca="1" ref="D754" ca="1">_xludf.XLOOKUP(C754,'country region mapping'!$A$2:$A$250, 'country region mapping'!$E$2:$E$250)</f>
        <v>#NAME?</v>
      </c>
      <c r="E754" s="1" t="e">
        <f t="array" aca="1" ref="E754" ca="1">_xludf.XLOOKUP(C754,'country region mapping'!$A$2:$A$267,'country region mapping'!$F$2:$F$267)</f>
        <v>#NAME?</v>
      </c>
      <c r="F754" s="1" t="e">
        <f t="array" aca="1" ref="F754" ca="1">_xludf.XLOOKUP(C754,'country region mapping'!$A$2:$A$267,'country region mapping'!$G$2:$G$267)</f>
        <v>#NAME?</v>
      </c>
      <c r="G754" s="1">
        <v>6.3769999999999998</v>
      </c>
      <c r="H754" s="1"/>
      <c r="I754" s="1"/>
      <c r="J754" s="1"/>
      <c r="K754" s="1"/>
      <c r="L754" s="1"/>
      <c r="M754" s="1"/>
      <c r="N754" s="1"/>
      <c r="O754" s="1"/>
      <c r="Q754" s="1"/>
      <c r="R754" s="1"/>
      <c r="S754" s="1"/>
    </row>
    <row r="755" spans="1:19">
      <c r="A755" s="1">
        <v>2020</v>
      </c>
      <c r="B755" s="1">
        <v>33</v>
      </c>
      <c r="C755" s="1" t="s">
        <v>135</v>
      </c>
      <c r="D755" s="1" t="e">
        <f t="array" aca="1" ref="D755" ca="1">_xludf.XLOOKUP(C755,'country region mapping'!$A$2:$A$267,'country region mapping'!$E$2:$E$267)</f>
        <v>#NAME?</v>
      </c>
      <c r="E755" s="1" t="e">
        <f t="array" aca="1" ref="E755" ca="1">_xludf.XLOOKUP(C755,'country region mapping'!$A$2:$A$267,'country region mapping'!$F$2:$F$267)</f>
        <v>#NAME?</v>
      </c>
      <c r="F755" s="1" t="e">
        <f t="array" aca="1" ref="F755" ca="1">_xludf.XLOOKUP(C755,'country region mapping'!$A$2:$A$267,'country region mapping'!$G$2:$G$267)</f>
        <v>#NAME?</v>
      </c>
      <c r="G755" s="1">
        <v>6.3719999999999999</v>
      </c>
      <c r="H755" s="1">
        <v>107</v>
      </c>
      <c r="I755" s="1">
        <v>76</v>
      </c>
      <c r="J755" s="1">
        <v>80</v>
      </c>
      <c r="K755" s="1"/>
      <c r="L755" s="1">
        <v>33</v>
      </c>
      <c r="M755" s="1">
        <v>5</v>
      </c>
      <c r="N755" s="1">
        <v>99</v>
      </c>
      <c r="O755" s="1">
        <v>90</v>
      </c>
      <c r="Q755" s="14">
        <v>5</v>
      </c>
      <c r="R755" s="14">
        <v>99</v>
      </c>
      <c r="S755" s="14">
        <v>16</v>
      </c>
    </row>
    <row r="756" spans="1:19">
      <c r="A756" s="1">
        <v>2020</v>
      </c>
      <c r="B756" s="1">
        <v>34</v>
      </c>
      <c r="C756" s="1" t="s">
        <v>95</v>
      </c>
      <c r="D756" s="1" t="e">
        <f t="array" aca="1" ref="D756" ca="1">_xludf.XLOOKUP(C756,'country region mapping'!$A$2:$A$250, 'country region mapping'!$E$2:$E$250)</f>
        <v>#NAME?</v>
      </c>
      <c r="E756" s="1" t="e">
        <f t="array" aca="1" ref="E756" ca="1">_xludf.XLOOKUP(C756,'country region mapping'!$A$2:$A$267,'country region mapping'!$F$2:$F$267)</f>
        <v>#NAME?</v>
      </c>
      <c r="F756" s="1" t="e">
        <f t="array" aca="1" ref="F756" ca="1">_xludf.XLOOKUP(C756,'country region mapping'!$A$2:$A$267,'country region mapping'!$G$2:$G$267)</f>
        <v>#NAME?</v>
      </c>
      <c r="G756" s="1">
        <v>6.3310000000000004</v>
      </c>
      <c r="H756" s="1">
        <v>36</v>
      </c>
      <c r="I756" s="1">
        <v>9</v>
      </c>
      <c r="J756" s="1">
        <v>36</v>
      </c>
      <c r="K756" s="1">
        <v>37</v>
      </c>
      <c r="L756" s="1">
        <v>87</v>
      </c>
      <c r="M756" s="1">
        <v>57</v>
      </c>
      <c r="N756" s="1">
        <v>97</v>
      </c>
      <c r="O756" s="1">
        <v>51</v>
      </c>
      <c r="P756" s="1">
        <v>46</v>
      </c>
      <c r="Q756" s="1">
        <v>57</v>
      </c>
      <c r="R756" s="1">
        <v>79</v>
      </c>
      <c r="S756" s="1">
        <v>72</v>
      </c>
    </row>
    <row r="757" spans="1:19">
      <c r="A757" s="1">
        <v>2020</v>
      </c>
      <c r="B757" s="1">
        <v>35</v>
      </c>
      <c r="C757" s="1" t="s">
        <v>54</v>
      </c>
      <c r="D757" s="1" t="e">
        <f t="array" aca="1" ref="D757" ca="1">_xludf.XLOOKUP(C757,'country region mapping'!$A$2:$A$250, 'country region mapping'!$E$2:$E$250)</f>
        <v>#NAME?</v>
      </c>
      <c r="E757" s="1" t="e">
        <f t="array" aca="1" ref="E757" ca="1">_xludf.XLOOKUP(C757,'country region mapping'!$A$2:$A$267,'country region mapping'!$F$2:$F$267)</f>
        <v>#NAME?</v>
      </c>
      <c r="F757" s="1" t="e">
        <f t="array" aca="1" ref="F757" ca="1">_xludf.XLOOKUP(C757,'country region mapping'!$A$2:$A$267,'country region mapping'!$G$2:$G$267)</f>
        <v>#NAME?</v>
      </c>
      <c r="G757" s="1">
        <v>6.33</v>
      </c>
      <c r="H757" s="1">
        <v>76</v>
      </c>
      <c r="I757" s="1">
        <v>61</v>
      </c>
      <c r="J757" s="1">
        <v>59</v>
      </c>
      <c r="K757" s="1">
        <v>72</v>
      </c>
      <c r="L757" s="1">
        <v>70</v>
      </c>
      <c r="M757" s="1">
        <v>74</v>
      </c>
      <c r="N757" s="1">
        <v>38</v>
      </c>
      <c r="O757" s="1">
        <v>73</v>
      </c>
      <c r="P757" s="1">
        <v>99</v>
      </c>
      <c r="Q757" s="1">
        <v>74</v>
      </c>
      <c r="R757" s="1">
        <v>70</v>
      </c>
      <c r="S757" s="1">
        <v>38</v>
      </c>
    </row>
    <row r="758" spans="1:19">
      <c r="A758" s="1">
        <v>2020</v>
      </c>
      <c r="B758" s="1">
        <v>36</v>
      </c>
      <c r="C758" s="1" t="s">
        <v>61</v>
      </c>
      <c r="D758" s="1" t="e">
        <f t="array" aca="1" ref="D758" ca="1">_xludf.XLOOKUP(C758,'country region mapping'!$A$2:$A$250, 'country region mapping'!$E$2:$E$250)</f>
        <v>#NAME?</v>
      </c>
      <c r="E758" s="1" t="e">
        <f t="array" aca="1" ref="E758" ca="1">_xludf.XLOOKUP(C758,'country region mapping'!$A$2:$A$267,'country region mapping'!$F$2:$F$267)</f>
        <v>#NAME?</v>
      </c>
      <c r="F758" s="1" t="e">
        <f t="array" aca="1" ref="F758" ca="1">_xludf.XLOOKUP(C758,'country region mapping'!$A$2:$A$267,'country region mapping'!$G$2:$G$267)</f>
        <v>#NAME?</v>
      </c>
      <c r="G758" s="1">
        <v>6.3170000000000002</v>
      </c>
      <c r="H758" s="1">
        <v>70</v>
      </c>
      <c r="I758" s="1">
        <v>80</v>
      </c>
      <c r="J758" s="1">
        <v>55</v>
      </c>
      <c r="K758" s="1">
        <v>83</v>
      </c>
      <c r="L758" s="1">
        <v>36</v>
      </c>
      <c r="M758" s="1">
        <v>89</v>
      </c>
      <c r="N758" s="1">
        <v>51</v>
      </c>
      <c r="O758" s="1">
        <v>22</v>
      </c>
      <c r="P758" s="1">
        <v>56</v>
      </c>
      <c r="Q758" s="1">
        <v>89</v>
      </c>
      <c r="R758" s="1">
        <v>69</v>
      </c>
      <c r="S758" s="1">
        <v>48</v>
      </c>
    </row>
    <row r="759" spans="1:19">
      <c r="A759" s="1">
        <v>2020</v>
      </c>
      <c r="B759" s="1">
        <v>37</v>
      </c>
      <c r="C759" s="1" t="s">
        <v>130</v>
      </c>
      <c r="D759" s="1" t="e">
        <f t="array" aca="1" ref="D759" ca="1">_xludf.XLOOKUP(C759,'country region mapping'!$A$2:$A$250, 'country region mapping'!$E$2:$E$250)</f>
        <v>#NAME?</v>
      </c>
      <c r="E759" s="1" t="e">
        <f t="array" aca="1" ref="E759" ca="1">_xludf.XLOOKUP(C759,'country region mapping'!$A$2:$A$267,'country region mapping'!$F$2:$F$267)</f>
        <v>#NAME?</v>
      </c>
      <c r="F759" s="1" t="e">
        <f t="array" aca="1" ref="F759" ca="1">_xludf.XLOOKUP(C759,'country region mapping'!$A$2:$A$267,'country region mapping'!$G$2:$G$267)</f>
        <v>#NAME?</v>
      </c>
      <c r="G759" s="1">
        <v>6.3090000000000002</v>
      </c>
      <c r="H759" s="1">
        <v>83</v>
      </c>
      <c r="I759" s="1">
        <v>50</v>
      </c>
      <c r="J759" s="1">
        <v>83</v>
      </c>
      <c r="K759" s="1">
        <v>66</v>
      </c>
      <c r="L759" s="1">
        <v>39</v>
      </c>
      <c r="M759" s="1">
        <v>104</v>
      </c>
      <c r="N759" s="1">
        <v>77</v>
      </c>
      <c r="O759" s="1">
        <v>41</v>
      </c>
      <c r="P759" s="1">
        <v>41</v>
      </c>
      <c r="Q759" s="1">
        <v>104</v>
      </c>
      <c r="R759" s="1">
        <v>27</v>
      </c>
      <c r="S759" s="1">
        <v>21</v>
      </c>
    </row>
    <row r="760" spans="1:19">
      <c r="A760" s="1">
        <v>2020</v>
      </c>
      <c r="B760" s="1">
        <v>38</v>
      </c>
      <c r="C760" s="1" t="s">
        <v>114</v>
      </c>
      <c r="D760" s="1" t="e">
        <f t="array" aca="1" ref="D760" ca="1">_xludf.XLOOKUP(C760,'country region mapping'!$A$2:$A$250, 'country region mapping'!$E$2:$E$250)</f>
        <v>#NAME?</v>
      </c>
      <c r="E760" s="1" t="e">
        <f t="array" aca="1" ref="E760" ca="1">_xludf.XLOOKUP(C760,'country region mapping'!$A$2:$A$267,'country region mapping'!$F$2:$F$267)</f>
        <v>#NAME?</v>
      </c>
      <c r="F760" s="1" t="e">
        <f t="array" aca="1" ref="F760" ca="1">_xludf.XLOOKUP(C760,'country region mapping'!$A$2:$A$267,'country region mapping'!$G$2:$G$267)</f>
        <v>#NAME?</v>
      </c>
      <c r="G760" s="1">
        <v>6.2549999999999999</v>
      </c>
      <c r="H760" s="1">
        <v>24</v>
      </c>
      <c r="I760" s="1">
        <v>12</v>
      </c>
      <c r="J760" s="1">
        <v>27</v>
      </c>
      <c r="K760" s="1">
        <v>53</v>
      </c>
      <c r="L760" s="1">
        <v>55</v>
      </c>
      <c r="M760" s="1">
        <v>72</v>
      </c>
      <c r="N760" s="1">
        <v>74</v>
      </c>
      <c r="O760" s="1">
        <v>81</v>
      </c>
      <c r="P760" s="1">
        <v>12</v>
      </c>
      <c r="Q760" s="1">
        <v>72</v>
      </c>
      <c r="R760" s="1">
        <v>67</v>
      </c>
      <c r="S760" s="1">
        <v>90</v>
      </c>
    </row>
    <row r="761" spans="1:19">
      <c r="A761" s="1">
        <v>2020</v>
      </c>
      <c r="B761" s="1">
        <v>39</v>
      </c>
      <c r="C761" s="1" t="s">
        <v>124</v>
      </c>
      <c r="D761" s="1" t="e">
        <f t="array" aca="1" ref="D761" ca="1">_xludf.XLOOKUP(C761,'country region mapping'!$A$2:$A$250, 'country region mapping'!$E$2:$E$250)</f>
        <v>#NAME?</v>
      </c>
      <c r="E761" s="1" t="e">
        <f t="array" aca="1" ref="E761" ca="1">_xludf.XLOOKUP(C761,'country region mapping'!$A$2:$A$267,'country region mapping'!$F$2:$F$267)</f>
        <v>#NAME?</v>
      </c>
      <c r="F761" s="1" t="e">
        <f t="array" aca="1" ref="F761" ca="1">_xludf.XLOOKUP(C761,'country region mapping'!$A$2:$A$267,'country region mapping'!$G$2:$G$267)</f>
        <v>#NAME?</v>
      </c>
      <c r="G761" s="1">
        <v>6.2229999999999999</v>
      </c>
      <c r="H761" s="1">
        <v>38</v>
      </c>
      <c r="I761" s="1">
        <v>68</v>
      </c>
      <c r="J761" s="1">
        <v>26</v>
      </c>
      <c r="K761" s="1">
        <v>7</v>
      </c>
      <c r="L761" s="1">
        <v>86</v>
      </c>
      <c r="M761" s="1">
        <v>50</v>
      </c>
      <c r="N761" s="1">
        <v>70</v>
      </c>
      <c r="O761" s="1">
        <v>65</v>
      </c>
      <c r="P761" s="1">
        <v>48</v>
      </c>
      <c r="Q761" s="1">
        <v>50</v>
      </c>
      <c r="R761" s="1">
        <v>57</v>
      </c>
      <c r="S761" s="1">
        <v>81</v>
      </c>
    </row>
    <row r="762" spans="1:19">
      <c r="A762" s="1">
        <v>2020</v>
      </c>
      <c r="B762" s="1">
        <v>40</v>
      </c>
      <c r="C762" s="1" t="s">
        <v>129</v>
      </c>
      <c r="D762" s="1" t="e">
        <f t="array" aca="1" ref="D762" ca="1">_xludf.XLOOKUP(C762,'country region mapping'!$A$2:$A$250, 'country region mapping'!$E$2:$E$250)</f>
        <v>#NAME?</v>
      </c>
      <c r="E762" s="1" t="e">
        <f t="array" aca="1" ref="E762" ca="1">_xludf.XLOOKUP(C762,'country region mapping'!$A$2:$A$267,'country region mapping'!$F$2:$F$267)</f>
        <v>#NAME?</v>
      </c>
      <c r="F762" s="1" t="e">
        <f t="array" aca="1" ref="F762" ca="1">_xludf.XLOOKUP(C762,'country region mapping'!$A$2:$A$267,'country region mapping'!$G$2:$G$267)</f>
        <v>#NAME?</v>
      </c>
      <c r="G762" s="1">
        <v>6.1890000000000001</v>
      </c>
      <c r="H762" s="1">
        <v>23</v>
      </c>
      <c r="I762" s="1">
        <v>7</v>
      </c>
      <c r="J762" s="1">
        <v>32</v>
      </c>
      <c r="K762" s="1">
        <v>31</v>
      </c>
      <c r="L762" s="1">
        <v>5</v>
      </c>
      <c r="M762" s="1">
        <v>55</v>
      </c>
      <c r="N762" s="1">
        <v>10</v>
      </c>
      <c r="O762" s="1">
        <v>11</v>
      </c>
      <c r="P762" s="1">
        <v>6</v>
      </c>
      <c r="Q762" s="1">
        <v>55</v>
      </c>
      <c r="R762" s="1">
        <v>59</v>
      </c>
      <c r="S762" s="1">
        <v>93</v>
      </c>
    </row>
    <row r="763" spans="1:19">
      <c r="A763" s="1">
        <v>2020</v>
      </c>
      <c r="B763" s="1">
        <v>41</v>
      </c>
      <c r="C763" s="1" t="s">
        <v>67</v>
      </c>
      <c r="D763" s="1" t="e">
        <f t="array" aca="1" ref="D763" ca="1">_xludf.XLOOKUP(C763,'country region mapping'!$A$2:$A$250, 'country region mapping'!$E$2:$E$250)</f>
        <v>#NAME?</v>
      </c>
      <c r="E763" s="1" t="e">
        <f t="array" aca="1" ref="E763" ca="1">_xludf.XLOOKUP(C763,'country region mapping'!$A$2:$A$267,'country region mapping'!$F$2:$F$267)</f>
        <v>#NAME?</v>
      </c>
      <c r="F763" s="1" t="e">
        <f t="array" aca="1" ref="F763" ca="1">_xludf.XLOOKUP(C763,'country region mapping'!$A$2:$A$267,'country region mapping'!$G$2:$G$267)</f>
        <v>#NAME?</v>
      </c>
      <c r="G763" s="1">
        <v>6.18</v>
      </c>
      <c r="H763" s="1"/>
      <c r="I763" s="1"/>
      <c r="J763" s="1"/>
      <c r="K763" s="1"/>
      <c r="L763" s="1"/>
      <c r="M763" s="1"/>
      <c r="N763" s="1"/>
      <c r="O763" s="1"/>
      <c r="P763" s="1"/>
      <c r="S763" s="1"/>
    </row>
    <row r="764" spans="1:19">
      <c r="A764" s="1">
        <v>2020</v>
      </c>
      <c r="B764" s="1">
        <v>42</v>
      </c>
      <c r="C764" s="1" t="s">
        <v>99</v>
      </c>
      <c r="D764" s="1" t="e">
        <f t="array" aca="1" ref="D764" ca="1">_xludf.XLOOKUP(C764,'country region mapping'!$A$2:$A$250, 'country region mapping'!$E$2:$E$250)</f>
        <v>#NAME?</v>
      </c>
      <c r="E764" s="1" t="e">
        <f t="array" aca="1" ref="E764" ca="1">_xludf.XLOOKUP(C764,'country region mapping'!$A$2:$A$267,'country region mapping'!$F$2:$F$267)</f>
        <v>#NAME?</v>
      </c>
      <c r="F764" s="1" t="e">
        <f t="array" aca="1" ref="F764" ca="1">_xludf.XLOOKUP(C764,'country region mapping'!$A$2:$A$267,'country region mapping'!$G$2:$G$267)</f>
        <v>#NAME?</v>
      </c>
      <c r="G764" s="1">
        <v>6.1790000000000003</v>
      </c>
      <c r="H764" s="1">
        <v>64</v>
      </c>
      <c r="I764" s="1">
        <v>57</v>
      </c>
      <c r="J764" s="1">
        <v>86</v>
      </c>
      <c r="K764" s="1">
        <v>76</v>
      </c>
      <c r="L764" s="1">
        <v>16</v>
      </c>
      <c r="M764" s="1">
        <v>17</v>
      </c>
      <c r="N764" s="1">
        <v>27</v>
      </c>
      <c r="O764" s="1">
        <v>60</v>
      </c>
      <c r="P764" s="1">
        <v>47</v>
      </c>
      <c r="Q764" s="1">
        <v>17</v>
      </c>
      <c r="R764" s="1">
        <v>64</v>
      </c>
      <c r="S764" s="1">
        <v>60</v>
      </c>
    </row>
    <row r="765" spans="1:19">
      <c r="A765" s="1">
        <v>2020</v>
      </c>
      <c r="B765" s="1">
        <v>43</v>
      </c>
      <c r="C765" s="1" t="s">
        <v>66</v>
      </c>
      <c r="D765" s="1" t="e">
        <f t="array" aca="1" ref="D765" ca="1">_xludf.XLOOKUP(C765,'country region mapping'!$A$2:$A$250, 'country region mapping'!$E$2:$E$250)</f>
        <v>#NAME?</v>
      </c>
      <c r="E765" s="1" t="e">
        <f t="array" aca="1" ref="E765" ca="1">_xludf.XLOOKUP(C765,'country region mapping'!$A$2:$A$267,'country region mapping'!$F$2:$F$267)</f>
        <v>#NAME?</v>
      </c>
      <c r="F765" s="1" t="e">
        <f t="array" aca="1" ref="F765" ca="1">_xludf.XLOOKUP(C765,'country region mapping'!$A$2:$A$267,'country region mapping'!$G$2:$G$267)</f>
        <v>#NAME?</v>
      </c>
      <c r="G765" s="1">
        <v>6.1719999999999997</v>
      </c>
      <c r="H765" s="1">
        <v>45</v>
      </c>
      <c r="I765" s="1">
        <v>43</v>
      </c>
      <c r="J765" s="1">
        <v>47</v>
      </c>
      <c r="K765" s="1">
        <v>30</v>
      </c>
      <c r="L765" s="1">
        <v>74</v>
      </c>
      <c r="M765" s="1">
        <v>33</v>
      </c>
      <c r="N765" s="1">
        <v>67</v>
      </c>
      <c r="O765" s="1">
        <v>17</v>
      </c>
      <c r="P765" s="1">
        <v>79</v>
      </c>
      <c r="Q765" s="1">
        <v>33</v>
      </c>
      <c r="R765" s="1">
        <v>78</v>
      </c>
      <c r="S765" s="1">
        <v>20</v>
      </c>
    </row>
    <row r="766" spans="1:19">
      <c r="A766" s="1">
        <v>2020</v>
      </c>
      <c r="B766" s="1">
        <v>44</v>
      </c>
      <c r="C766" s="1" t="s">
        <v>109</v>
      </c>
      <c r="D766" s="1" t="e">
        <f t="array" aca="1" ref="D766" ca="1">_xludf.XLOOKUP(C766,'country region mapping'!$A$2:$A$250, 'country region mapping'!$E$2:$E$250)</f>
        <v>#NAME?</v>
      </c>
      <c r="E766" s="1" t="e">
        <f t="array" aca="1" ref="E766" ca="1">_xludf.XLOOKUP(C766,'country region mapping'!$A$2:$A$267,'country region mapping'!$F$2:$F$267)</f>
        <v>#NAME?</v>
      </c>
      <c r="F766" s="1" t="e">
        <f t="array" aca="1" ref="F766" ca="1">_xludf.XLOOKUP(C766,'country region mapping'!$A$2:$A$267,'country region mapping'!$G$2:$G$267)</f>
        <v>#NAME?</v>
      </c>
      <c r="G766" s="1">
        <v>6.1660000000000004</v>
      </c>
      <c r="H766" s="1">
        <v>32</v>
      </c>
      <c r="I766" s="1">
        <v>11</v>
      </c>
      <c r="J766" s="1">
        <v>33</v>
      </c>
      <c r="K766" s="1">
        <v>40</v>
      </c>
      <c r="L766" s="1">
        <v>82</v>
      </c>
      <c r="M766" s="1">
        <v>36</v>
      </c>
      <c r="N766" s="1">
        <v>54</v>
      </c>
      <c r="O766" s="1">
        <v>61</v>
      </c>
      <c r="P766" s="1">
        <v>76</v>
      </c>
      <c r="Q766" s="1">
        <v>36</v>
      </c>
      <c r="R766" s="1">
        <v>41</v>
      </c>
      <c r="S766" s="1">
        <v>67</v>
      </c>
    </row>
    <row r="767" spans="1:19">
      <c r="A767" s="1">
        <v>2020</v>
      </c>
      <c r="B767" s="1">
        <v>45</v>
      </c>
      <c r="C767" s="1" t="s">
        <v>106</v>
      </c>
      <c r="D767" s="1" t="e">
        <f t="array" aca="1" ref="D767" ca="1">_xludf.XLOOKUP(C767,'country region mapping'!$A$2:$A$250, 'country region mapping'!$E$2:$E$250)</f>
        <v>#NAME?</v>
      </c>
      <c r="E767" s="1" t="e">
        <f t="array" aca="1" ref="E767" ca="1">_xludf.XLOOKUP(C767,'country region mapping'!$A$2:$A$267,'country region mapping'!$F$2:$F$267)</f>
        <v>#NAME?</v>
      </c>
      <c r="F767" s="1" t="e">
        <f t="array" aca="1" ref="F767" ca="1">_xludf.XLOOKUP(C767,'country region mapping'!$A$2:$A$267,'country region mapping'!$G$2:$G$267)</f>
        <v>#NAME?</v>
      </c>
      <c r="G767" s="1">
        <v>6.1520000000000001</v>
      </c>
      <c r="H767" s="1">
        <v>37</v>
      </c>
      <c r="I767" s="1">
        <v>2</v>
      </c>
      <c r="J767" s="1">
        <v>41</v>
      </c>
      <c r="K767" s="1">
        <v>78</v>
      </c>
      <c r="L767" s="1">
        <v>37</v>
      </c>
      <c r="M767" s="1">
        <v>53</v>
      </c>
      <c r="N767" s="1">
        <v>30</v>
      </c>
      <c r="O767" s="1">
        <v>83</v>
      </c>
      <c r="P767" s="1">
        <v>3</v>
      </c>
      <c r="Q767" s="1">
        <v>53</v>
      </c>
      <c r="R767" s="1">
        <v>87</v>
      </c>
      <c r="S767" s="1">
        <v>92</v>
      </c>
    </row>
    <row r="768" spans="1:19">
      <c r="A768" s="1">
        <v>2020</v>
      </c>
      <c r="B768" s="1">
        <v>46</v>
      </c>
      <c r="C768" s="1" t="s">
        <v>128</v>
      </c>
      <c r="D768" s="1" t="e">
        <f t="array" aca="1" ref="D768" ca="1">_xludf.XLOOKUP(C768,'country region mapping'!$A$2:$A$250, 'country region mapping'!$E$2:$E$250)</f>
        <v>#NAME?</v>
      </c>
      <c r="E768" s="1" t="e">
        <f t="array" aca="1" ref="E768" ca="1">_xludf.XLOOKUP(C768,'country region mapping'!$A$2:$A$267,'country region mapping'!$F$2:$F$267)</f>
        <v>#NAME?</v>
      </c>
      <c r="F768" s="1" t="e">
        <f t="array" aca="1" ref="F768" ca="1">_xludf.XLOOKUP(C768,'country region mapping'!$A$2:$A$267,'country region mapping'!$G$2:$G$267)</f>
        <v>#NAME?</v>
      </c>
      <c r="G768" s="1">
        <v>6.14</v>
      </c>
      <c r="H768" s="1">
        <v>41</v>
      </c>
      <c r="I768" s="1">
        <v>51</v>
      </c>
      <c r="J768" s="1">
        <v>38</v>
      </c>
      <c r="K768" s="1">
        <v>55</v>
      </c>
      <c r="L768" s="1">
        <v>41</v>
      </c>
      <c r="M768" s="1">
        <v>90</v>
      </c>
      <c r="N768" s="1">
        <v>105</v>
      </c>
      <c r="O768" s="1">
        <v>67</v>
      </c>
      <c r="P768" s="1">
        <v>34</v>
      </c>
      <c r="Q768" s="1">
        <v>90</v>
      </c>
      <c r="R768" s="1">
        <v>110</v>
      </c>
      <c r="S768" s="1">
        <v>61</v>
      </c>
    </row>
    <row r="769" spans="1:19">
      <c r="A769" s="1">
        <v>2020</v>
      </c>
      <c r="B769" s="1">
        <v>47</v>
      </c>
      <c r="C769" s="1" t="s">
        <v>88</v>
      </c>
      <c r="D769" s="1" t="e">
        <f t="array" aca="1" ref="D769" ca="1">_xludf.XLOOKUP(C769,'country region mapping'!$A$2:$A$250, 'country region mapping'!$E$2:$E$250)</f>
        <v>#NAME?</v>
      </c>
      <c r="E769" s="1" t="e">
        <f t="array" aca="1" ref="E769" ca="1">_xludf.XLOOKUP(C769,'country region mapping'!$A$2:$A$267,'country region mapping'!$F$2:$F$267)</f>
        <v>#NAME?</v>
      </c>
      <c r="F769" s="1" t="e">
        <f t="array" aca="1" ref="F769" ca="1">_xludf.XLOOKUP(C769,'country region mapping'!$A$2:$A$267,'country region mapping'!$G$2:$G$267)</f>
        <v>#NAME?</v>
      </c>
      <c r="G769" s="1">
        <v>6.1059999999999999</v>
      </c>
      <c r="H769" s="1"/>
      <c r="I769" s="1"/>
      <c r="J769" s="1"/>
      <c r="K769" s="1"/>
      <c r="L769" s="1"/>
      <c r="M769" s="1"/>
      <c r="N769" s="1"/>
      <c r="O769" s="1"/>
      <c r="P769" s="1"/>
      <c r="S769" s="1"/>
    </row>
    <row r="770" spans="1:19">
      <c r="A770" s="1">
        <v>2020</v>
      </c>
      <c r="B770" s="1">
        <v>48</v>
      </c>
      <c r="C770" s="1" t="s">
        <v>145</v>
      </c>
      <c r="D770" s="1" t="e">
        <f t="array" aca="1" ref="D770" ca="1">_xludf.XLOOKUP(C770,'country region mapping'!$A$2:$A$250, 'country region mapping'!$E$2:$E$250)</f>
        <v>#NAME?</v>
      </c>
      <c r="E770" s="1" t="e">
        <f t="array" aca="1" ref="E770" ca="1">_xludf.XLOOKUP(C770,'country region mapping'!$A$2:$A$267,'country region mapping'!$F$2:$F$267)</f>
        <v>#NAME?</v>
      </c>
      <c r="F770" s="1" t="e">
        <f t="array" aca="1" ref="F770" ca="1">_xludf.XLOOKUP(C770,'country region mapping'!$A$2:$A$267,'country region mapping'!$G$2:$G$267)</f>
        <v>#NAME?</v>
      </c>
      <c r="G770" s="1">
        <v>6.0780000000000003</v>
      </c>
      <c r="H770" s="1">
        <v>82</v>
      </c>
      <c r="I770" s="1">
        <v>56</v>
      </c>
      <c r="J770" s="1">
        <v>51</v>
      </c>
      <c r="K770" s="1">
        <v>51</v>
      </c>
      <c r="L770" s="1">
        <v>45</v>
      </c>
      <c r="M770" s="1">
        <v>16</v>
      </c>
      <c r="N770" s="1">
        <v>72</v>
      </c>
      <c r="O770" s="1">
        <v>92</v>
      </c>
      <c r="P770" s="1">
        <v>90</v>
      </c>
      <c r="Q770" s="1">
        <v>16</v>
      </c>
      <c r="R770" s="1">
        <v>115</v>
      </c>
      <c r="S770" s="1">
        <v>71</v>
      </c>
    </row>
    <row r="771" spans="1:19">
      <c r="A771" s="1">
        <v>2020</v>
      </c>
      <c r="B771" s="1">
        <v>49</v>
      </c>
      <c r="C771" s="1" t="s">
        <v>96</v>
      </c>
      <c r="D771" s="1" t="e">
        <f t="array" aca="1" ref="D771" ca="1">_xludf.XLOOKUP(C771,'country region mapping'!$A$2:$A$250, 'country region mapping'!$E$2:$E$250)</f>
        <v>#NAME?</v>
      </c>
      <c r="E771" s="1" t="e">
        <f t="array" aca="1" ref="E771" ca="1">_xludf.XLOOKUP(C771,'country region mapping'!$A$2:$A$267,'country region mapping'!$F$2:$F$267)</f>
        <v>#NAME?</v>
      </c>
      <c r="F771" s="1" t="e">
        <f t="array" aca="1" ref="F771" ca="1">_xludf.XLOOKUP(C771,'country region mapping'!$A$2:$A$267,'country region mapping'!$G$2:$G$267)</f>
        <v>#NAME?</v>
      </c>
      <c r="G771" s="1">
        <v>6.0609999999999999</v>
      </c>
      <c r="H771" s="1">
        <v>87</v>
      </c>
      <c r="I771" s="1">
        <v>102</v>
      </c>
      <c r="J771" s="1">
        <v>81</v>
      </c>
      <c r="K771" s="1">
        <v>77</v>
      </c>
      <c r="L771" s="1">
        <v>17</v>
      </c>
      <c r="M771" s="1">
        <v>103</v>
      </c>
      <c r="N771" s="1">
        <v>22</v>
      </c>
      <c r="O771" s="1">
        <v>2</v>
      </c>
      <c r="P771" s="1">
        <v>77</v>
      </c>
      <c r="Q771" s="1">
        <v>103</v>
      </c>
      <c r="R771" s="1">
        <v>35</v>
      </c>
      <c r="S771" s="1">
        <v>65</v>
      </c>
    </row>
    <row r="772" spans="1:19">
      <c r="A772" s="1">
        <v>2020</v>
      </c>
      <c r="B772" s="1">
        <v>50</v>
      </c>
      <c r="C772" s="1" t="s">
        <v>121</v>
      </c>
      <c r="D772" s="1" t="e">
        <f t="array" aca="1" ref="D772" ca="1">_xludf.XLOOKUP(C772,'country region mapping'!$A$2:$A$250, 'country region mapping'!$E$2:$E$250)</f>
        <v>#NAME?</v>
      </c>
      <c r="E772" s="1" t="e">
        <f t="array" aca="1" ref="E772" ca="1">_xludf.XLOOKUP(C772,'country region mapping'!$A$2:$A$267,'country region mapping'!$F$2:$F$267)</f>
        <v>#NAME?</v>
      </c>
      <c r="F772" s="1" t="e">
        <f t="array" aca="1" ref="F772" ca="1">_xludf.XLOOKUP(C772,'country region mapping'!$A$2:$A$267,'country region mapping'!$G$2:$G$267)</f>
        <v>#NAME?</v>
      </c>
      <c r="G772" s="1">
        <v>6.0490000000000004</v>
      </c>
      <c r="H772" s="1">
        <v>50</v>
      </c>
      <c r="I772" s="1">
        <v>39</v>
      </c>
      <c r="J772" s="1">
        <v>50</v>
      </c>
      <c r="K772" s="1">
        <v>65</v>
      </c>
      <c r="L772" s="1">
        <v>46</v>
      </c>
      <c r="M772" s="1">
        <v>51</v>
      </c>
      <c r="N772" s="1">
        <v>47</v>
      </c>
      <c r="O772" s="1">
        <v>47</v>
      </c>
      <c r="P772" s="1">
        <v>2</v>
      </c>
      <c r="Q772" s="1">
        <v>51</v>
      </c>
      <c r="R772" s="1">
        <v>23</v>
      </c>
      <c r="S772" s="1">
        <v>85</v>
      </c>
    </row>
    <row r="773" spans="1:19">
      <c r="A773" s="1">
        <v>2020</v>
      </c>
      <c r="B773" s="1">
        <v>51</v>
      </c>
      <c r="C773" s="1" t="s">
        <v>123</v>
      </c>
      <c r="D773" s="1" t="e">
        <f t="array" aca="1" ref="D773" ca="1">_xludf.XLOOKUP(C773,'country region mapping'!$A$2:$A$250, 'country region mapping'!$E$2:$E$250)</f>
        <v>#NAME?</v>
      </c>
      <c r="E773" s="1" t="e">
        <f t="array" aca="1" ref="E773" ca="1">_xludf.XLOOKUP(C773,'country region mapping'!$A$2:$A$267,'country region mapping'!$F$2:$F$267)</f>
        <v>#NAME?</v>
      </c>
      <c r="F773" s="1" t="e">
        <f t="array" aca="1" ref="F773" ca="1">_xludf.XLOOKUP(C773,'country region mapping'!$A$2:$A$267,'country region mapping'!$G$2:$G$267)</f>
        <v>#NAME?</v>
      </c>
      <c r="G773" s="1">
        <v>6.032</v>
      </c>
      <c r="H773" s="1">
        <v>19</v>
      </c>
      <c r="I773" s="1">
        <v>26</v>
      </c>
      <c r="J773" s="1">
        <v>39</v>
      </c>
      <c r="K773" s="1">
        <v>50</v>
      </c>
      <c r="L773" s="1">
        <v>59</v>
      </c>
      <c r="M773" s="1">
        <v>58</v>
      </c>
      <c r="N773" s="1">
        <v>63</v>
      </c>
      <c r="O773" s="1">
        <v>63</v>
      </c>
      <c r="P773" s="1">
        <v>11</v>
      </c>
      <c r="Q773" s="1">
        <v>58</v>
      </c>
      <c r="R773" s="1">
        <v>111</v>
      </c>
      <c r="S773" s="1">
        <v>100</v>
      </c>
    </row>
    <row r="774" spans="1:19">
      <c r="A774" s="1">
        <v>2020</v>
      </c>
      <c r="B774" s="1">
        <v>52</v>
      </c>
      <c r="C774" s="1" t="s">
        <v>75</v>
      </c>
      <c r="D774" s="1" t="e">
        <f t="array" aca="1" ref="D774" ca="1">_xludf.XLOOKUP(C774,'country region mapping'!$A$2:$A$250, 'country region mapping'!$E$2:$E$250)</f>
        <v>#NAME?</v>
      </c>
      <c r="E774" s="1" t="e">
        <f t="array" aca="1" ref="E774" ca="1">_xludf.XLOOKUP(C774,'country region mapping'!$A$2:$A$267,'country region mapping'!$F$2:$F$267)</f>
        <v>#NAME?</v>
      </c>
      <c r="F774" s="1" t="e">
        <f t="array" aca="1" ref="F774" ca="1">_xludf.XLOOKUP(C774,'country region mapping'!$A$2:$A$267,'country region mapping'!$G$2:$G$267)</f>
        <v>#NAME?</v>
      </c>
      <c r="G774" s="1">
        <v>6.0119999999999996</v>
      </c>
      <c r="H774" s="1">
        <v>96</v>
      </c>
      <c r="I774" s="1">
        <v>73</v>
      </c>
      <c r="J774" s="1">
        <v>63</v>
      </c>
      <c r="K774" s="1">
        <v>41</v>
      </c>
      <c r="L774" s="1">
        <v>48</v>
      </c>
      <c r="M774" s="1">
        <v>84</v>
      </c>
      <c r="N774" s="1">
        <v>61</v>
      </c>
      <c r="O774" s="1">
        <v>13</v>
      </c>
      <c r="P774" s="1">
        <v>82</v>
      </c>
      <c r="Q774" s="1">
        <v>84</v>
      </c>
      <c r="R774" s="1">
        <v>68</v>
      </c>
      <c r="S774" s="1">
        <v>19</v>
      </c>
    </row>
    <row r="775" spans="1:19">
      <c r="A775" s="1">
        <v>2020</v>
      </c>
      <c r="B775" s="1">
        <v>53</v>
      </c>
      <c r="C775" s="1" t="s">
        <v>151</v>
      </c>
      <c r="D775" s="1" t="e">
        <f t="array" aca="1" ref="D775" ca="1">_xludf.XLOOKUP(C775,'country region mapping'!$A$2:$A$250, 'country region mapping'!$E$2:$E$250)</f>
        <v>#NAME?</v>
      </c>
      <c r="E775" s="1" t="e">
        <f t="array" aca="1" ref="E775" ca="1">_xludf.XLOOKUP(C775,'country region mapping'!$A$2:$A$267,'country region mapping'!$F$2:$F$267)</f>
        <v>#NAME?</v>
      </c>
      <c r="F775" s="1" t="e">
        <f t="array" aca="1" ref="F775" ca="1">_xludf.XLOOKUP(C775,'country region mapping'!$A$2:$A$267,'country region mapping'!$G$2:$G$267)</f>
        <v>#NAME?</v>
      </c>
      <c r="G775" s="1">
        <v>5.992</v>
      </c>
      <c r="H775" s="1">
        <v>49</v>
      </c>
      <c r="I775" s="1">
        <v>18</v>
      </c>
      <c r="J775" s="1">
        <v>37</v>
      </c>
      <c r="K775" s="1">
        <v>45</v>
      </c>
      <c r="L775" s="1">
        <v>78</v>
      </c>
      <c r="M775" s="1">
        <v>78</v>
      </c>
      <c r="N775" s="1">
        <v>76</v>
      </c>
      <c r="O775" s="1">
        <v>70</v>
      </c>
      <c r="P775" s="1">
        <v>24</v>
      </c>
      <c r="Q775" s="1">
        <v>78</v>
      </c>
      <c r="R775" s="1">
        <v>106</v>
      </c>
      <c r="S775" s="1">
        <v>52</v>
      </c>
    </row>
    <row r="776" spans="1:19">
      <c r="A776" s="1">
        <v>2020</v>
      </c>
      <c r="B776" s="1">
        <v>54</v>
      </c>
      <c r="C776" s="1" t="s">
        <v>78</v>
      </c>
      <c r="D776" s="1" t="e">
        <f t="array" aca="1" ref="D776" ca="1">_xludf.XLOOKUP(C776,'country region mapping'!$A$2:$A$250, 'country region mapping'!$E$2:$E$250)</f>
        <v>#NAME?</v>
      </c>
      <c r="E776" s="1" t="e">
        <f t="array" aca="1" ref="E776" ca="1">_xludf.XLOOKUP(C776,'country region mapping'!$A$2:$A$267,'country region mapping'!$F$2:$F$267)</f>
        <v>#NAME?</v>
      </c>
      <c r="F776" s="1" t="e">
        <f t="array" aca="1" ref="F776" ca="1">_xludf.XLOOKUP(C776,'country region mapping'!$A$2:$A$267,'country region mapping'!$G$2:$G$267)</f>
        <v>#NAME?</v>
      </c>
      <c r="G776" s="1">
        <v>5.9850000000000003</v>
      </c>
      <c r="H776" s="1">
        <v>55</v>
      </c>
      <c r="I776" s="1">
        <v>53</v>
      </c>
      <c r="J776" s="1">
        <v>54</v>
      </c>
      <c r="K776" s="1">
        <v>38</v>
      </c>
      <c r="L776" s="1">
        <v>47</v>
      </c>
      <c r="M776" s="1">
        <v>4</v>
      </c>
      <c r="N776" s="1">
        <v>106</v>
      </c>
      <c r="O776" s="1">
        <v>9</v>
      </c>
      <c r="P776" s="1">
        <v>74</v>
      </c>
      <c r="Q776" s="1">
        <v>4</v>
      </c>
      <c r="R776" s="1">
        <v>60</v>
      </c>
      <c r="S776" s="1">
        <v>45</v>
      </c>
    </row>
    <row r="777" spans="1:19">
      <c r="A777" s="1">
        <v>2020</v>
      </c>
      <c r="B777" s="1">
        <v>55</v>
      </c>
      <c r="C777" s="1" t="s">
        <v>98</v>
      </c>
      <c r="D777" s="1" t="e">
        <f t="array" aca="1" ref="D777" ca="1">_xludf.XLOOKUP(C777,'country region mapping'!$A$2:$A$250, 'country region mapping'!$E$2:$E$250)</f>
        <v>#NAME?</v>
      </c>
      <c r="E777" s="1" t="e">
        <f t="array" aca="1" ref="E777" ca="1">_xludf.XLOOKUP(C777,'country region mapping'!$A$2:$A$267,'country region mapping'!$F$2:$F$267)</f>
        <v>#NAME?</v>
      </c>
      <c r="F777" s="1" t="e">
        <f t="array" aca="1" ref="F777" ca="1">_xludf.XLOOKUP(C777,'country region mapping'!$A$2:$A$267,'country region mapping'!$G$2:$G$267)</f>
        <v>#NAME?</v>
      </c>
      <c r="G777" s="1">
        <v>5.9720000000000004</v>
      </c>
      <c r="H777" s="1">
        <v>85</v>
      </c>
      <c r="I777" s="1">
        <v>55</v>
      </c>
      <c r="J777" s="1">
        <v>92</v>
      </c>
      <c r="K777" s="1">
        <v>57</v>
      </c>
      <c r="L777" s="1">
        <v>62</v>
      </c>
      <c r="M777" s="1">
        <v>62</v>
      </c>
      <c r="N777" s="1">
        <v>24</v>
      </c>
      <c r="O777" s="1">
        <v>7</v>
      </c>
      <c r="P777" s="1">
        <v>70</v>
      </c>
      <c r="Q777" s="1">
        <v>62</v>
      </c>
      <c r="R777" s="1">
        <v>44</v>
      </c>
      <c r="S777" s="1">
        <v>39</v>
      </c>
    </row>
    <row r="778" spans="1:19">
      <c r="A778" s="1">
        <v>2020</v>
      </c>
      <c r="B778" s="1">
        <v>56</v>
      </c>
      <c r="C778" s="1" t="s">
        <v>104</v>
      </c>
      <c r="D778" s="1" t="e">
        <f t="array" aca="1" ref="D778" ca="1">_xludf.XLOOKUP(C778,'country region mapping'!$A$2:$A$250, 'country region mapping'!$E$2:$E$250)</f>
        <v>#NAME?</v>
      </c>
      <c r="E778" s="1" t="e">
        <f t="array" aca="1" ref="E778" ca="1">_xludf.XLOOKUP(C778,'country region mapping'!$A$2:$A$267,'country region mapping'!$F$2:$F$267)</f>
        <v>#NAME?</v>
      </c>
      <c r="F778" s="1" t="e">
        <f t="array" aca="1" ref="F778" ca="1">_xludf.XLOOKUP(C778,'country region mapping'!$A$2:$A$267,'country region mapping'!$G$2:$G$267)</f>
        <v>#NAME?</v>
      </c>
      <c r="G778" s="1">
        <v>5.94</v>
      </c>
      <c r="H778" s="1">
        <v>27</v>
      </c>
      <c r="I778" s="1">
        <v>44</v>
      </c>
      <c r="J778" s="1">
        <v>28</v>
      </c>
      <c r="K778" s="1">
        <v>1</v>
      </c>
      <c r="L778" s="1">
        <v>63</v>
      </c>
      <c r="M778" s="1">
        <v>109</v>
      </c>
      <c r="N778" s="1">
        <v>23</v>
      </c>
      <c r="O778" s="1">
        <v>57</v>
      </c>
      <c r="P778" s="1">
        <v>5</v>
      </c>
      <c r="Q778" s="1">
        <v>109</v>
      </c>
      <c r="R778" s="1">
        <v>93</v>
      </c>
      <c r="S778" s="1">
        <v>116</v>
      </c>
    </row>
    <row r="779" spans="1:19">
      <c r="A779" s="1">
        <v>2020</v>
      </c>
      <c r="B779" s="1">
        <v>57</v>
      </c>
      <c r="C779" s="1" t="s">
        <v>69</v>
      </c>
      <c r="D779" s="1" t="e">
        <f t="array" aca="1" ref="D779" ca="1">_xludf.XLOOKUP(C779,'country region mapping'!$A$2:$A$250, 'country region mapping'!$E$2:$E$250)</f>
        <v>#NAME?</v>
      </c>
      <c r="E779" s="1" t="e">
        <f t="array" aca="1" ref="E779" ca="1">_xludf.XLOOKUP(C779,'country region mapping'!$A$2:$A$267,'country region mapping'!$F$2:$F$267)</f>
        <v>#NAME?</v>
      </c>
      <c r="F779" s="1" t="e">
        <f t="array" aca="1" ref="F779" ca="1">_xludf.XLOOKUP(C779,'country region mapping'!$A$2:$A$267,'country region mapping'!$G$2:$G$267)</f>
        <v>#NAME?</v>
      </c>
      <c r="G779" s="1">
        <v>5.9290000000000003</v>
      </c>
      <c r="H779" s="1">
        <v>57</v>
      </c>
      <c r="I779" s="1">
        <v>38</v>
      </c>
      <c r="J779" s="1">
        <v>48</v>
      </c>
      <c r="K779" s="1">
        <v>44</v>
      </c>
      <c r="L779" s="1">
        <v>57</v>
      </c>
      <c r="M779" s="1">
        <v>88</v>
      </c>
      <c r="N779" s="1">
        <v>69</v>
      </c>
      <c r="O779" s="1">
        <v>59</v>
      </c>
      <c r="P779" s="1">
        <v>83</v>
      </c>
      <c r="Q779" s="1">
        <v>88</v>
      </c>
      <c r="R779" s="1">
        <v>65</v>
      </c>
      <c r="S779" s="1">
        <v>53</v>
      </c>
    </row>
    <row r="780" spans="1:19">
      <c r="A780" s="1">
        <v>2020</v>
      </c>
      <c r="B780" s="1">
        <v>58</v>
      </c>
      <c r="C780" s="1" t="s">
        <v>155</v>
      </c>
      <c r="D780" s="1" t="e">
        <f t="array" aca="1" ref="D780" ca="1">_xludf.XLOOKUP(C780,'country region mapping'!$A$2:$A$250, 'country region mapping'!$E$2:$E$250)</f>
        <v>#NAME?</v>
      </c>
      <c r="E780" s="1" t="e">
        <f t="array" aca="1" ref="E780" ca="1">_xludf.XLOOKUP(C780,'country region mapping'!$A$2:$A$267,'country region mapping'!$F$2:$F$267)</f>
        <v>#NAME?</v>
      </c>
      <c r="F780" s="1" t="e">
        <f t="array" aca="1" ref="F780" ca="1">_xludf.XLOOKUP(C780,'country region mapping'!$A$2:$A$267,'country region mapping'!$G$2:$G$267)</f>
        <v>#NAME?</v>
      </c>
      <c r="G780" s="1">
        <v>5.9290000000000003</v>
      </c>
      <c r="H780" s="1">
        <v>51</v>
      </c>
      <c r="I780" s="1">
        <v>48</v>
      </c>
      <c r="J780" s="1">
        <v>34</v>
      </c>
      <c r="K780" s="1">
        <v>22</v>
      </c>
      <c r="L780" s="1">
        <v>21</v>
      </c>
      <c r="M780" s="1">
        <v>108</v>
      </c>
      <c r="N780" s="1">
        <v>88</v>
      </c>
      <c r="O780" s="1">
        <v>86</v>
      </c>
      <c r="P780" s="1">
        <v>95</v>
      </c>
      <c r="Q780" s="1">
        <v>108</v>
      </c>
      <c r="R780" s="1">
        <v>104</v>
      </c>
      <c r="S780" s="1">
        <v>106</v>
      </c>
    </row>
    <row r="781" spans="1:19">
      <c r="A781" s="1">
        <v>2020</v>
      </c>
      <c r="B781" s="1">
        <v>59</v>
      </c>
      <c r="C781" s="1" t="s">
        <v>167</v>
      </c>
      <c r="D781" s="1" t="e">
        <f t="array" aca="1" ref="D781" ca="1">_xludf.XLOOKUP(C781,'country region mapping'!$A$2:$A$250, 'country region mapping'!$E$2:$E$250)</f>
        <v>#NAME?</v>
      </c>
      <c r="E781" s="1" t="e">
        <f t="array" aca="1" ref="E781" ca="1">_xludf.XLOOKUP(C781,'country region mapping'!$A$2:$A$267,'country region mapping'!$F$2:$F$267)</f>
        <v>#NAME?</v>
      </c>
      <c r="F781" s="1" t="e">
        <f t="array" aca="1" ref="F781" ca="1">_xludf.XLOOKUP(C781,'country region mapping'!$A$2:$A$267,'country region mapping'!$G$2:$G$267)</f>
        <v>#NAME?</v>
      </c>
      <c r="G781" s="1">
        <v>5.9189999999999996</v>
      </c>
      <c r="H781" s="1"/>
      <c r="I781" s="1"/>
      <c r="J781" s="1"/>
      <c r="K781" s="1"/>
      <c r="L781" s="1"/>
      <c r="M781" s="1"/>
      <c r="N781" s="1"/>
      <c r="O781" s="1"/>
      <c r="P781" s="1"/>
      <c r="S781" s="1"/>
    </row>
    <row r="782" spans="1:19">
      <c r="A782" s="1">
        <v>2020</v>
      </c>
      <c r="B782" s="1">
        <v>60</v>
      </c>
      <c r="C782" s="1" t="s">
        <v>131</v>
      </c>
      <c r="D782" s="1" t="e">
        <f t="array" aca="1" ref="D782" ca="1">_xludf.XLOOKUP(C782,'country region mapping'!$A$2:$A$250, 'country region mapping'!$E$2:$E$250)</f>
        <v>#NAME?</v>
      </c>
      <c r="E782" s="1" t="e">
        <f t="array" aca="1" ref="E782" ca="1">_xludf.XLOOKUP(C782,'country region mapping'!$A$2:$A$267,'country region mapping'!$F$2:$F$267)</f>
        <v>#NAME?</v>
      </c>
      <c r="F782" s="1" t="e">
        <f t="array" aca="1" ref="F782" ca="1">_xludf.XLOOKUP(C782,'country region mapping'!$A$2:$A$267,'country region mapping'!$G$2:$G$267)</f>
        <v>#NAME?</v>
      </c>
      <c r="G782" s="1">
        <v>5.8819999999999997</v>
      </c>
      <c r="H782" s="1">
        <v>58</v>
      </c>
      <c r="I782" s="1">
        <v>28</v>
      </c>
      <c r="J782" s="1">
        <v>40</v>
      </c>
      <c r="K782" s="1">
        <v>32</v>
      </c>
      <c r="L782" s="1">
        <v>49</v>
      </c>
      <c r="M782" s="1">
        <v>56</v>
      </c>
      <c r="N782" s="1">
        <v>110</v>
      </c>
      <c r="O782" s="1">
        <v>56</v>
      </c>
      <c r="P782" s="1">
        <v>51</v>
      </c>
      <c r="Q782" s="1">
        <v>56</v>
      </c>
      <c r="R782" s="1">
        <v>109</v>
      </c>
      <c r="S782" s="1">
        <v>74</v>
      </c>
    </row>
    <row r="783" spans="1:19">
      <c r="A783" s="1">
        <v>2020</v>
      </c>
      <c r="B783" s="1">
        <v>61</v>
      </c>
      <c r="C783" s="1" t="s">
        <v>141</v>
      </c>
      <c r="D783" s="1" t="e">
        <f t="array" aca="1" ref="D783" ca="1">_xludf.XLOOKUP(C783,'country region mapping'!$A$2:$A$250, 'country region mapping'!$E$2:$E$250)</f>
        <v>#NAME?</v>
      </c>
      <c r="E783" s="1" t="e">
        <f t="array" aca="1" ref="E783" ca="1">_xludf.XLOOKUP(C783,'country region mapping'!$A$2:$A$267,'country region mapping'!$F$2:$F$267)</f>
        <v>#NAME?</v>
      </c>
      <c r="F783" s="1" t="e">
        <f t="array" aca="1" ref="F783" ca="1">_xludf.XLOOKUP(C783,'country region mapping'!$A$2:$A$267,'country region mapping'!$G$2:$G$267)</f>
        <v>#NAME?</v>
      </c>
      <c r="G783" s="1">
        <v>5.88</v>
      </c>
      <c r="H783" s="1">
        <v>56</v>
      </c>
      <c r="I783" s="1">
        <v>79</v>
      </c>
      <c r="J783" s="1">
        <v>87</v>
      </c>
      <c r="K783" s="1">
        <v>85</v>
      </c>
      <c r="L783" s="1">
        <v>14</v>
      </c>
      <c r="M783" s="1">
        <v>102</v>
      </c>
      <c r="N783" s="1">
        <v>41</v>
      </c>
      <c r="O783" s="1">
        <v>5</v>
      </c>
      <c r="P783" s="1">
        <v>75</v>
      </c>
      <c r="Q783" s="1">
        <v>102</v>
      </c>
      <c r="R783" s="1">
        <v>29</v>
      </c>
      <c r="S783" s="1">
        <v>42</v>
      </c>
    </row>
    <row r="784" spans="1:19">
      <c r="A784" s="1">
        <v>2020</v>
      </c>
      <c r="B784" s="1">
        <v>62</v>
      </c>
      <c r="C784" s="1" t="s">
        <v>110</v>
      </c>
      <c r="D784" s="1" t="e">
        <f t="array" aca="1" ref="D784" ca="1">_xludf.XLOOKUP(C784,'country region mapping'!$A$2:$A$267,'country region mapping'!$E$2:$E$267)</f>
        <v>#NAME?</v>
      </c>
      <c r="E784" s="1" t="e">
        <f t="array" aca="1" ref="E784" ca="1">_xludf.XLOOKUP(C784,'country region mapping'!$A$2:$A$267,'country region mapping'!$F$2:$F$267)</f>
        <v>#NAME?</v>
      </c>
      <c r="F784" s="1" t="e">
        <f t="array" aca="1" ref="F784" ca="1">_xludf.XLOOKUP(C784,'country region mapping'!$A$2:$A$267,'country region mapping'!$G$2:$G$267)</f>
        <v>#NAME?</v>
      </c>
      <c r="G784" s="1">
        <v>5.8449999999999998</v>
      </c>
      <c r="H784" s="1">
        <v>34</v>
      </c>
      <c r="I784" s="1">
        <v>66</v>
      </c>
      <c r="J784" s="1">
        <v>23</v>
      </c>
      <c r="K784" s="1">
        <v>2</v>
      </c>
      <c r="L784" s="1">
        <v>98</v>
      </c>
      <c r="M784" s="1">
        <v>60</v>
      </c>
      <c r="N784" s="1">
        <v>31</v>
      </c>
      <c r="O784" s="1">
        <v>103</v>
      </c>
      <c r="P784" s="1">
        <v>29</v>
      </c>
      <c r="Q784" s="1">
        <v>60</v>
      </c>
      <c r="R784" s="1">
        <v>102</v>
      </c>
      <c r="S784" s="1">
        <v>114</v>
      </c>
    </row>
    <row r="785" spans="1:19">
      <c r="A785" s="1">
        <v>2020</v>
      </c>
      <c r="B785" s="1">
        <v>63</v>
      </c>
      <c r="C785" s="1" t="s">
        <v>118</v>
      </c>
      <c r="D785" s="1" t="e">
        <f t="array" aca="1" ref="D785" ca="1">_xludf.XLOOKUP(C785,'country region mapping'!$A$2:$A$250, 'country region mapping'!$E$2:$E$250)</f>
        <v>#NAME?</v>
      </c>
      <c r="E785" s="1" t="e">
        <f t="array" aca="1" ref="E785" ca="1">_xludf.XLOOKUP(C785,'country region mapping'!$A$2:$A$267,'country region mapping'!$F$2:$F$267)</f>
        <v>#NAME?</v>
      </c>
      <c r="F785" s="1" t="e">
        <f t="array" aca="1" ref="F785" ca="1">_xludf.XLOOKUP(C785,'country region mapping'!$A$2:$A$267,'country region mapping'!$G$2:$G$267)</f>
        <v>#NAME?</v>
      </c>
      <c r="G785" s="1">
        <v>5.84</v>
      </c>
      <c r="H785" s="1">
        <v>73</v>
      </c>
      <c r="I785" s="1">
        <v>87</v>
      </c>
      <c r="J785" s="1">
        <v>71</v>
      </c>
      <c r="K785" s="1">
        <v>64</v>
      </c>
      <c r="L785" s="1">
        <v>64</v>
      </c>
      <c r="M785" s="1">
        <v>91</v>
      </c>
      <c r="N785" s="1">
        <v>100</v>
      </c>
      <c r="O785" s="1">
        <v>28</v>
      </c>
      <c r="P785" s="1">
        <v>113</v>
      </c>
      <c r="Q785" s="1">
        <v>91</v>
      </c>
      <c r="R785" s="1">
        <v>58</v>
      </c>
      <c r="S785" s="1">
        <v>29</v>
      </c>
    </row>
    <row r="786" spans="1:19">
      <c r="A786" s="1">
        <v>2020</v>
      </c>
      <c r="B786" s="1">
        <v>64</v>
      </c>
      <c r="C786" s="1" t="s">
        <v>146</v>
      </c>
      <c r="D786" s="1" t="e">
        <f t="array" aca="1" ref="D786" ca="1">_xludf.XLOOKUP(C786,'country region mapping'!$A$2:$A$250, 'country region mapping'!$E$2:$E$250)</f>
        <v>#NAME?</v>
      </c>
      <c r="E786" s="1" t="e">
        <f t="array" aca="1" ref="E786" ca="1">_xludf.XLOOKUP(C786,'country region mapping'!$A$2:$A$267,'country region mapping'!$F$2:$F$267)</f>
        <v>#NAME?</v>
      </c>
      <c r="F786" s="1" t="e">
        <f t="array" aca="1" ref="F786" ca="1">_xludf.XLOOKUP(C786,'country region mapping'!$A$2:$A$267,'country region mapping'!$G$2:$G$267)</f>
        <v>#NAME?</v>
      </c>
      <c r="G786" s="1">
        <v>5.8129999999999997</v>
      </c>
      <c r="H786" s="1">
        <v>84</v>
      </c>
      <c r="I786" s="1">
        <v>37</v>
      </c>
      <c r="J786" s="1">
        <v>62</v>
      </c>
      <c r="K786" s="1">
        <v>49</v>
      </c>
      <c r="L786" s="1">
        <v>93</v>
      </c>
      <c r="M786" s="1">
        <v>22</v>
      </c>
      <c r="N786" s="1">
        <v>104</v>
      </c>
      <c r="O786" s="1">
        <v>89</v>
      </c>
      <c r="P786" s="1">
        <v>73</v>
      </c>
      <c r="Q786" s="1">
        <v>22</v>
      </c>
      <c r="R786" s="1">
        <v>112</v>
      </c>
      <c r="S786" s="1">
        <v>79</v>
      </c>
    </row>
    <row r="787" spans="1:19">
      <c r="A787" s="1">
        <v>2020</v>
      </c>
      <c r="B787" s="1">
        <v>65</v>
      </c>
      <c r="C787" s="1" t="s">
        <v>285</v>
      </c>
      <c r="D787" s="1" t="e">
        <f t="array" aca="1" ref="D787" ca="1">_xludf.XLOOKUP(C787,'country region mapping'!$A$2:$A$267,'country region mapping'!$E$2:$E$267)</f>
        <v>#NAME?</v>
      </c>
      <c r="E787" s="1" t="e">
        <f t="array" aca="1" ref="E787" ca="1">_xludf.XLOOKUP(C787,'country region mapping'!$A$2:$A$267,'country region mapping'!$F$2:$F$267)</f>
        <v>#NAME?</v>
      </c>
      <c r="F787" s="1" t="e">
        <f t="array" aca="1" ref="F787" ca="1">_xludf.XLOOKUP(C787,'country region mapping'!$A$2:$A$267,'country region mapping'!$G$2:$G$267)</f>
        <v>#NAME?</v>
      </c>
      <c r="G787" s="1">
        <v>5.766</v>
      </c>
      <c r="H787" s="1">
        <v>44</v>
      </c>
      <c r="I787" s="1">
        <v>49</v>
      </c>
      <c r="J787" s="1">
        <v>72</v>
      </c>
      <c r="K787" s="1">
        <v>70</v>
      </c>
      <c r="L787" s="1">
        <v>42</v>
      </c>
      <c r="M787" s="1">
        <v>79</v>
      </c>
      <c r="N787" s="1">
        <v>108</v>
      </c>
      <c r="O787" s="1">
        <v>49</v>
      </c>
      <c r="P787" s="1">
        <v>42</v>
      </c>
      <c r="Q787" s="1">
        <v>79</v>
      </c>
      <c r="R787" s="1">
        <v>66</v>
      </c>
      <c r="S787" s="1">
        <v>12</v>
      </c>
    </row>
    <row r="788" spans="1:19">
      <c r="A788" s="1">
        <v>2020</v>
      </c>
      <c r="B788" s="1">
        <v>66</v>
      </c>
      <c r="C788" s="1" t="s">
        <v>102</v>
      </c>
      <c r="D788" s="1" t="e">
        <f t="array" aca="1" ref="D788" ca="1">_xludf.XLOOKUP(C788,'country region mapping'!$A$2:$A$250, 'country region mapping'!$E$2:$E$250)</f>
        <v>#NAME?</v>
      </c>
      <c r="E788" s="1" t="e">
        <f t="array" aca="1" ref="E788" ca="1">_xludf.XLOOKUP(C788,'country region mapping'!$A$2:$A$267,'country region mapping'!$F$2:$F$267)</f>
        <v>#NAME?</v>
      </c>
      <c r="F788" s="1" t="e">
        <f t="array" aca="1" ref="F788" ca="1">_xludf.XLOOKUP(C788,'country region mapping'!$A$2:$A$267,'country region mapping'!$G$2:$G$267)</f>
        <v>#NAME?</v>
      </c>
      <c r="G788" s="1">
        <v>5.7640000000000002</v>
      </c>
      <c r="H788" s="1">
        <v>86</v>
      </c>
      <c r="I788" s="1">
        <v>71</v>
      </c>
      <c r="J788" s="1">
        <v>76</v>
      </c>
      <c r="K788" s="1">
        <v>68</v>
      </c>
      <c r="L788" s="1">
        <v>53</v>
      </c>
      <c r="M788" s="1">
        <v>107</v>
      </c>
      <c r="N788" s="1">
        <v>85</v>
      </c>
      <c r="O788" s="1">
        <v>16</v>
      </c>
      <c r="P788" s="1">
        <v>104</v>
      </c>
      <c r="Q788" s="1">
        <v>107</v>
      </c>
      <c r="R788" s="1">
        <v>62</v>
      </c>
      <c r="S788" s="1">
        <v>62</v>
      </c>
    </row>
    <row r="789" spans="1:19">
      <c r="A789" s="1">
        <v>2020</v>
      </c>
      <c r="B789" s="1">
        <v>67</v>
      </c>
      <c r="C789" s="1" t="s">
        <v>144</v>
      </c>
      <c r="D789" s="1" t="e">
        <f t="array" aca="1" ref="D789" ca="1">_xludf.XLOOKUP(C789,'country region mapping'!$A$2:$A$250, 'country region mapping'!$E$2:$E$250)</f>
        <v>#NAME?</v>
      </c>
      <c r="E789" s="1" t="e">
        <f t="array" aca="1" ref="E789" ca="1">_xludf.XLOOKUP(C789,'country region mapping'!$A$2:$A$267,'country region mapping'!$F$2:$F$267)</f>
        <v>#NAME?</v>
      </c>
      <c r="F789" s="1" t="e">
        <f t="array" aca="1" ref="F789" ca="1">_xludf.XLOOKUP(C789,'country region mapping'!$A$2:$A$267,'country region mapping'!$G$2:$G$267)</f>
        <v>#NAME?</v>
      </c>
      <c r="G789" s="1">
        <v>5.7439999999999998</v>
      </c>
      <c r="H789" s="1">
        <v>48</v>
      </c>
      <c r="I789" s="1">
        <v>35</v>
      </c>
      <c r="J789" s="1">
        <v>98</v>
      </c>
      <c r="K789" s="1">
        <v>74</v>
      </c>
      <c r="L789" s="1">
        <v>12</v>
      </c>
      <c r="M789" s="1">
        <v>43</v>
      </c>
      <c r="N789" s="1">
        <v>107</v>
      </c>
      <c r="O789" s="1">
        <v>64</v>
      </c>
      <c r="P789" s="1">
        <v>36</v>
      </c>
      <c r="Q789" s="1">
        <v>43</v>
      </c>
      <c r="R789" s="1">
        <v>36</v>
      </c>
      <c r="S789" s="1">
        <v>51</v>
      </c>
    </row>
    <row r="790" spans="1:19">
      <c r="A790" s="1">
        <v>2020</v>
      </c>
      <c r="B790" s="1">
        <v>68</v>
      </c>
      <c r="C790" s="1" t="s">
        <v>160</v>
      </c>
      <c r="D790" s="1" t="e">
        <f t="array" aca="1" ref="D790" ca="1">_xludf.XLOOKUP(C790,'country region mapping'!$A$2:$A$250, 'country region mapping'!$E$2:$E$250)</f>
        <v>#NAME?</v>
      </c>
      <c r="E790" s="1" t="e">
        <f t="array" aca="1" ref="E790" ca="1">_xludf.XLOOKUP(C790,'country region mapping'!$A$2:$A$267,'country region mapping'!$F$2:$F$267)</f>
        <v>#NAME?</v>
      </c>
      <c r="F790" s="1" t="e">
        <f t="array" aca="1" ref="F790" ca="1">_xludf.XLOOKUP(C790,'country region mapping'!$A$2:$A$267,'country region mapping'!$G$2:$G$267)</f>
        <v>#NAME?</v>
      </c>
      <c r="G790" s="1">
        <v>5.7229999999999999</v>
      </c>
      <c r="H790" s="1">
        <v>31</v>
      </c>
      <c r="I790" s="1">
        <v>81</v>
      </c>
      <c r="J790" s="1">
        <v>42</v>
      </c>
      <c r="K790" s="1">
        <v>21</v>
      </c>
      <c r="L790" s="1">
        <v>112</v>
      </c>
      <c r="M790" s="1">
        <v>112</v>
      </c>
      <c r="N790" s="1">
        <v>45</v>
      </c>
      <c r="O790" s="1">
        <v>79</v>
      </c>
      <c r="P790" s="1">
        <v>72</v>
      </c>
      <c r="Q790" s="1">
        <v>112</v>
      </c>
      <c r="R790" s="1">
        <v>74</v>
      </c>
      <c r="S790" s="1">
        <v>73</v>
      </c>
    </row>
    <row r="791" spans="1:19">
      <c r="A791" s="1">
        <v>2020</v>
      </c>
      <c r="B791" s="1">
        <v>69</v>
      </c>
      <c r="C791" s="1" t="s">
        <v>112</v>
      </c>
      <c r="D791" s="1" t="e">
        <f t="array" aca="1" ref="D791" ca="1">_xludf.XLOOKUP(C791,'country region mapping'!$A$2:$A$267,'country region mapping'!$E$2:$E$267)</f>
        <v>#NAME?</v>
      </c>
      <c r="E791" s="1" t="e">
        <f t="array" aca="1" ref="E791" ca="1">_xludf.XLOOKUP(C791,'country region mapping'!$A$2:$A$267,'country region mapping'!$F$2:$F$267)</f>
        <v>#NAME?</v>
      </c>
      <c r="F791" s="1" t="e">
        <f t="array" aca="1" ref="F791" ca="1">_xludf.XLOOKUP(C791,'country region mapping'!$A$2:$A$267,'country region mapping'!$G$2:$G$267)</f>
        <v>#NAME?</v>
      </c>
      <c r="G791" s="1">
        <v>5.7160000000000002</v>
      </c>
      <c r="H791" s="1">
        <v>42</v>
      </c>
      <c r="I791" s="1">
        <v>70</v>
      </c>
      <c r="J791" s="1">
        <v>85</v>
      </c>
      <c r="K791" s="1">
        <v>94</v>
      </c>
      <c r="L791" s="1">
        <v>35</v>
      </c>
      <c r="M791" s="1">
        <v>87</v>
      </c>
      <c r="N791" s="1">
        <v>89</v>
      </c>
      <c r="O791" s="1">
        <v>31</v>
      </c>
      <c r="P791" s="1">
        <v>94</v>
      </c>
      <c r="Q791" s="1">
        <v>87</v>
      </c>
      <c r="R791" s="1">
        <v>52</v>
      </c>
      <c r="S791" s="1">
        <v>35</v>
      </c>
    </row>
    <row r="792" spans="1:19">
      <c r="A792" s="1">
        <v>2020</v>
      </c>
      <c r="B792" s="1">
        <v>70</v>
      </c>
      <c r="C792" s="1" t="s">
        <v>163</v>
      </c>
      <c r="D792" s="1" t="e">
        <f t="array" aca="1" ref="D792" ca="1">_xludf.XLOOKUP(C792,'country region mapping'!$A$2:$A$250, 'country region mapping'!$E$2:$E$250)</f>
        <v>#NAME?</v>
      </c>
      <c r="E792" s="1" t="e">
        <f t="array" aca="1" ref="E792" ca="1">_xludf.XLOOKUP(C792,'country region mapping'!$A$2:$A$267,'country region mapping'!$F$2:$F$267)</f>
        <v>#NAME?</v>
      </c>
      <c r="F792" s="1" t="e">
        <f t="array" aca="1" ref="F792" ca="1">_xludf.XLOOKUP(C792,'country region mapping'!$A$2:$A$267,'country region mapping'!$G$2:$G$267)</f>
        <v>#NAME?</v>
      </c>
      <c r="G792" s="1">
        <v>5.6769999999999996</v>
      </c>
      <c r="H792" s="1">
        <v>26</v>
      </c>
      <c r="I792" s="1">
        <v>30</v>
      </c>
      <c r="J792" s="1">
        <v>66</v>
      </c>
      <c r="K792" s="1">
        <v>69</v>
      </c>
      <c r="L792" s="1">
        <v>94</v>
      </c>
      <c r="M792" s="1">
        <v>27</v>
      </c>
      <c r="N792" s="1">
        <v>80</v>
      </c>
      <c r="O792" s="1">
        <v>94</v>
      </c>
      <c r="P792" s="1">
        <v>37</v>
      </c>
      <c r="Q792" s="1">
        <v>27</v>
      </c>
      <c r="R792" s="1">
        <v>5</v>
      </c>
      <c r="S792" s="1">
        <v>87</v>
      </c>
    </row>
    <row r="793" spans="1:19">
      <c r="A793" s="1">
        <v>2020</v>
      </c>
      <c r="B793" s="1">
        <v>71</v>
      </c>
      <c r="C793" s="1" t="s">
        <v>126</v>
      </c>
      <c r="D793" s="1" t="e">
        <f t="array" aca="1" ref="D793" ca="1">_xludf.XLOOKUP(C793,'country region mapping'!$A$2:$A$250, 'country region mapping'!$E$2:$E$250)</f>
        <v>#NAME?</v>
      </c>
      <c r="E793" s="1" t="e">
        <f t="array" aca="1" ref="E793" ca="1">_xludf.XLOOKUP(C793,'country region mapping'!$A$2:$A$267,'country region mapping'!$F$2:$F$267)</f>
        <v>#NAME?</v>
      </c>
      <c r="F793" s="1" t="e">
        <f t="array" aca="1" ref="F793" ca="1">_xludf.XLOOKUP(C793,'country region mapping'!$A$2:$A$267,'country region mapping'!$G$2:$G$267)</f>
        <v>#NAME?</v>
      </c>
      <c r="G793" s="1">
        <v>5.6529999999999996</v>
      </c>
      <c r="H793" s="1">
        <v>47</v>
      </c>
      <c r="I793" s="1">
        <v>32</v>
      </c>
      <c r="J793" s="1">
        <v>65</v>
      </c>
      <c r="K793" s="1">
        <v>56</v>
      </c>
      <c r="L793" s="1">
        <v>38</v>
      </c>
      <c r="M793" s="1">
        <v>35</v>
      </c>
      <c r="N793" s="1">
        <v>73</v>
      </c>
      <c r="O793" s="1">
        <v>10</v>
      </c>
      <c r="P793" s="1">
        <v>44</v>
      </c>
      <c r="Q793" s="1">
        <v>35</v>
      </c>
      <c r="R793" s="1">
        <v>39</v>
      </c>
      <c r="S793" s="1">
        <v>33</v>
      </c>
    </row>
    <row r="794" spans="1:19">
      <c r="A794" s="1">
        <v>2020</v>
      </c>
      <c r="B794" s="1">
        <v>72</v>
      </c>
      <c r="C794" s="1" t="s">
        <v>147</v>
      </c>
      <c r="D794" s="1" t="e">
        <f t="array" aca="1" ref="D794" ca="1">_xludf.XLOOKUP(C794,'country region mapping'!$A$2:$A$250, 'country region mapping'!$E$2:$E$250)</f>
        <v>#NAME?</v>
      </c>
      <c r="E794" s="1" t="e">
        <f t="array" aca="1" ref="E794" ca="1">_xludf.XLOOKUP(C794,'country region mapping'!$A$2:$A$267,'country region mapping'!$F$2:$F$267)</f>
        <v>#NAME?</v>
      </c>
      <c r="F794" s="1" t="e">
        <f t="array" aca="1" ref="F794" ca="1">_xludf.XLOOKUP(C794,'country region mapping'!$A$2:$A$267,'country region mapping'!$G$2:$G$267)</f>
        <v>#NAME?</v>
      </c>
      <c r="G794" s="1">
        <v>5.5810000000000004</v>
      </c>
      <c r="H794" s="1">
        <v>81</v>
      </c>
      <c r="I794" s="1">
        <v>45</v>
      </c>
      <c r="J794" s="1">
        <v>52</v>
      </c>
      <c r="K794" s="1">
        <v>46</v>
      </c>
      <c r="L794" s="1">
        <v>66</v>
      </c>
      <c r="M794" s="1">
        <v>31</v>
      </c>
      <c r="N794" s="1">
        <v>82</v>
      </c>
      <c r="O794" s="1">
        <v>101</v>
      </c>
      <c r="P794" s="1">
        <v>103</v>
      </c>
      <c r="Q794" s="1">
        <v>31</v>
      </c>
      <c r="R794" s="1">
        <v>98</v>
      </c>
      <c r="S794" s="1">
        <v>75</v>
      </c>
    </row>
    <row r="795" spans="1:19">
      <c r="A795" s="1">
        <v>2020</v>
      </c>
      <c r="B795" s="1">
        <v>73</v>
      </c>
      <c r="C795" s="1" t="s">
        <v>149</v>
      </c>
      <c r="D795" s="1" t="e">
        <f t="array" aca="1" ref="D795" ca="1">_xludf.XLOOKUP(C795,'country region mapping'!$A$2:$A$250, 'country region mapping'!$E$2:$E$250)</f>
        <v>#NAME?</v>
      </c>
      <c r="E795" s="1" t="e">
        <f t="array" aca="1" ref="E795" ca="1">_xludf.XLOOKUP(C795,'country region mapping'!$A$2:$A$267,'country region mapping'!$F$2:$F$267)</f>
        <v>#NAME?</v>
      </c>
      <c r="F795" s="1" t="e">
        <f t="array" aca="1" ref="F795" ca="1">_xludf.XLOOKUP(C795,'country region mapping'!$A$2:$A$267,'country region mapping'!$G$2:$G$267)</f>
        <v>#NAME?</v>
      </c>
      <c r="G795" s="1">
        <v>5.5449999999999999</v>
      </c>
      <c r="H795" s="1">
        <v>105</v>
      </c>
      <c r="I795" s="1">
        <v>67</v>
      </c>
      <c r="J795" s="1">
        <v>56</v>
      </c>
      <c r="K795" s="1">
        <v>67</v>
      </c>
      <c r="L795" s="1">
        <v>50</v>
      </c>
      <c r="M795" s="1">
        <v>93</v>
      </c>
      <c r="N795" s="1">
        <v>26</v>
      </c>
      <c r="O795" s="1">
        <v>33</v>
      </c>
      <c r="P795" s="1">
        <v>68</v>
      </c>
      <c r="Q795" s="1">
        <v>93</v>
      </c>
      <c r="R795" s="1">
        <v>17</v>
      </c>
      <c r="S795" s="1">
        <v>11</v>
      </c>
    </row>
    <row r="796" spans="1:19">
      <c r="A796" s="1">
        <v>2020</v>
      </c>
      <c r="B796" s="1">
        <v>75</v>
      </c>
      <c r="C796" s="1" t="s">
        <v>115</v>
      </c>
      <c r="D796" s="1" t="e">
        <f t="array" aca="1" ref="D796" ca="1">_xludf.XLOOKUP(C796,'country region mapping'!$A$2:$A$250, 'country region mapping'!$E$2:$E$250)</f>
        <v>#NAME?</v>
      </c>
      <c r="E796" s="1" t="e">
        <f t="array" aca="1" ref="E796" ca="1">_xludf.XLOOKUP(C796,'country region mapping'!$A$2:$A$267,'country region mapping'!$F$2:$F$267)</f>
        <v>#NAME?</v>
      </c>
      <c r="F796" s="1" t="e">
        <f t="array" aca="1" ref="F796" ca="1">_xludf.XLOOKUP(C796,'country region mapping'!$A$2:$A$267,'country region mapping'!$G$2:$G$267)</f>
        <v>#NAME?</v>
      </c>
      <c r="G796" s="1">
        <v>5.5339999999999998</v>
      </c>
      <c r="H796" s="1"/>
      <c r="I796" s="1"/>
      <c r="J796" s="1"/>
      <c r="K796" s="1"/>
      <c r="L796" s="1"/>
      <c r="M796" s="1"/>
      <c r="N796" s="1"/>
      <c r="O796" s="1"/>
      <c r="Q796" s="1"/>
      <c r="R796" s="1"/>
      <c r="S796" s="1"/>
    </row>
    <row r="797" spans="1:19">
      <c r="A797" s="1">
        <v>2020</v>
      </c>
      <c r="B797" s="1">
        <v>77</v>
      </c>
      <c r="C797" s="1" t="s">
        <v>132</v>
      </c>
      <c r="D797" s="1" t="e">
        <f t="array" aca="1" ref="D797" ca="1">_xludf.XLOOKUP(C797,'country region mapping'!$A$2:$A$267,'country region mapping'!$E$2:$E$267)</f>
        <v>#NAME?</v>
      </c>
      <c r="E797" s="1" t="e">
        <f t="array" aca="1" ref="E797" ca="1">_xludf.XLOOKUP(C797,'country region mapping'!$A$2:$A$267,'country region mapping'!$F$2:$F$267)</f>
        <v>#NAME?</v>
      </c>
      <c r="F797" s="1" t="e">
        <f t="array" aca="1" ref="F797" ca="1">_xludf.XLOOKUP(C797,'country region mapping'!$A$2:$A$267,'country region mapping'!$G$2:$G$267)</f>
        <v>#NAME?</v>
      </c>
      <c r="G797" s="1">
        <v>5.4770000000000003</v>
      </c>
      <c r="H797" s="1">
        <v>28</v>
      </c>
      <c r="I797" s="1">
        <v>64</v>
      </c>
      <c r="J797" s="1">
        <v>8</v>
      </c>
      <c r="K797" s="1"/>
      <c r="L797" s="1">
        <v>99</v>
      </c>
      <c r="M797" s="1">
        <v>42</v>
      </c>
      <c r="N797" s="1">
        <v>9</v>
      </c>
      <c r="O797" s="1">
        <v>108</v>
      </c>
      <c r="P797" s="1">
        <v>17</v>
      </c>
      <c r="Q797" s="1">
        <v>42</v>
      </c>
      <c r="R797" s="1">
        <v>113</v>
      </c>
      <c r="S797" s="1">
        <v>107</v>
      </c>
    </row>
    <row r="798" spans="1:19">
      <c r="A798" s="1">
        <v>2020</v>
      </c>
      <c r="B798" s="1">
        <v>76</v>
      </c>
      <c r="C798" s="1" t="s">
        <v>108</v>
      </c>
      <c r="D798" s="1" t="e">
        <f t="array" aca="1" ref="D798" ca="1">_xludf.XLOOKUP(C798,'country region mapping'!$A$2:$A$250, 'country region mapping'!$E$2:$E$250)</f>
        <v>#NAME?</v>
      </c>
      <c r="E798" s="1" t="e">
        <f t="array" aca="1" ref="E798" ca="1">_xludf.XLOOKUP(C798,'country region mapping'!$A$2:$A$267,'country region mapping'!$F$2:$F$267)</f>
        <v>#NAME?</v>
      </c>
      <c r="F798" s="1" t="e">
        <f t="array" aca="1" ref="F798" ca="1">_xludf.XLOOKUP(C798,'country region mapping'!$A$2:$A$267,'country region mapping'!$G$2:$G$267)</f>
        <v>#NAME?</v>
      </c>
      <c r="G798" s="1">
        <v>5.4770000000000003</v>
      </c>
      <c r="H798" s="1">
        <v>54</v>
      </c>
      <c r="I798" s="1">
        <v>46</v>
      </c>
      <c r="J798" s="1">
        <v>35</v>
      </c>
      <c r="K798" s="1">
        <v>81</v>
      </c>
      <c r="L798" s="1">
        <v>96</v>
      </c>
      <c r="M798" s="1">
        <v>59</v>
      </c>
      <c r="N798" s="1">
        <v>71</v>
      </c>
      <c r="O798" s="1">
        <v>82</v>
      </c>
      <c r="P798" s="1">
        <v>7</v>
      </c>
      <c r="Q798" s="1">
        <v>59</v>
      </c>
      <c r="R798" s="1">
        <v>80</v>
      </c>
      <c r="S798" s="1">
        <v>59</v>
      </c>
    </row>
    <row r="799" spans="1:19">
      <c r="A799" s="1">
        <v>2020</v>
      </c>
      <c r="B799" s="1">
        <v>78</v>
      </c>
      <c r="C799" s="1" t="s">
        <v>162</v>
      </c>
      <c r="D799" s="1" t="e">
        <f t="array" aca="1" ref="D799" ca="1">_xludf.XLOOKUP(C799,'country region mapping'!$A$2:$A$250, 'country region mapping'!$E$2:$E$250)</f>
        <v>#NAME?</v>
      </c>
      <c r="E799" s="1" t="e">
        <f t="array" aca="1" ref="E799" ca="1">_xludf.XLOOKUP(C799,'country region mapping'!$A$2:$A$267,'country region mapping'!$F$2:$F$267)</f>
        <v>#NAME?</v>
      </c>
      <c r="F799" s="1" t="e">
        <f t="array" aca="1" ref="F799" ca="1">_xludf.XLOOKUP(C799,'country region mapping'!$A$2:$A$267,'country region mapping'!$G$2:$G$267)</f>
        <v>#NAME?</v>
      </c>
      <c r="G799" s="1">
        <v>5.4660000000000002</v>
      </c>
      <c r="H799" s="1">
        <v>52</v>
      </c>
      <c r="I799" s="1">
        <v>77</v>
      </c>
      <c r="J799" s="1">
        <v>105</v>
      </c>
      <c r="K799" s="1">
        <v>80</v>
      </c>
      <c r="M799" s="14">
        <v>100</v>
      </c>
      <c r="N799" s="14">
        <v>19</v>
      </c>
      <c r="O799" s="14">
        <v>74</v>
      </c>
      <c r="P799" s="14">
        <v>84</v>
      </c>
      <c r="Q799" s="14">
        <v>100</v>
      </c>
      <c r="R799" s="14">
        <v>2</v>
      </c>
      <c r="S799" s="14">
        <v>10</v>
      </c>
    </row>
    <row r="800" spans="1:19">
      <c r="A800" s="1">
        <v>2020</v>
      </c>
      <c r="B800" s="1">
        <v>79</v>
      </c>
      <c r="C800" s="1" t="s">
        <v>157</v>
      </c>
      <c r="D800" s="1" t="e">
        <f t="array" aca="1" ref="D800" ca="1">_xludf.XLOOKUP(C800,'country region mapping'!$A$2:$A$250, 'country region mapping'!$E$2:$E$250)</f>
        <v>#NAME?</v>
      </c>
      <c r="E800" s="1" t="e">
        <f t="array" aca="1" ref="E800" ca="1">_xludf.XLOOKUP(C800,'country region mapping'!$A$2:$A$267,'country region mapping'!$F$2:$F$267)</f>
        <v>#NAME?</v>
      </c>
      <c r="F800" s="1" t="e">
        <f t="array" aca="1" ref="F800" ca="1">_xludf.XLOOKUP(C800,'country region mapping'!$A$2:$A$267,'country region mapping'!$G$2:$G$267)</f>
        <v>#NAME?</v>
      </c>
      <c r="G800" s="1">
        <v>5.4109999999999996</v>
      </c>
      <c r="H800" s="1">
        <v>33</v>
      </c>
      <c r="I800" s="1">
        <v>83</v>
      </c>
      <c r="J800" s="1">
        <v>79</v>
      </c>
      <c r="K800" s="1">
        <v>43</v>
      </c>
      <c r="L800" s="1">
        <v>9</v>
      </c>
      <c r="M800" s="1">
        <v>37</v>
      </c>
      <c r="N800" s="1">
        <v>58</v>
      </c>
      <c r="O800" s="1">
        <v>48</v>
      </c>
      <c r="P800" s="1">
        <v>52</v>
      </c>
      <c r="Q800" s="1">
        <v>37</v>
      </c>
      <c r="R800" s="1">
        <v>32</v>
      </c>
      <c r="S800" s="1">
        <v>37</v>
      </c>
    </row>
    <row r="801" spans="1:19">
      <c r="A801" s="1">
        <v>2020</v>
      </c>
      <c r="B801" s="1">
        <v>80</v>
      </c>
      <c r="C801" s="1" t="s">
        <v>122</v>
      </c>
      <c r="D801" s="1" t="e">
        <f t="array" aca="1" ref="D801" ca="1">_xludf.XLOOKUP(C801,'country region mapping'!$A$2:$A$250, 'country region mapping'!$E$2:$E$250)</f>
        <v>#NAME?</v>
      </c>
      <c r="E801" s="1" t="e">
        <f t="array" aca="1" ref="E801" ca="1">_xludf.XLOOKUP(C801,'country region mapping'!$A$2:$A$267,'country region mapping'!$F$2:$F$267)</f>
        <v>#NAME?</v>
      </c>
      <c r="F801" s="1" t="e">
        <f t="array" aca="1" ref="F801" ca="1">_xludf.XLOOKUP(C801,'country region mapping'!$A$2:$A$267,'country region mapping'!$G$2:$G$267)</f>
        <v>#NAME?</v>
      </c>
      <c r="G801" s="1">
        <v>5.41</v>
      </c>
      <c r="H801" s="1"/>
      <c r="I801" s="1"/>
      <c r="J801" s="1"/>
      <c r="K801" s="1"/>
      <c r="L801" s="1"/>
      <c r="M801" s="1"/>
      <c r="N801" s="1"/>
      <c r="O801" s="1"/>
      <c r="P801" s="1"/>
      <c r="S801" s="1"/>
    </row>
    <row r="802" spans="1:19">
      <c r="A802" s="1">
        <v>2020</v>
      </c>
      <c r="B802" s="1">
        <v>81</v>
      </c>
      <c r="C802" s="1" t="s">
        <v>97</v>
      </c>
      <c r="D802" s="1" t="e">
        <f t="array" aca="1" ref="D802" ca="1">_xludf.XLOOKUP(C802,'country region mapping'!$A$2:$A$250, 'country region mapping'!$E$2:$E$250)</f>
        <v>#NAME?</v>
      </c>
      <c r="E802" s="1" t="e">
        <f t="array" aca="1" ref="E802" ca="1">_xludf.XLOOKUP(C802,'country region mapping'!$A$2:$A$267,'country region mapping'!$F$2:$F$267)</f>
        <v>#NAME?</v>
      </c>
      <c r="F802" s="1" t="e">
        <f t="array" aca="1" ref="F802" ca="1">_xludf.XLOOKUP(C802,'country region mapping'!$A$2:$A$267,'country region mapping'!$G$2:$G$267)</f>
        <v>#NAME?</v>
      </c>
      <c r="G802" s="1">
        <v>5.3840000000000003</v>
      </c>
      <c r="H802" s="1">
        <v>65</v>
      </c>
      <c r="I802" s="1">
        <v>74</v>
      </c>
      <c r="J802" s="1">
        <v>43</v>
      </c>
      <c r="K802" s="1">
        <v>36</v>
      </c>
      <c r="L802" s="1">
        <v>34</v>
      </c>
      <c r="M802" s="1">
        <v>19</v>
      </c>
      <c r="N802" s="1">
        <v>42</v>
      </c>
      <c r="O802" s="1">
        <v>36</v>
      </c>
      <c r="P802" s="1">
        <v>53</v>
      </c>
      <c r="Q802" s="1">
        <v>19</v>
      </c>
      <c r="R802" s="1">
        <v>45</v>
      </c>
      <c r="S802" s="1">
        <v>70</v>
      </c>
    </row>
    <row r="803" spans="1:19">
      <c r="A803" s="1">
        <v>2020</v>
      </c>
      <c r="B803" s="1">
        <v>82</v>
      </c>
      <c r="C803" s="1" t="s">
        <v>137</v>
      </c>
      <c r="D803" s="1" t="e">
        <f t="array" aca="1" ref="D803" ca="1">_xludf.XLOOKUP(C803,'country region mapping'!$A$2:$A$250, 'country region mapping'!$E$2:$E$250)</f>
        <v>#NAME?</v>
      </c>
      <c r="E803" s="1" t="e">
        <f t="array" aca="1" ref="E803" ca="1">_xludf.XLOOKUP(C803,'country region mapping'!$A$2:$A$267,'country region mapping'!$F$2:$F$267)</f>
        <v>#NAME?</v>
      </c>
      <c r="F803" s="1" t="e">
        <f t="array" aca="1" ref="F803" ca="1">_xludf.XLOOKUP(C803,'country region mapping'!$A$2:$A$267,'country region mapping'!$G$2:$G$267)</f>
        <v>#NAME?</v>
      </c>
      <c r="G803" s="1">
        <v>5.3449999999999998</v>
      </c>
      <c r="H803" s="1">
        <v>68</v>
      </c>
      <c r="I803" s="1">
        <v>85</v>
      </c>
      <c r="J803" s="1">
        <v>77</v>
      </c>
      <c r="K803" s="1">
        <v>82</v>
      </c>
      <c r="L803" s="1">
        <v>43</v>
      </c>
      <c r="M803" s="1">
        <v>1</v>
      </c>
      <c r="N803" s="1">
        <v>103</v>
      </c>
      <c r="O803" s="1">
        <v>24</v>
      </c>
      <c r="P803" s="1">
        <v>89</v>
      </c>
      <c r="Q803" s="1">
        <v>1</v>
      </c>
      <c r="R803" s="1">
        <v>1</v>
      </c>
      <c r="S803" s="1">
        <v>28</v>
      </c>
    </row>
    <row r="804" spans="1:19">
      <c r="A804" s="1">
        <v>2020</v>
      </c>
      <c r="B804" s="1">
        <v>83</v>
      </c>
      <c r="C804" s="1" t="s">
        <v>202</v>
      </c>
      <c r="D804" s="1" t="e">
        <f t="array" aca="1" ref="D804" ca="1">_xludf.XLOOKUP(C804,'country region mapping'!$A$2:$A$250, 'country region mapping'!$E$2:$E$250)</f>
        <v>#NAME?</v>
      </c>
      <c r="E804" s="1" t="e">
        <f t="array" aca="1" ref="E804" ca="1">_xludf.XLOOKUP(C804,'country region mapping'!$A$2:$A$267,'country region mapping'!$F$2:$F$267)</f>
        <v>#NAME?</v>
      </c>
      <c r="F804" s="1" t="e">
        <f t="array" aca="1" ref="F804" ca="1">_xludf.XLOOKUP(C804,'country region mapping'!$A$2:$A$267,'country region mapping'!$G$2:$G$267)</f>
        <v>#NAME?</v>
      </c>
      <c r="G804" s="1">
        <v>5.3419999999999996</v>
      </c>
      <c r="H804" s="1">
        <v>116</v>
      </c>
      <c r="I804" s="1">
        <v>111</v>
      </c>
      <c r="J804" s="1">
        <v>94</v>
      </c>
      <c r="K804" s="1">
        <v>104</v>
      </c>
      <c r="L804" s="1">
        <v>88</v>
      </c>
      <c r="M804" s="1">
        <v>94</v>
      </c>
      <c r="N804" s="1">
        <v>37</v>
      </c>
      <c r="O804" s="1">
        <v>97</v>
      </c>
      <c r="P804" s="1">
        <v>107</v>
      </c>
      <c r="Q804" s="1">
        <v>94</v>
      </c>
      <c r="R804" s="1">
        <v>28</v>
      </c>
      <c r="S804" s="1">
        <v>41</v>
      </c>
    </row>
    <row r="805" spans="1:19">
      <c r="A805" s="1">
        <v>2020</v>
      </c>
      <c r="B805" s="1">
        <v>84</v>
      </c>
      <c r="C805" s="1" t="s">
        <v>142</v>
      </c>
      <c r="D805" s="1" t="e">
        <f t="array" aca="1" ref="D805" ca="1">_xludf.XLOOKUP(C805,'country region mapping'!$A$2:$A$250, 'country region mapping'!$E$2:$E$250)</f>
        <v>#NAME?</v>
      </c>
      <c r="E805" s="1" t="e">
        <f t="array" aca="1" ref="E805" ca="1">_xludf.XLOOKUP(C805,'country region mapping'!$A$2:$A$267,'country region mapping'!$F$2:$F$267)</f>
        <v>#NAME?</v>
      </c>
      <c r="F805" s="1" t="e">
        <f t="array" aca="1" ref="F805" ca="1">_xludf.XLOOKUP(C805,'country region mapping'!$A$2:$A$267,'country region mapping'!$G$2:$G$267)</f>
        <v>#NAME?</v>
      </c>
      <c r="G805" s="1">
        <v>5.3390000000000004</v>
      </c>
      <c r="H805" s="1">
        <v>72</v>
      </c>
      <c r="I805" s="1">
        <v>65</v>
      </c>
      <c r="J805" s="1">
        <v>57</v>
      </c>
      <c r="K805" s="1">
        <v>29</v>
      </c>
      <c r="L805" s="1">
        <v>27</v>
      </c>
      <c r="M805" s="1">
        <v>86</v>
      </c>
      <c r="O805" s="14">
        <v>69</v>
      </c>
      <c r="P805" s="14">
        <v>26</v>
      </c>
      <c r="Q805" s="14">
        <v>86</v>
      </c>
      <c r="R805" s="14">
        <v>75</v>
      </c>
      <c r="S805" s="14">
        <v>83</v>
      </c>
    </row>
    <row r="806" spans="1:19">
      <c r="A806" s="1">
        <v>2020</v>
      </c>
      <c r="B806" s="1">
        <v>85</v>
      </c>
      <c r="C806" s="1" t="s">
        <v>220</v>
      </c>
      <c r="D806" s="1" t="e">
        <f t="array" aca="1" ref="D806" ca="1">_xludf.XLOOKUP(C806,'country region mapping'!$A$2:$A$267,'country region mapping'!$E$2:$E$267)</f>
        <v>#NAME?</v>
      </c>
      <c r="E806" s="1" t="e">
        <f t="array" aca="1" ref="E806" ca="1">_xludf.XLOOKUP(C806,'country region mapping'!$A$2:$A$267,'country region mapping'!$F$2:$F$267)</f>
        <v>#NAME?</v>
      </c>
      <c r="F806" s="1" t="e">
        <f t="array" aca="1" ref="F806" ca="1">_xludf.XLOOKUP(C806,'country region mapping'!$A$2:$A$267,'country region mapping'!$G$2:$G$267)</f>
        <v>#NAME?</v>
      </c>
      <c r="G806" s="1">
        <v>5.306</v>
      </c>
      <c r="H806" s="1">
        <v>95</v>
      </c>
      <c r="I806" s="1">
        <v>110</v>
      </c>
      <c r="J806" s="1">
        <v>97</v>
      </c>
      <c r="K806" s="1">
        <v>79</v>
      </c>
      <c r="L806" s="1"/>
      <c r="M806" s="1">
        <v>73</v>
      </c>
      <c r="N806" s="1">
        <v>50</v>
      </c>
      <c r="O806" s="1">
        <v>72</v>
      </c>
      <c r="P806" s="1">
        <v>81</v>
      </c>
      <c r="Q806" s="1">
        <v>73</v>
      </c>
      <c r="R806" s="1">
        <v>81</v>
      </c>
      <c r="S806" s="1">
        <v>30</v>
      </c>
    </row>
    <row r="807" spans="1:19">
      <c r="A807" s="1">
        <v>2020</v>
      </c>
      <c r="B807" s="1">
        <v>86</v>
      </c>
      <c r="C807" s="1" t="s">
        <v>192</v>
      </c>
      <c r="D807" s="1" t="e">
        <f t="array" aca="1" ref="D807" ca="1">_xludf.XLOOKUP(C807,'country region mapping'!$A$2:$A$250, 'country region mapping'!$E$2:$E$250)</f>
        <v>#NAME?</v>
      </c>
      <c r="E807" s="1" t="e">
        <f t="array" aca="1" ref="E807" ca="1">_xludf.XLOOKUP(C807,'country region mapping'!$A$2:$A$267,'country region mapping'!$F$2:$F$267)</f>
        <v>#NAME?</v>
      </c>
      <c r="F807" s="1" t="e">
        <f t="array" aca="1" ref="F807" ca="1">_xludf.XLOOKUP(C807,'country region mapping'!$A$2:$A$267,'country region mapping'!$G$2:$G$267)</f>
        <v>#NAME?</v>
      </c>
      <c r="G807" s="1">
        <v>5.2830000000000004</v>
      </c>
      <c r="H807" s="1"/>
      <c r="I807" s="1"/>
      <c r="J807" s="1"/>
      <c r="K807" s="1"/>
      <c r="L807" s="1"/>
      <c r="M807" s="1"/>
      <c r="N807" s="1"/>
      <c r="O807" s="1"/>
      <c r="P807" s="1"/>
      <c r="S807" s="1"/>
    </row>
    <row r="808" spans="1:19">
      <c r="A808" s="1">
        <v>2020</v>
      </c>
      <c r="B808" s="1">
        <v>87</v>
      </c>
      <c r="C808" s="1" t="s">
        <v>172</v>
      </c>
      <c r="D808" s="1" t="e">
        <f t="array" aca="1" ref="D808" ca="1">_xludf.XLOOKUP(C808,'country region mapping'!$A$2:$A$250, 'country region mapping'!$E$2:$E$250)</f>
        <v>#NAME?</v>
      </c>
      <c r="E808" s="1" t="e">
        <f t="array" aca="1" ref="E808" ca="1">_xludf.XLOOKUP(C808,'country region mapping'!$A$2:$A$267,'country region mapping'!$F$2:$F$267)</f>
        <v>#NAME?</v>
      </c>
      <c r="F808" s="1" t="e">
        <f t="array" aca="1" ref="F808" ca="1">_xludf.XLOOKUP(C808,'country region mapping'!$A$2:$A$267,'country region mapping'!$G$2:$G$267)</f>
        <v>#NAME?</v>
      </c>
      <c r="G808" s="1">
        <v>5.2690000000000001</v>
      </c>
      <c r="H808" s="1">
        <v>98</v>
      </c>
      <c r="I808" s="1">
        <v>78</v>
      </c>
      <c r="J808" s="1">
        <v>103</v>
      </c>
      <c r="K808" s="1">
        <v>87</v>
      </c>
      <c r="L808" s="1">
        <v>77</v>
      </c>
      <c r="M808" s="1">
        <v>38</v>
      </c>
      <c r="N808" s="1">
        <v>68</v>
      </c>
      <c r="O808" s="1">
        <v>112</v>
      </c>
      <c r="P808" s="1">
        <v>80</v>
      </c>
      <c r="Q808" s="1">
        <v>38</v>
      </c>
      <c r="R808" s="1">
        <v>8</v>
      </c>
      <c r="S808" s="1">
        <v>77</v>
      </c>
    </row>
    <row r="809" spans="1:19">
      <c r="A809" s="1">
        <v>2020</v>
      </c>
      <c r="B809" s="1">
        <v>88</v>
      </c>
      <c r="C809" s="1" t="s">
        <v>205</v>
      </c>
      <c r="D809" s="1" t="e">
        <f t="array" aca="1" ref="D809" ca="1">_xludf.XLOOKUP(C809,'country region mapping'!$A$2:$A$250, 'country region mapping'!$E$2:$E$250)</f>
        <v>#NAME?</v>
      </c>
      <c r="E809" s="1" t="e">
        <f t="array" aca="1" ref="E809" ca="1">_xludf.XLOOKUP(C809,'country region mapping'!$A$2:$A$267,'country region mapping'!$F$2:$F$267)</f>
        <v>#NAME?</v>
      </c>
      <c r="F809" s="1" t="e">
        <f t="array" aca="1" ref="F809" ca="1">_xludf.XLOOKUP(C809,'country region mapping'!$A$2:$A$267,'country region mapping'!$G$2:$G$267)</f>
        <v>#NAME?</v>
      </c>
      <c r="G809" s="1">
        <v>5.266</v>
      </c>
      <c r="H809" s="1">
        <v>66</v>
      </c>
      <c r="I809" s="1">
        <v>31</v>
      </c>
      <c r="J809" s="1">
        <v>46</v>
      </c>
      <c r="K809" s="1">
        <v>61</v>
      </c>
      <c r="L809" s="1">
        <v>61</v>
      </c>
      <c r="M809" s="1">
        <v>44</v>
      </c>
      <c r="N809" s="1">
        <v>98</v>
      </c>
      <c r="O809" s="1">
        <v>77</v>
      </c>
      <c r="P809" s="1">
        <v>19</v>
      </c>
      <c r="Q809" s="1">
        <v>44</v>
      </c>
      <c r="R809" s="1">
        <v>91</v>
      </c>
      <c r="S809" s="1">
        <v>32</v>
      </c>
    </row>
    <row r="810" spans="1:19">
      <c r="A810" s="1">
        <v>2020</v>
      </c>
      <c r="B810" s="1">
        <v>89</v>
      </c>
      <c r="C810" s="1" t="s">
        <v>468</v>
      </c>
      <c r="D810" s="1" t="e">
        <f t="array" aca="1" ref="D810" ca="1">_xludf.XLOOKUP(C810,'country region mapping'!$A$2:$A$250, 'country region mapping'!$E$2:$E$250)</f>
        <v>#NAME?</v>
      </c>
      <c r="E810" s="1" t="e">
        <f t="array" aca="1" ref="E810" ca="1">_xludf.XLOOKUP(C810,'country region mapping'!$A$2:$A$267,'country region mapping'!$F$2:$F$267)</f>
        <v>#NAME?</v>
      </c>
      <c r="F810" s="1" t="e">
        <f t="array" aca="1" ref="F810" ca="1">_xludf.XLOOKUP(C810,'country region mapping'!$A$2:$A$267,'country region mapping'!$G$2:$G$267)</f>
        <v>#NAME?</v>
      </c>
      <c r="G810" s="1">
        <v>5.1980000000000004</v>
      </c>
      <c r="H810" s="1"/>
      <c r="I810" s="1"/>
      <c r="J810" s="1"/>
      <c r="K810" s="1"/>
      <c r="L810" s="1"/>
      <c r="M810" s="1"/>
      <c r="N810" s="1"/>
      <c r="O810" s="1"/>
      <c r="Q810" s="1"/>
      <c r="R810" s="1"/>
      <c r="S810" s="1"/>
    </row>
    <row r="811" spans="1:19">
      <c r="A811" s="1">
        <v>2020</v>
      </c>
      <c r="B811" s="1">
        <v>90</v>
      </c>
      <c r="C811" s="1" t="s">
        <v>140</v>
      </c>
      <c r="D811" s="1" t="e">
        <f t="array" aca="1" ref="D811" ca="1">_xludf.XLOOKUP(C811,'country region mapping'!$A$2:$A$250, 'country region mapping'!$E$2:$E$250)</f>
        <v>#NAME?</v>
      </c>
      <c r="E811" s="1" t="e">
        <f t="array" aca="1" ref="E811" ca="1">_xludf.XLOOKUP(C811,'country region mapping'!$A$2:$A$267,'country region mapping'!$F$2:$F$267)</f>
        <v>#NAME?</v>
      </c>
      <c r="F811" s="1" t="e">
        <f t="array" aca="1" ref="F811" ca="1">_xludf.XLOOKUP(C811,'country region mapping'!$A$2:$A$267,'country region mapping'!$G$2:$G$267)</f>
        <v>#NAME?</v>
      </c>
      <c r="G811" s="1">
        <v>5.1710000000000003</v>
      </c>
      <c r="H811" s="1"/>
      <c r="I811" s="1"/>
      <c r="J811" s="1"/>
      <c r="K811" s="1"/>
      <c r="L811" s="1"/>
      <c r="M811" s="1"/>
      <c r="N811" s="1"/>
      <c r="O811" s="1"/>
      <c r="P811" s="1"/>
      <c r="S811" s="1"/>
    </row>
    <row r="812" spans="1:19">
      <c r="A812" s="1">
        <v>2020</v>
      </c>
      <c r="B812" s="1">
        <v>91</v>
      </c>
      <c r="C812" s="1" t="s">
        <v>182</v>
      </c>
      <c r="D812" s="1" t="e">
        <f t="array" aca="1" ref="D812" ca="1">_xludf.XLOOKUP(C812,'country region mapping'!$A$2:$A$250, 'country region mapping'!$E$2:$E$250)</f>
        <v>#NAME?</v>
      </c>
      <c r="E812" s="1" t="e">
        <f t="array" aca="1" ref="E812" ca="1">_xludf.XLOOKUP(C812,'country region mapping'!$A$2:$A$267,'country region mapping'!$F$2:$F$267)</f>
        <v>#NAME?</v>
      </c>
      <c r="F812" s="1" t="e">
        <f t="array" aca="1" ref="F812" ca="1">_xludf.XLOOKUP(C812,'country region mapping'!$A$2:$A$267,'country region mapping'!$G$2:$G$267)</f>
        <v>#NAME?</v>
      </c>
      <c r="G812" s="1">
        <v>5.1420000000000003</v>
      </c>
      <c r="H812" s="1">
        <v>109</v>
      </c>
      <c r="I812" s="1">
        <v>94</v>
      </c>
      <c r="J812" s="1">
        <v>102</v>
      </c>
      <c r="K812" s="1">
        <v>107</v>
      </c>
      <c r="L812" s="1">
        <v>103</v>
      </c>
      <c r="M812" s="1">
        <v>69</v>
      </c>
      <c r="N812" s="1">
        <v>79</v>
      </c>
      <c r="O812" s="1">
        <v>80</v>
      </c>
      <c r="P812" s="1">
        <v>97</v>
      </c>
      <c r="Q812" s="1">
        <v>69</v>
      </c>
      <c r="R812" s="1">
        <v>26</v>
      </c>
      <c r="S812" s="1">
        <v>2</v>
      </c>
    </row>
    <row r="813" spans="1:19">
      <c r="A813" s="1">
        <v>2020</v>
      </c>
      <c r="B813" s="1">
        <v>92</v>
      </c>
      <c r="C813" s="1" t="s">
        <v>204</v>
      </c>
      <c r="D813" s="1" t="e">
        <f t="array" aca="1" ref="D813" ca="1">_xludf.XLOOKUP(C813,'country region mapping'!$A$2:$A$250, 'country region mapping'!$E$2:$E$250)</f>
        <v>#NAME?</v>
      </c>
      <c r="E813" s="1" t="e">
        <f t="array" aca="1" ref="E813" ca="1">_xludf.XLOOKUP(C813,'country region mapping'!$A$2:$A$267,'country region mapping'!$F$2:$F$267)</f>
        <v>#NAME?</v>
      </c>
      <c r="F813" s="1" t="e">
        <f t="array" aca="1" ref="F813" ca="1">_xludf.XLOOKUP(C813,'country region mapping'!$A$2:$A$267,'country region mapping'!$G$2:$G$267)</f>
        <v>#NAME?</v>
      </c>
      <c r="G813" s="1">
        <v>5.1319999999999997</v>
      </c>
      <c r="H813" s="1">
        <v>93</v>
      </c>
      <c r="I813" s="1">
        <v>108</v>
      </c>
      <c r="J813" s="1">
        <v>104</v>
      </c>
      <c r="K813" s="1">
        <v>93</v>
      </c>
      <c r="L813" s="1">
        <v>68</v>
      </c>
      <c r="M813" s="1">
        <v>101</v>
      </c>
      <c r="N813" s="1">
        <v>86</v>
      </c>
      <c r="O813" s="1">
        <v>1</v>
      </c>
      <c r="P813" s="1">
        <v>43</v>
      </c>
      <c r="Q813" s="1">
        <v>101</v>
      </c>
      <c r="R813" s="1">
        <v>38</v>
      </c>
      <c r="S813" s="1">
        <v>14</v>
      </c>
    </row>
    <row r="814" spans="1:19">
      <c r="A814" s="1">
        <v>2020</v>
      </c>
      <c r="B814" s="1">
        <v>93</v>
      </c>
      <c r="C814" s="1" t="s">
        <v>174</v>
      </c>
      <c r="D814" s="1" t="e">
        <f t="array" aca="1" ref="D814" ca="1">_xludf.XLOOKUP(C814,'country region mapping'!$A$2:$A$250, 'country region mapping'!$E$2:$E$250)</f>
        <v>#NAME?</v>
      </c>
      <c r="E814" s="1" t="e">
        <f t="array" aca="1" ref="E814" ca="1">_xludf.XLOOKUP(C814,'country region mapping'!$A$2:$A$267,'country region mapping'!$F$2:$F$267)</f>
        <v>#NAME?</v>
      </c>
      <c r="F814" s="1" t="e">
        <f t="array" aca="1" ref="F814" ca="1">_xludf.XLOOKUP(C814,'country region mapping'!$A$2:$A$267,'country region mapping'!$G$2:$G$267)</f>
        <v>#NAME?</v>
      </c>
      <c r="G814" s="1">
        <v>5.117</v>
      </c>
      <c r="H814" s="1">
        <v>114</v>
      </c>
      <c r="I814" s="1">
        <v>98</v>
      </c>
      <c r="J814" s="1">
        <v>67</v>
      </c>
      <c r="K814" s="1">
        <v>35</v>
      </c>
      <c r="L814" s="1">
        <v>90</v>
      </c>
      <c r="M814" s="1">
        <v>49</v>
      </c>
      <c r="N814" s="1">
        <v>95</v>
      </c>
      <c r="O814" s="1">
        <v>100</v>
      </c>
      <c r="P814" s="1">
        <v>40</v>
      </c>
      <c r="Q814" s="1">
        <v>49</v>
      </c>
      <c r="R814" s="1">
        <v>95</v>
      </c>
      <c r="S814" s="1">
        <v>55</v>
      </c>
    </row>
    <row r="815" spans="1:19">
      <c r="A815" s="1">
        <v>2020</v>
      </c>
      <c r="B815" s="1">
        <v>94</v>
      </c>
      <c r="C815" s="1" t="s">
        <v>156</v>
      </c>
      <c r="D815" s="1" t="e">
        <f t="array" aca="1" ref="D815" ca="1">_xludf.XLOOKUP(C815,'country region mapping'!$A$2:$A$250, 'country region mapping'!$E$2:$E$250)</f>
        <v>#NAME?</v>
      </c>
      <c r="E815" s="1" t="e">
        <f t="array" aca="1" ref="E815" ca="1">_xludf.XLOOKUP(C815,'country region mapping'!$A$2:$A$267,'country region mapping'!$F$2:$F$267)</f>
        <v>#NAME?</v>
      </c>
      <c r="F815" s="1" t="e">
        <f t="array" aca="1" ref="F815" ca="1">_xludf.XLOOKUP(C815,'country region mapping'!$A$2:$A$267,'country region mapping'!$G$2:$G$267)</f>
        <v>#NAME?</v>
      </c>
      <c r="G815" s="1">
        <v>5.101</v>
      </c>
      <c r="H815" s="1">
        <v>94</v>
      </c>
      <c r="I815" s="1">
        <v>86</v>
      </c>
      <c r="J815" s="1">
        <v>53</v>
      </c>
      <c r="K815" s="1">
        <v>54</v>
      </c>
      <c r="L815" s="1">
        <v>69</v>
      </c>
      <c r="M815" s="1">
        <v>20</v>
      </c>
      <c r="N815" s="1">
        <v>91</v>
      </c>
      <c r="O815" s="1">
        <v>106</v>
      </c>
      <c r="P815" s="1">
        <v>92</v>
      </c>
      <c r="Q815" s="1">
        <v>20</v>
      </c>
      <c r="R815" s="1">
        <v>96</v>
      </c>
      <c r="S815" s="1">
        <v>64</v>
      </c>
    </row>
    <row r="816" spans="1:19">
      <c r="A816" s="1">
        <v>2020</v>
      </c>
      <c r="B816" s="1">
        <v>95</v>
      </c>
      <c r="C816" s="1" t="s">
        <v>197</v>
      </c>
      <c r="D816" s="1" t="e">
        <f t="array" aca="1" ref="D816" ca="1">_xludf.XLOOKUP(C816,'country region mapping'!$A$2:$A$250, 'country region mapping'!$E$2:$E$250)</f>
        <v>#NAME?</v>
      </c>
      <c r="E816" s="1" t="e">
        <f t="array" aca="1" ref="E816" ca="1">_xludf.XLOOKUP(C816,'country region mapping'!$A$2:$A$267,'country region mapping'!$F$2:$F$267)</f>
        <v>#NAME?</v>
      </c>
      <c r="F816" s="1" t="e">
        <f t="array" aca="1" ref="F816" ca="1">_xludf.XLOOKUP(C816,'country region mapping'!$A$2:$A$267,'country region mapping'!$G$2:$G$267)</f>
        <v>#NAME?</v>
      </c>
      <c r="G816" s="1">
        <v>5.0880000000000001</v>
      </c>
      <c r="H816" s="1">
        <v>101</v>
      </c>
      <c r="I816" s="1">
        <v>107</v>
      </c>
      <c r="J816" s="1">
        <v>93</v>
      </c>
      <c r="K816" s="1">
        <v>97</v>
      </c>
      <c r="L816" s="1">
        <v>56</v>
      </c>
      <c r="M816" s="1">
        <v>26</v>
      </c>
      <c r="N816" s="1">
        <v>83</v>
      </c>
      <c r="O816" s="1">
        <v>62</v>
      </c>
      <c r="P816" s="1">
        <v>33</v>
      </c>
      <c r="Q816" s="1">
        <v>26</v>
      </c>
      <c r="R816" s="1">
        <v>9</v>
      </c>
      <c r="S816" s="1">
        <v>27</v>
      </c>
    </row>
    <row r="817" spans="1:19">
      <c r="A817" s="1">
        <v>2020</v>
      </c>
      <c r="B817" s="1">
        <v>96</v>
      </c>
      <c r="C817" s="1" t="s">
        <v>224</v>
      </c>
      <c r="D817" s="1" t="e">
        <f t="array" aca="1" ref="D817" ca="1">_xludf.XLOOKUP(C817,'country region mapping'!$A$2:$A$250, 'country region mapping'!$E$2:$E$250)</f>
        <v>#NAME?</v>
      </c>
      <c r="E817" s="1" t="e">
        <f t="array" aca="1" ref="E817" ca="1">_xludf.XLOOKUP(C817,'country region mapping'!$A$2:$A$267,'country region mapping'!$F$2:$F$267)</f>
        <v>#NAME?</v>
      </c>
      <c r="F817" s="1" t="e">
        <f t="array" aca="1" ref="F817" ca="1">_xludf.XLOOKUP(C817,'country region mapping'!$A$2:$A$267,'country region mapping'!$G$2:$G$267)</f>
        <v>#NAME?</v>
      </c>
      <c r="G817" s="1">
        <v>5.0739999999999998</v>
      </c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>
      <c r="A818" s="1">
        <v>2020</v>
      </c>
      <c r="B818" s="1">
        <v>97</v>
      </c>
      <c r="C818" s="1" t="s">
        <v>120</v>
      </c>
      <c r="D818" s="1" t="e">
        <f t="array" aca="1" ref="D818" ca="1">_xludf.XLOOKUP(C818,'country region mapping'!$A$2:$A$250, 'country region mapping'!$E$2:$E$250)</f>
        <v>#NAME?</v>
      </c>
      <c r="E818" s="1" t="e">
        <f t="array" aca="1" ref="E818" ca="1">_xludf.XLOOKUP(C818,'country region mapping'!$A$2:$A$267,'country region mapping'!$F$2:$F$267)</f>
        <v>#NAME?</v>
      </c>
      <c r="F818" s="1" t="e">
        <f t="array" aca="1" ref="F818" ca="1">_xludf.XLOOKUP(C818,'country region mapping'!$A$2:$A$267,'country region mapping'!$G$2:$G$267)</f>
        <v>#NAME?</v>
      </c>
      <c r="G818" s="1">
        <v>5.0659999999999998</v>
      </c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>
      <c r="A819" s="1">
        <v>2020</v>
      </c>
      <c r="B819" s="1">
        <v>98</v>
      </c>
      <c r="C819" s="1" t="s">
        <v>403</v>
      </c>
      <c r="D819" s="1" t="e">
        <f t="array" aca="1" ref="D819" ca="1">_xludf.XLOOKUP(C819,'country region mapping'!$A$2:$A$250, 'country region mapping'!$E$2:$E$250)</f>
        <v>#NAME?</v>
      </c>
      <c r="E819" s="1" t="e">
        <f t="array" aca="1" ref="E819" ca="1">_xludf.XLOOKUP(C819,'country region mapping'!$A$2:$A$267,'country region mapping'!$F$2:$F$267)</f>
        <v>#NAME?</v>
      </c>
      <c r="F819" s="1" t="e">
        <f t="array" aca="1" ref="F819" ca="1">_xludf.XLOOKUP(C819,'country region mapping'!$A$2:$A$267,'country region mapping'!$G$2:$G$267)</f>
        <v>#NAME?</v>
      </c>
      <c r="G819" s="1">
        <v>5.0510000000000002</v>
      </c>
      <c r="H819" s="1"/>
      <c r="I819" s="1"/>
      <c r="J819" s="1"/>
      <c r="K819" s="1"/>
      <c r="L819" s="1"/>
      <c r="M819" s="1"/>
      <c r="N819" s="1"/>
      <c r="O819" s="1"/>
      <c r="P819" s="1"/>
      <c r="S819" s="1"/>
    </row>
    <row r="820" spans="1:19">
      <c r="A820" s="1">
        <v>2020</v>
      </c>
      <c r="B820" s="1">
        <v>99</v>
      </c>
      <c r="C820" s="1" t="s">
        <v>244</v>
      </c>
      <c r="D820" s="1" t="e">
        <f t="array" aca="1" ref="D820" ca="1">_xludf.XLOOKUP(C820,'country region mapping'!$A$2:$A$250, 'country region mapping'!$E$2:$E$250)</f>
        <v>#NAME?</v>
      </c>
      <c r="E820" s="1" t="e">
        <f t="array" aca="1" ref="E820" ca="1">_xludf.XLOOKUP(C820,'country region mapping'!$A$2:$A$267,'country region mapping'!$F$2:$F$267)</f>
        <v>#NAME?</v>
      </c>
      <c r="F820" s="1" t="e">
        <f t="array" aca="1" ref="F820" ca="1">_xludf.XLOOKUP(C820,'country region mapping'!$A$2:$A$267,'country region mapping'!$G$2:$G$267)</f>
        <v>#NAME?</v>
      </c>
      <c r="G820" s="1">
        <v>5.0449999999999999</v>
      </c>
      <c r="H820" s="1">
        <v>40</v>
      </c>
      <c r="I820" s="1">
        <v>116</v>
      </c>
      <c r="J820" s="1">
        <v>109</v>
      </c>
      <c r="K820" s="1">
        <v>101</v>
      </c>
      <c r="L820" s="1">
        <v>73</v>
      </c>
      <c r="M820" s="1">
        <v>110</v>
      </c>
      <c r="N820" s="1">
        <v>18</v>
      </c>
      <c r="O820" s="1">
        <v>102</v>
      </c>
      <c r="P820" s="1">
        <v>63</v>
      </c>
      <c r="Q820" s="1">
        <v>110</v>
      </c>
      <c r="R820" s="1">
        <v>84</v>
      </c>
      <c r="S820" s="1">
        <v>43</v>
      </c>
    </row>
    <row r="821" spans="1:19">
      <c r="A821" s="1">
        <v>2020</v>
      </c>
      <c r="B821" s="1">
        <v>100</v>
      </c>
      <c r="C821" s="1" t="s">
        <v>164</v>
      </c>
      <c r="D821" s="1" t="e">
        <f t="array" aca="1" ref="D821" ca="1">_xludf.XLOOKUP(C821,'country region mapping'!$A$2:$A$267,'country region mapping'!$E$2:$E$267)</f>
        <v>#NAME?</v>
      </c>
      <c r="E821" s="1" t="e">
        <f t="array" aca="1" ref="E821" ca="1">_xludf.XLOOKUP(C821,'country region mapping'!$A$2:$A$267,'country region mapping'!$F$2:$F$267)</f>
        <v>#NAME?</v>
      </c>
      <c r="F821" s="1" t="e">
        <f t="array" aca="1" ref="F821" ca="1">_xludf.XLOOKUP(C821,'country region mapping'!$A$2:$A$267,'country region mapping'!$G$2:$G$267)</f>
        <v>#NAME?</v>
      </c>
      <c r="G821" s="1">
        <v>5.03</v>
      </c>
      <c r="H821" s="1">
        <v>61</v>
      </c>
      <c r="I821" s="1">
        <v>106</v>
      </c>
      <c r="J821" s="1">
        <v>89</v>
      </c>
      <c r="K821" s="1">
        <v>88</v>
      </c>
      <c r="L821" s="1">
        <v>20</v>
      </c>
      <c r="M821" s="1">
        <v>30</v>
      </c>
      <c r="N821" s="1">
        <v>44</v>
      </c>
      <c r="O821" s="1">
        <v>40</v>
      </c>
      <c r="P821" s="1">
        <v>91</v>
      </c>
      <c r="Q821" s="1">
        <v>30</v>
      </c>
      <c r="R821" s="1">
        <v>77</v>
      </c>
      <c r="S821" s="1">
        <v>98</v>
      </c>
    </row>
    <row r="822" spans="1:19">
      <c r="A822" s="1">
        <v>2020</v>
      </c>
      <c r="B822" s="1">
        <v>101</v>
      </c>
      <c r="C822" s="1" t="s">
        <v>176</v>
      </c>
      <c r="D822" s="1" t="e">
        <f t="array" aca="1" ref="D822" ca="1">_xludf.XLOOKUP(C822,'country region mapping'!$A$2:$A$250, 'country region mapping'!$E$2:$E$250)</f>
        <v>#NAME?</v>
      </c>
      <c r="E822" s="1" t="e">
        <f t="array" aca="1" ref="E822" ca="1">_xludf.XLOOKUP(C822,'country region mapping'!$A$2:$A$267,'country region mapping'!$F$2:$F$267)</f>
        <v>#NAME?</v>
      </c>
      <c r="F822" s="1" t="e">
        <f t="array" aca="1" ref="F822" ca="1">_xludf.XLOOKUP(C822,'country region mapping'!$A$2:$A$267,'country region mapping'!$G$2:$G$267)</f>
        <v>#NAME?</v>
      </c>
      <c r="G822" s="1">
        <v>5.0250000000000004</v>
      </c>
      <c r="H822" s="1">
        <v>92</v>
      </c>
      <c r="I822" s="1">
        <v>90</v>
      </c>
      <c r="J822" s="1">
        <v>91</v>
      </c>
      <c r="K822" s="1">
        <v>71</v>
      </c>
      <c r="L822" s="1">
        <v>76</v>
      </c>
      <c r="M822" s="1">
        <v>83</v>
      </c>
      <c r="N822" s="1">
        <v>40</v>
      </c>
      <c r="O822" s="1">
        <v>111</v>
      </c>
      <c r="P822" s="1">
        <v>78</v>
      </c>
      <c r="Q822" s="1">
        <v>83</v>
      </c>
      <c r="R822" s="1">
        <v>85</v>
      </c>
      <c r="S822" s="1">
        <v>36</v>
      </c>
    </row>
    <row r="823" spans="1:19">
      <c r="A823" s="1">
        <v>2020</v>
      </c>
      <c r="B823" s="1">
        <v>102</v>
      </c>
      <c r="C823" s="1" t="s">
        <v>240</v>
      </c>
      <c r="D823" s="1" t="e">
        <f t="array" aca="1" ref="D823" ca="1">_xludf.XLOOKUP(C823,'country region mapping'!$A$2:$A$250, 'country region mapping'!$E$2:$E$250)</f>
        <v>#NAME?</v>
      </c>
      <c r="E823" s="1" t="e">
        <f t="array" aca="1" ref="E823" ca="1">_xludf.XLOOKUP(C823,'country region mapping'!$A$2:$A$267,'country region mapping'!$F$2:$F$267)</f>
        <v>#NAME?</v>
      </c>
      <c r="F823" s="1" t="e">
        <f t="array" aca="1" ref="F823" ca="1">_xludf.XLOOKUP(C823,'country region mapping'!$A$2:$A$267,'country region mapping'!$G$2:$G$267)</f>
        <v>#NAME?</v>
      </c>
      <c r="G823" s="1">
        <v>4.984</v>
      </c>
      <c r="H823" s="1">
        <v>63</v>
      </c>
      <c r="I823" s="1">
        <v>92</v>
      </c>
      <c r="J823" s="1">
        <v>106</v>
      </c>
      <c r="K823" s="1">
        <v>110</v>
      </c>
      <c r="L823" s="1">
        <v>110</v>
      </c>
      <c r="M823" s="1">
        <v>66</v>
      </c>
      <c r="N823" s="1">
        <v>57</v>
      </c>
      <c r="O823" s="1">
        <v>42</v>
      </c>
      <c r="P823" s="1">
        <v>87</v>
      </c>
      <c r="Q823" s="1">
        <v>66</v>
      </c>
      <c r="R823" s="1">
        <v>42</v>
      </c>
      <c r="S823" s="1">
        <v>8</v>
      </c>
    </row>
    <row r="824" spans="1:19">
      <c r="A824" s="1">
        <v>2020</v>
      </c>
      <c r="B824" s="1">
        <v>103</v>
      </c>
      <c r="C824" s="1" t="s">
        <v>185</v>
      </c>
      <c r="D824" s="1" t="e">
        <f t="array" aca="1" ref="D824" ca="1">_xludf.XLOOKUP(C824,'country region mapping'!$A$2:$A$250, 'country region mapping'!$E$2:$E$250)</f>
        <v>#NAME?</v>
      </c>
      <c r="E824" s="1" t="e">
        <f t="array" aca="1" ref="E824" ca="1">_xludf.XLOOKUP(C824,'country region mapping'!$A$2:$A$267,'country region mapping'!$F$2:$F$267)</f>
        <v>#NAME?</v>
      </c>
      <c r="F824" s="1" t="e">
        <f t="array" aca="1" ref="F824" ca="1">_xludf.XLOOKUP(C824,'country region mapping'!$A$2:$A$267,'country region mapping'!$G$2:$G$267)</f>
        <v>#NAME?</v>
      </c>
      <c r="G824" s="1">
        <v>4.9560000000000004</v>
      </c>
      <c r="H824" s="1">
        <v>39</v>
      </c>
      <c r="I824" s="1">
        <v>40</v>
      </c>
      <c r="J824" s="1">
        <v>73</v>
      </c>
      <c r="K824" s="1">
        <v>105</v>
      </c>
      <c r="L824" s="1">
        <v>89</v>
      </c>
      <c r="M824" s="1">
        <v>64</v>
      </c>
      <c r="N824" s="1">
        <v>101</v>
      </c>
      <c r="O824" s="1">
        <v>12</v>
      </c>
      <c r="P824" s="1">
        <v>57</v>
      </c>
      <c r="Q824" s="1">
        <v>64</v>
      </c>
      <c r="R824" s="1">
        <v>11</v>
      </c>
      <c r="S824" s="1">
        <v>25</v>
      </c>
    </row>
    <row r="825" spans="1:19">
      <c r="A825" s="1">
        <v>2020</v>
      </c>
      <c r="B825" s="1">
        <v>104</v>
      </c>
      <c r="C825" s="1" t="s">
        <v>136</v>
      </c>
      <c r="D825" s="1" t="e">
        <f t="array" aca="1" ref="D825" ca="1">_xludf.XLOOKUP(C825,'country region mapping'!$A$2:$A$250, 'country region mapping'!$E$2:$E$250)</f>
        <v>#NAME?</v>
      </c>
      <c r="E825" s="1" t="e">
        <f t="array" aca="1" ref="E825" ca="1">_xludf.XLOOKUP(C825,'country region mapping'!$A$2:$A$267,'country region mapping'!$F$2:$F$267)</f>
        <v>#NAME?</v>
      </c>
      <c r="F825" s="1" t="e">
        <f t="array" aca="1" ref="F825" ca="1">_xludf.XLOOKUP(C825,'country region mapping'!$A$2:$A$267,'country region mapping'!$G$2:$G$267)</f>
        <v>#NAME?</v>
      </c>
      <c r="G825" s="1">
        <v>4.9480000000000004</v>
      </c>
      <c r="H825" s="1">
        <v>88</v>
      </c>
      <c r="I825" s="1">
        <v>54</v>
      </c>
      <c r="J825" s="1">
        <v>44</v>
      </c>
      <c r="K825" s="1">
        <v>47</v>
      </c>
      <c r="L825" s="1">
        <v>115</v>
      </c>
      <c r="M825" s="1">
        <v>77</v>
      </c>
      <c r="N825" s="1">
        <v>49</v>
      </c>
      <c r="O825" s="1">
        <v>115</v>
      </c>
      <c r="P825" s="1">
        <v>110</v>
      </c>
      <c r="Q825" s="1">
        <v>77</v>
      </c>
      <c r="R825" s="1">
        <v>100</v>
      </c>
      <c r="S825" s="1">
        <v>50</v>
      </c>
    </row>
    <row r="826" spans="1:19">
      <c r="A826" s="1">
        <v>2020</v>
      </c>
      <c r="B826" s="1">
        <v>105</v>
      </c>
      <c r="C826" s="1" t="s">
        <v>152</v>
      </c>
      <c r="D826" s="1" t="e">
        <f t="array" aca="1" ref="D826" ca="1">_xludf.XLOOKUP(C826,'country region mapping'!$A$2:$A$250, 'country region mapping'!$E$2:$E$250)</f>
        <v>#NAME?</v>
      </c>
      <c r="E826" s="1" t="e">
        <f t="array" aca="1" ref="E826" ca="1">_xludf.XLOOKUP(C826,'country region mapping'!$A$2:$A$267,'country region mapping'!$F$2:$F$267)</f>
        <v>#NAME?</v>
      </c>
      <c r="F826" s="1" t="e">
        <f t="array" aca="1" ref="F826" ca="1">_xludf.XLOOKUP(C826,'country region mapping'!$A$2:$A$267,'country region mapping'!$G$2:$G$267)</f>
        <v>#NAME?</v>
      </c>
      <c r="G826" s="1">
        <v>4.9340000000000002</v>
      </c>
      <c r="H826" s="1">
        <v>108</v>
      </c>
      <c r="I826" s="1">
        <v>112</v>
      </c>
      <c r="J826" s="1">
        <v>100</v>
      </c>
      <c r="K826" s="1">
        <v>99</v>
      </c>
      <c r="L826" s="1">
        <v>83</v>
      </c>
      <c r="M826" s="1">
        <v>80</v>
      </c>
      <c r="N826" s="1">
        <v>75</v>
      </c>
      <c r="O826" s="1">
        <v>113</v>
      </c>
      <c r="P826" s="1">
        <v>93</v>
      </c>
      <c r="Q826" s="1">
        <v>80</v>
      </c>
      <c r="R826" s="1">
        <v>108</v>
      </c>
      <c r="S826" s="1">
        <v>94</v>
      </c>
    </row>
    <row r="827" spans="1:19">
      <c r="A827" s="1">
        <v>2020</v>
      </c>
      <c r="B827" s="1">
        <v>106</v>
      </c>
      <c r="C827" s="1" t="s">
        <v>150</v>
      </c>
      <c r="D827" s="1" t="e">
        <f t="array" aca="1" ref="D827" ca="1">_xludf.XLOOKUP(C827,'country region mapping'!$A$2:$A$250, 'country region mapping'!$E$2:$E$250)</f>
        <v>#NAME?</v>
      </c>
      <c r="E827" s="1" t="e">
        <f t="array" aca="1" ref="E827" ca="1">_xludf.XLOOKUP(C827,'country region mapping'!$A$2:$A$267,'country region mapping'!$F$2:$F$267)</f>
        <v>#NAME?</v>
      </c>
      <c r="F827" s="1" t="e">
        <f t="array" aca="1" ref="F827" ca="1">_xludf.XLOOKUP(C827,'country region mapping'!$A$2:$A$267,'country region mapping'!$G$2:$G$267)</f>
        <v>#NAME?</v>
      </c>
      <c r="G827" s="1">
        <v>4.9180000000000001</v>
      </c>
      <c r="H827" s="1">
        <v>99</v>
      </c>
      <c r="I827" s="1">
        <v>114</v>
      </c>
      <c r="J827" s="1">
        <v>88</v>
      </c>
      <c r="K827" s="1">
        <v>79</v>
      </c>
      <c r="L827" s="1">
        <v>60</v>
      </c>
      <c r="M827" s="1">
        <v>116</v>
      </c>
      <c r="N827" s="1">
        <v>60</v>
      </c>
      <c r="O827" s="1">
        <v>104</v>
      </c>
      <c r="P827" s="1">
        <v>35</v>
      </c>
      <c r="Q827" s="1">
        <v>116</v>
      </c>
      <c r="R827" s="1">
        <v>114</v>
      </c>
      <c r="S827" s="1">
        <v>47</v>
      </c>
    </row>
    <row r="828" spans="1:19">
      <c r="A828" s="1">
        <v>2020</v>
      </c>
      <c r="B828" s="1">
        <v>107</v>
      </c>
      <c r="C828" s="1" t="s">
        <v>93</v>
      </c>
      <c r="D828" s="1" t="e">
        <f t="array" aca="1" ref="D828" ca="1">_xludf.XLOOKUP(C828,'country region mapping'!$A$2:$A$267,'country region mapping'!$E$2:$E$267)</f>
        <v>#NAME?</v>
      </c>
      <c r="E828" s="1" t="e">
        <f t="array" aca="1" ref="E828" ca="1">_xludf.XLOOKUP(C828,'country region mapping'!$A$2:$A$267,'country region mapping'!$F$2:$F$267)</f>
        <v>#NAME?</v>
      </c>
      <c r="F828" s="1" t="e">
        <f t="array" aca="1" ref="F828" ca="1">_xludf.XLOOKUP(C828,'country region mapping'!$A$2:$A$267,'country region mapping'!$G$2:$G$267)</f>
        <v>#NAME?</v>
      </c>
      <c r="G828" s="1">
        <v>4.8920000000000003</v>
      </c>
      <c r="H828" s="1">
        <v>104</v>
      </c>
      <c r="I828" s="1">
        <v>69</v>
      </c>
      <c r="K828" s="1">
        <v>73</v>
      </c>
      <c r="L828" s="1">
        <v>108</v>
      </c>
      <c r="M828" s="14">
        <v>105</v>
      </c>
      <c r="N828" s="14">
        <v>66</v>
      </c>
      <c r="O828" s="14">
        <v>54</v>
      </c>
      <c r="P828" s="14">
        <v>101</v>
      </c>
      <c r="Q828" s="14">
        <v>105</v>
      </c>
      <c r="R828" s="14">
        <v>30</v>
      </c>
      <c r="S828" s="14">
        <v>15</v>
      </c>
    </row>
    <row r="829" spans="1:19">
      <c r="A829" s="1">
        <v>2020</v>
      </c>
      <c r="B829" s="1">
        <v>108</v>
      </c>
      <c r="C829" s="1" t="s">
        <v>201</v>
      </c>
      <c r="D829" s="1" t="e">
        <f t="array" aca="1" ref="D829" ca="1">_xludf.XLOOKUP(C829,'country region mapping'!$A$2:$A$250, 'country region mapping'!$E$2:$E$250)</f>
        <v>#NAME?</v>
      </c>
      <c r="E829" s="1" t="e">
        <f t="array" aca="1" ref="E829" ca="1">_xludf.XLOOKUP(C829,'country region mapping'!$A$2:$A$267,'country region mapping'!$F$2:$F$267)</f>
        <v>#NAME?</v>
      </c>
      <c r="F829" s="1" t="e">
        <f t="array" aca="1" ref="F829" ca="1">_xludf.XLOOKUP(C829,'country region mapping'!$A$2:$A$267,'country region mapping'!$G$2:$G$267)</f>
        <v>#NAME?</v>
      </c>
      <c r="G829" s="1">
        <v>4.891</v>
      </c>
      <c r="H829" s="1">
        <v>77</v>
      </c>
      <c r="I829" s="1">
        <v>96</v>
      </c>
      <c r="J829" s="1">
        <v>61</v>
      </c>
      <c r="K829" s="1">
        <v>62</v>
      </c>
      <c r="L829" s="1">
        <v>85</v>
      </c>
      <c r="M829" s="1">
        <v>114</v>
      </c>
      <c r="N829" s="1">
        <v>21</v>
      </c>
      <c r="O829" s="1">
        <v>96</v>
      </c>
      <c r="P829" s="1">
        <v>58</v>
      </c>
      <c r="Q829" s="1">
        <v>114</v>
      </c>
      <c r="R829" s="1">
        <v>6</v>
      </c>
      <c r="S829" s="1">
        <v>4</v>
      </c>
    </row>
    <row r="830" spans="1:19">
      <c r="A830" s="1">
        <v>2020</v>
      </c>
      <c r="B830" s="1">
        <v>109</v>
      </c>
      <c r="C830" s="1" t="s">
        <v>85</v>
      </c>
      <c r="D830" s="1" t="e">
        <f t="array" aca="1" ref="D830" ca="1">_xludf.XLOOKUP(C830,'country region mapping'!$A$2:$A$250, 'country region mapping'!$E$2:$E$250)</f>
        <v>#NAME?</v>
      </c>
      <c r="E830" s="1" t="e">
        <f t="array" aca="1" ref="E830" ca="1">_xludf.XLOOKUP(C830,'country region mapping'!$A$2:$A$267,'country region mapping'!$F$2:$F$267)</f>
        <v>#NAME?</v>
      </c>
      <c r="F830" s="1" t="e">
        <f t="array" aca="1" ref="F830" ca="1">_xludf.XLOOKUP(C830,'country region mapping'!$A$2:$A$267,'country region mapping'!$G$2:$G$267)</f>
        <v>#NAME?</v>
      </c>
      <c r="G830" s="1">
        <v>4.8869999999999996</v>
      </c>
      <c r="H830" s="1">
        <v>20</v>
      </c>
      <c r="I830" s="1">
        <v>52</v>
      </c>
      <c r="J830" s="1">
        <v>69</v>
      </c>
      <c r="K830" s="1">
        <v>63</v>
      </c>
      <c r="L830" s="1">
        <v>111</v>
      </c>
      <c r="M830" s="1">
        <v>99</v>
      </c>
      <c r="N830" s="1">
        <v>36</v>
      </c>
      <c r="O830" s="1">
        <v>107</v>
      </c>
      <c r="P830" s="1">
        <v>65</v>
      </c>
      <c r="Q830" s="1">
        <v>99</v>
      </c>
      <c r="R830" s="1">
        <v>55</v>
      </c>
      <c r="S830" s="1">
        <v>46</v>
      </c>
    </row>
    <row r="831" spans="1:19">
      <c r="A831" s="1">
        <v>2020</v>
      </c>
      <c r="B831" s="1">
        <v>110</v>
      </c>
      <c r="C831" s="1" t="s">
        <v>195</v>
      </c>
      <c r="D831" s="1" t="e">
        <f t="array" aca="1" ref="D831" ca="1">_xludf.XLOOKUP(C831,'country region mapping'!$A$2:$A$250, 'country region mapping'!$E$2:$E$250)</f>
        <v>#NAME?</v>
      </c>
      <c r="E831" s="1" t="e">
        <f t="array" aca="1" ref="E831" ca="1">_xludf.XLOOKUP(C831,'country region mapping'!$A$2:$A$267,'country region mapping'!$F$2:$F$267)</f>
        <v>#NAME?</v>
      </c>
      <c r="F831" s="1" t="e">
        <f t="array" aca="1" ref="F831" ca="1">_xludf.XLOOKUP(C831,'country region mapping'!$A$2:$A$267,'country region mapping'!$G$2:$G$267)</f>
        <v>#NAME?</v>
      </c>
      <c r="G831" s="1">
        <v>4.875</v>
      </c>
      <c r="H831" s="1">
        <v>67</v>
      </c>
      <c r="I831" s="1">
        <v>47</v>
      </c>
      <c r="J831" s="1">
        <v>60</v>
      </c>
      <c r="K831" s="1">
        <v>75</v>
      </c>
      <c r="L831" s="1">
        <v>71</v>
      </c>
      <c r="M831" s="1">
        <v>28</v>
      </c>
      <c r="N831" s="1">
        <v>109</v>
      </c>
      <c r="O831" s="1">
        <v>78</v>
      </c>
      <c r="P831" s="1">
        <v>49</v>
      </c>
      <c r="Q831" s="1">
        <v>28</v>
      </c>
      <c r="R831" s="1">
        <v>46</v>
      </c>
      <c r="S831" s="1">
        <v>23</v>
      </c>
    </row>
    <row r="832" spans="1:19">
      <c r="A832" s="1">
        <v>2020</v>
      </c>
      <c r="B832" s="1">
        <v>111</v>
      </c>
      <c r="C832" s="1" t="s">
        <v>179</v>
      </c>
      <c r="D832" s="1" t="e">
        <f t="array" aca="1" ref="D832" ca="1">_xludf.XLOOKUP(C832,'country region mapping'!$A$2:$A$250, 'country region mapping'!$E$2:$E$250)</f>
        <v>#NAME?</v>
      </c>
      <c r="E832" s="1" t="e">
        <f t="array" aca="1" ref="E832" ca="1">_xludf.XLOOKUP(C832,'country region mapping'!$A$2:$A$267,'country region mapping'!$F$2:$F$267)</f>
        <v>#NAME?</v>
      </c>
      <c r="F832" s="1" t="e">
        <f t="array" aca="1" ref="F832" ca="1">_xludf.XLOOKUP(C832,'country region mapping'!$A$2:$A$267,'country region mapping'!$G$2:$G$267)</f>
        <v>#NAME?</v>
      </c>
      <c r="G832" s="1">
        <v>4.8540000000000001</v>
      </c>
      <c r="H832" s="1">
        <v>103</v>
      </c>
      <c r="I832" s="1">
        <v>100</v>
      </c>
      <c r="J832" s="1">
        <v>74</v>
      </c>
      <c r="K832" s="1">
        <v>91</v>
      </c>
      <c r="L832" s="1">
        <v>101</v>
      </c>
      <c r="M832" s="1">
        <v>68</v>
      </c>
      <c r="N832" s="1">
        <v>84</v>
      </c>
      <c r="O832" s="1">
        <v>91</v>
      </c>
      <c r="P832" s="1">
        <v>115</v>
      </c>
      <c r="Q832" s="1">
        <v>68</v>
      </c>
      <c r="R832" s="1">
        <v>82</v>
      </c>
      <c r="S832" s="1">
        <v>3</v>
      </c>
    </row>
    <row r="833" spans="1:19">
      <c r="A833" s="1">
        <v>2020</v>
      </c>
      <c r="B833" s="1">
        <v>112</v>
      </c>
      <c r="C833" s="1" t="s">
        <v>306</v>
      </c>
      <c r="D833" s="1" t="e">
        <f t="array" aca="1" ref="D833" ca="1">_xludf.XLOOKUP(C833,'country region mapping'!$A$2:$A$250, 'country region mapping'!$E$2:$E$250)</f>
        <v>#NAME?</v>
      </c>
      <c r="E833" s="1" t="e">
        <f t="array" aca="1" ref="E833" ca="1">_xludf.XLOOKUP(C833,'country region mapping'!$A$2:$A$267,'country region mapping'!$F$2:$F$267)</f>
        <v>#NAME?</v>
      </c>
      <c r="F833" s="1" t="e">
        <f t="array" aca="1" ref="F833" ca="1">_xludf.XLOOKUP(C833,'country region mapping'!$A$2:$A$267,'country region mapping'!$G$2:$G$267)</f>
        <v>#NAME?</v>
      </c>
      <c r="G833" s="1">
        <v>4.8520000000000003</v>
      </c>
      <c r="H833" s="1">
        <v>71</v>
      </c>
      <c r="I833" s="1">
        <v>101</v>
      </c>
      <c r="J833" s="1">
        <v>58</v>
      </c>
      <c r="K833" s="1">
        <v>100</v>
      </c>
      <c r="L833" s="1">
        <v>114</v>
      </c>
      <c r="M833" s="1">
        <v>111</v>
      </c>
      <c r="N833" s="1">
        <v>56</v>
      </c>
      <c r="O833" s="1">
        <v>98</v>
      </c>
      <c r="P833" s="1">
        <v>105</v>
      </c>
      <c r="Q833" s="1">
        <v>111</v>
      </c>
      <c r="R833" s="1">
        <v>101</v>
      </c>
      <c r="S833" s="1">
        <v>66</v>
      </c>
    </row>
    <row r="834" spans="1:19">
      <c r="A834" s="1">
        <v>2020</v>
      </c>
      <c r="B834" s="1">
        <v>113</v>
      </c>
      <c r="C834" s="1" t="s">
        <v>229</v>
      </c>
      <c r="D834" s="1" t="e">
        <f t="array" aca="1" ref="D834" ca="1">_xludf.XLOOKUP(C834,'country region mapping'!$A$2:$A$250, 'country region mapping'!$E$2:$E$250)</f>
        <v>#NAME?</v>
      </c>
      <c r="E834" s="1" t="e">
        <f t="array" aca="1" ref="E834" ca="1">_xludf.XLOOKUP(C834,'country region mapping'!$A$2:$A$267,'country region mapping'!$F$2:$F$267)</f>
        <v>#NAME?</v>
      </c>
      <c r="F834" s="1" t="e">
        <f t="array" aca="1" ref="F834" ca="1">_xludf.XLOOKUP(C834,'country region mapping'!$A$2:$A$267,'country region mapping'!$G$2:$G$267)</f>
        <v>#NAME?</v>
      </c>
      <c r="G834" s="1">
        <v>4.8339999999999996</v>
      </c>
      <c r="H834" s="1">
        <v>106</v>
      </c>
      <c r="I834" s="1">
        <v>105</v>
      </c>
      <c r="J834" s="1">
        <v>113</v>
      </c>
      <c r="K834" s="1">
        <v>103</v>
      </c>
      <c r="L834" s="1">
        <v>92</v>
      </c>
      <c r="M834" s="1">
        <v>52</v>
      </c>
      <c r="N834" s="1">
        <v>62</v>
      </c>
      <c r="O834" s="1">
        <v>88</v>
      </c>
      <c r="P834" s="1">
        <v>98</v>
      </c>
      <c r="Q834" s="1">
        <v>52</v>
      </c>
      <c r="R834" s="1">
        <v>18</v>
      </c>
      <c r="S834" s="1">
        <v>18</v>
      </c>
    </row>
    <row r="835" spans="1:19">
      <c r="A835" s="1">
        <v>2020</v>
      </c>
      <c r="B835" s="1">
        <v>114</v>
      </c>
      <c r="C835" s="1" t="s">
        <v>221</v>
      </c>
      <c r="D835" s="1" t="e">
        <f t="array" aca="1" ref="D835" ca="1">_xludf.XLOOKUP(C835,'country region mapping'!$A$2:$A$250, 'country region mapping'!$E$2:$E$250)</f>
        <v>#NAME?</v>
      </c>
      <c r="E835" s="1" t="e">
        <f t="array" aca="1" ref="E835" ca="1">_xludf.XLOOKUP(C835,'country region mapping'!$A$2:$A$267,'country region mapping'!$F$2:$F$267)</f>
        <v>#NAME?</v>
      </c>
      <c r="F835" s="1" t="e">
        <f t="array" aca="1" ref="F835" ca="1">_xludf.XLOOKUP(C835,'country region mapping'!$A$2:$A$267,'country region mapping'!$G$2:$G$267)</f>
        <v>#NAME?</v>
      </c>
      <c r="G835" s="1">
        <v>4.83</v>
      </c>
      <c r="H835" s="1">
        <v>46</v>
      </c>
      <c r="I835" s="1">
        <v>93</v>
      </c>
      <c r="J835" s="1">
        <v>95</v>
      </c>
      <c r="K835" s="1">
        <v>84</v>
      </c>
      <c r="L835" s="1">
        <v>2</v>
      </c>
      <c r="M835" s="1">
        <v>65</v>
      </c>
      <c r="N835" s="1">
        <v>87</v>
      </c>
      <c r="O835" s="1">
        <v>8</v>
      </c>
      <c r="P835" s="1">
        <v>100</v>
      </c>
      <c r="Q835" s="1">
        <v>65</v>
      </c>
      <c r="R835" s="1">
        <v>83</v>
      </c>
      <c r="S835" s="1">
        <v>89</v>
      </c>
    </row>
    <row r="836" spans="1:19">
      <c r="A836" s="1">
        <v>2020</v>
      </c>
      <c r="B836" s="1">
        <v>115</v>
      </c>
      <c r="C836" s="1" t="s">
        <v>252</v>
      </c>
      <c r="D836" s="1" t="e">
        <f t="array" aca="1" ref="D836" ca="1">_xludf.XLOOKUP(C836,'country region mapping'!$A$2:$A$250, 'country region mapping'!$E$2:$E$250)</f>
        <v>#NAME?</v>
      </c>
      <c r="E836" s="1" t="e">
        <f t="array" aca="1" ref="E836" ca="1">_xludf.XLOOKUP(C836,'country region mapping'!$A$2:$A$267,'country region mapping'!$F$2:$F$267)</f>
        <v>#NAME?</v>
      </c>
      <c r="F836" s="1" t="e">
        <f t="array" aca="1" ref="F836" ca="1">_xludf.XLOOKUP(C836,'country region mapping'!$A$2:$A$267,'country region mapping'!$G$2:$G$267)</f>
        <v>#NAME?</v>
      </c>
      <c r="G836" s="1">
        <v>4.7939999999999996</v>
      </c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>
      <c r="A837" s="1">
        <v>2020</v>
      </c>
      <c r="B837" s="1">
        <v>116</v>
      </c>
      <c r="C837" s="1" t="s">
        <v>165</v>
      </c>
      <c r="D837" s="1" t="e">
        <f t="array" aca="1" ref="D837" ca="1">_xludf.XLOOKUP(C837,'country region mapping'!$A$2:$A$250, 'country region mapping'!$E$2:$E$250)</f>
        <v>#NAME?</v>
      </c>
      <c r="E837" s="1" t="e">
        <f t="array" aca="1" ref="E837" ca="1">_xludf.XLOOKUP(C837,'country region mapping'!$A$2:$A$267,'country region mapping'!$F$2:$F$267)</f>
        <v>#NAME?</v>
      </c>
      <c r="F837" s="1" t="e">
        <f t="array" aca="1" ref="F837" ca="1">_xludf.XLOOKUP(C837,'country region mapping'!$A$2:$A$267,'country region mapping'!$G$2:$G$267)</f>
        <v>#NAME?</v>
      </c>
      <c r="G837" s="1">
        <v>4.7590000000000003</v>
      </c>
      <c r="H837" s="1">
        <v>78</v>
      </c>
      <c r="I837" s="1">
        <v>91</v>
      </c>
      <c r="J837" s="1">
        <v>99</v>
      </c>
      <c r="K837" s="1">
        <v>106</v>
      </c>
      <c r="L837" s="1">
        <v>97</v>
      </c>
      <c r="M837" s="1">
        <v>45</v>
      </c>
      <c r="N837" s="1">
        <v>102</v>
      </c>
      <c r="O837" s="1">
        <v>27</v>
      </c>
      <c r="P837" s="1">
        <v>69</v>
      </c>
      <c r="Q837" s="1">
        <v>45</v>
      </c>
      <c r="R837" s="1">
        <v>4</v>
      </c>
      <c r="S837" s="1">
        <v>1</v>
      </c>
    </row>
    <row r="838" spans="1:19">
      <c r="A838" s="1">
        <v>2020</v>
      </c>
      <c r="B838" s="1">
        <v>117</v>
      </c>
      <c r="C838" s="1" t="s">
        <v>311</v>
      </c>
      <c r="D838" s="1" t="e">
        <f t="array" aca="1" ref="D838" ca="1">_xludf.XLOOKUP(C838,'country region mapping'!$A$2:$A$250, 'country region mapping'!$E$2:$E$250)</f>
        <v>#NAME?</v>
      </c>
      <c r="E838" s="1" t="e">
        <f t="array" aca="1" ref="E838" ca="1">_xludf.XLOOKUP(C838,'country region mapping'!$A$2:$A$267,'country region mapping'!$F$2:$F$267)</f>
        <v>#NAME?</v>
      </c>
      <c r="F838" s="1" t="e">
        <f t="array" aca="1" ref="F838" ca="1">_xludf.XLOOKUP(C838,'country region mapping'!$A$2:$A$267,'country region mapping'!$G$2:$G$267)</f>
        <v>#NAME?</v>
      </c>
      <c r="G838" s="1">
        <v>4.7229999999999999</v>
      </c>
      <c r="H838" s="1">
        <v>112</v>
      </c>
      <c r="I838" s="1">
        <v>113</v>
      </c>
      <c r="J838" s="1">
        <v>114</v>
      </c>
      <c r="K838" s="1">
        <v>109</v>
      </c>
      <c r="L838" s="1">
        <v>106</v>
      </c>
      <c r="M838" s="1">
        <v>113</v>
      </c>
      <c r="N838" s="1">
        <v>96</v>
      </c>
      <c r="O838" s="1">
        <v>76</v>
      </c>
      <c r="P838" s="1">
        <v>109</v>
      </c>
      <c r="Q838" s="1">
        <v>113</v>
      </c>
      <c r="R838" s="1">
        <v>24</v>
      </c>
      <c r="S838" s="1">
        <v>57</v>
      </c>
    </row>
    <row r="839" spans="1:19">
      <c r="A839" s="1">
        <v>2020</v>
      </c>
      <c r="B839" s="1">
        <v>118</v>
      </c>
      <c r="C839" s="1" t="s">
        <v>169</v>
      </c>
      <c r="D839" s="1" t="e">
        <f t="array" aca="1" ref="D839" ca="1">_xludf.XLOOKUP(C839,'country region mapping'!$A$2:$A$267,'country region mapping'!$E$2:$E$267)</f>
        <v>#NAME?</v>
      </c>
      <c r="E839" s="1" t="e">
        <f t="array" aca="1" ref="E839" ca="1">_xludf.XLOOKUP(C839,'country region mapping'!$A$2:$A$267,'country region mapping'!$F$2:$F$267)</f>
        <v>#NAME?</v>
      </c>
      <c r="F839" s="1" t="e">
        <f t="array" aca="1" ref="F839" ca="1">_xludf.XLOOKUP(C839,'country region mapping'!$A$2:$A$267,'country region mapping'!$G$2:$G$267)</f>
        <v>#NAME?</v>
      </c>
      <c r="G839" s="1">
        <v>4.7210000000000001</v>
      </c>
      <c r="H839" s="1">
        <v>80</v>
      </c>
      <c r="I839" s="1">
        <v>84</v>
      </c>
      <c r="J839" s="1">
        <v>68</v>
      </c>
      <c r="K839" s="1">
        <v>59</v>
      </c>
      <c r="L839" s="1">
        <v>109</v>
      </c>
      <c r="M839" s="1">
        <v>23</v>
      </c>
      <c r="N839" s="1">
        <v>34</v>
      </c>
      <c r="O839" s="1">
        <v>110</v>
      </c>
      <c r="P839" s="1">
        <v>112</v>
      </c>
      <c r="Q839" s="1">
        <v>23</v>
      </c>
      <c r="R839" s="1">
        <v>94</v>
      </c>
      <c r="S839" s="1">
        <v>40</v>
      </c>
    </row>
    <row r="840" spans="1:19">
      <c r="A840" s="1">
        <v>2020</v>
      </c>
      <c r="B840" s="1">
        <v>119</v>
      </c>
      <c r="C840" s="1" t="s">
        <v>231</v>
      </c>
      <c r="D840" s="1" t="e">
        <f t="array" aca="1" ref="D840" ca="1">_xludf.XLOOKUP(C840,'country region mapping'!$A$2:$A$250, 'country region mapping'!$E$2:$E$250)</f>
        <v>#NAME?</v>
      </c>
      <c r="E840" s="1" t="e">
        <f t="array" aca="1" ref="E840" ca="1">_xludf.XLOOKUP(C840,'country region mapping'!$A$2:$A$267,'country region mapping'!$F$2:$F$267)</f>
        <v>#NAME?</v>
      </c>
      <c r="F840" s="1" t="e">
        <f t="array" aca="1" ref="F840" ca="1">_xludf.XLOOKUP(C840,'country region mapping'!$A$2:$A$267,'country region mapping'!$G$2:$G$267)</f>
        <v>#NAME?</v>
      </c>
      <c r="G840" s="1">
        <v>4.6360000000000001</v>
      </c>
      <c r="H840" s="1">
        <v>97</v>
      </c>
      <c r="I840" s="1">
        <v>72</v>
      </c>
      <c r="J840" s="1">
        <v>111</v>
      </c>
      <c r="K840" s="1">
        <v>98</v>
      </c>
      <c r="L840" s="1">
        <v>102</v>
      </c>
      <c r="M840" s="1">
        <v>48</v>
      </c>
      <c r="N840" s="1">
        <v>92</v>
      </c>
      <c r="O840" s="1">
        <v>43</v>
      </c>
      <c r="P840" s="1">
        <v>106</v>
      </c>
      <c r="Q840" s="1">
        <v>48</v>
      </c>
      <c r="R840" s="1">
        <v>10</v>
      </c>
      <c r="S840" s="1">
        <v>7</v>
      </c>
    </row>
    <row r="841" spans="1:19">
      <c r="A841" s="1">
        <v>2020</v>
      </c>
      <c r="B841" s="1">
        <v>120</v>
      </c>
      <c r="C841" s="1" t="s">
        <v>238</v>
      </c>
      <c r="D841" s="1" t="e">
        <f t="array" aca="1" ref="D841" ca="1">_xludf.XLOOKUP(C841,'country region mapping'!$A$2:$A$250, 'country region mapping'!$E$2:$E$250)</f>
        <v>#NAME?</v>
      </c>
      <c r="E841" s="1" t="e">
        <f t="array" aca="1" ref="E841" ca="1">_xludf.XLOOKUP(C841,'country region mapping'!$A$2:$A$267,'country region mapping'!$F$2:$F$267)</f>
        <v>#NAME?</v>
      </c>
      <c r="F841" s="1" t="e">
        <f t="array" aca="1" ref="F841" ca="1">_xludf.XLOOKUP(C841,'country region mapping'!$A$2:$A$267,'country region mapping'!$G$2:$G$267)</f>
        <v>#NAME?</v>
      </c>
      <c r="G841" s="1">
        <v>4.625</v>
      </c>
      <c r="H841" s="1"/>
      <c r="I841" s="1"/>
      <c r="J841" s="1"/>
      <c r="K841" s="1"/>
      <c r="L841" s="1"/>
      <c r="M841" s="1"/>
      <c r="N841" s="1"/>
      <c r="O841" s="1"/>
      <c r="P841" s="1"/>
      <c r="S841" s="1"/>
    </row>
    <row r="842" spans="1:19">
      <c r="A842" s="1">
        <v>2020</v>
      </c>
      <c r="B842" s="1">
        <v>121</v>
      </c>
      <c r="C842" s="1" t="s">
        <v>193</v>
      </c>
      <c r="D842" s="1" t="e">
        <f t="array" aca="1" ref="D842" ca="1">_xludf.XLOOKUP(C842,'country region mapping'!$A$2:$A$250, 'country region mapping'!$E$2:$E$250)</f>
        <v>#NAME?</v>
      </c>
      <c r="E842" s="1" t="e">
        <f t="array" aca="1" ref="E842" ca="1">_xludf.XLOOKUP(C842,'country region mapping'!$A$2:$A$267,'country region mapping'!$F$2:$F$267)</f>
        <v>#NAME?</v>
      </c>
      <c r="F842" s="1" t="e">
        <f t="array" aca="1" ref="F842" ca="1">_xludf.XLOOKUP(C842,'country region mapping'!$A$2:$A$267,'country region mapping'!$G$2:$G$267)</f>
        <v>#NAME?</v>
      </c>
      <c r="G842" s="1">
        <v>4.6070000000000002</v>
      </c>
      <c r="H842" s="1">
        <v>91</v>
      </c>
      <c r="I842" s="1">
        <v>103</v>
      </c>
      <c r="J842" s="1">
        <v>101</v>
      </c>
      <c r="K842" s="1">
        <v>96</v>
      </c>
      <c r="L842" s="1">
        <v>100</v>
      </c>
      <c r="M842" s="1">
        <v>14</v>
      </c>
      <c r="N842" s="1">
        <v>78</v>
      </c>
      <c r="O842" s="1">
        <v>25</v>
      </c>
      <c r="P842" s="1">
        <v>61</v>
      </c>
      <c r="Q842" s="1">
        <v>14</v>
      </c>
      <c r="R842" s="1">
        <v>3</v>
      </c>
      <c r="S842" s="1">
        <v>6</v>
      </c>
    </row>
    <row r="843" spans="1:19">
      <c r="A843" s="1">
        <v>2020</v>
      </c>
      <c r="B843" s="1">
        <v>122</v>
      </c>
      <c r="C843" s="1" t="s">
        <v>159</v>
      </c>
      <c r="D843" s="1" t="e">
        <f t="array" aca="1" ref="D843" ca="1">_xludf.XLOOKUP(C843,'country region mapping'!$A$2:$A$250, 'country region mapping'!$E$2:$E$250)</f>
        <v>#NAME?</v>
      </c>
      <c r="E843" s="1" t="e">
        <f t="array" aca="1" ref="E843" ca="1">_xludf.XLOOKUP(C843,'country region mapping'!$A$2:$A$267,'country region mapping'!$F$2:$F$267)</f>
        <v>#NAME?</v>
      </c>
      <c r="F843" s="1" t="e">
        <f t="array" aca="1" ref="F843" ca="1">_xludf.XLOOKUP(C843,'country region mapping'!$A$2:$A$267,'country region mapping'!$G$2:$G$267)</f>
        <v>#NAME?</v>
      </c>
      <c r="G843" s="1">
        <v>4.5960000000000001</v>
      </c>
      <c r="H843" s="1">
        <v>90</v>
      </c>
      <c r="I843" s="1">
        <v>95</v>
      </c>
      <c r="J843" s="1">
        <v>78</v>
      </c>
      <c r="K843" s="1">
        <v>42</v>
      </c>
      <c r="L843" s="1">
        <v>104</v>
      </c>
      <c r="M843" s="1">
        <v>115</v>
      </c>
      <c r="N843" s="1">
        <v>90</v>
      </c>
      <c r="O843" s="1">
        <v>109</v>
      </c>
      <c r="P843" s="1">
        <v>108</v>
      </c>
      <c r="Q843" s="1">
        <v>115</v>
      </c>
      <c r="R843" s="1">
        <v>92</v>
      </c>
      <c r="S843" s="1">
        <v>17</v>
      </c>
    </row>
    <row r="844" spans="1:19">
      <c r="A844" s="1">
        <v>2020</v>
      </c>
      <c r="B844" s="1">
        <v>123</v>
      </c>
      <c r="C844" s="1" t="s">
        <v>154</v>
      </c>
      <c r="D844" s="1" t="e">
        <f t="array" aca="1" ref="D844" ca="1">_xludf.XLOOKUP(C844,'country region mapping'!$A$2:$A$250, 'country region mapping'!$E$2:$E$250)</f>
        <v>#NAME?</v>
      </c>
      <c r="E844" s="1" t="e">
        <f t="array" aca="1" ref="E844" ca="1">_xludf.XLOOKUP(C844,'country region mapping'!$A$2:$A$267,'country region mapping'!$F$2:$F$267)</f>
        <v>#NAME?</v>
      </c>
      <c r="F844" s="1" t="e">
        <f t="array" aca="1" ref="F844" ca="1">_xludf.XLOOKUP(C844,'country region mapping'!$A$2:$A$267,'country region mapping'!$G$2:$G$267)</f>
        <v>#NAME?</v>
      </c>
      <c r="G844" s="1">
        <v>4.5839999999999996</v>
      </c>
      <c r="H844" s="1">
        <v>60</v>
      </c>
      <c r="I844" s="1">
        <v>115</v>
      </c>
      <c r="J844" s="1">
        <v>75</v>
      </c>
      <c r="K844" s="1">
        <v>48</v>
      </c>
      <c r="L844" s="1">
        <v>113</v>
      </c>
      <c r="M844" s="1">
        <v>97</v>
      </c>
      <c r="N844" s="1">
        <v>94</v>
      </c>
      <c r="O844" s="1">
        <v>114</v>
      </c>
      <c r="P844" s="1">
        <v>114</v>
      </c>
      <c r="Q844" s="1">
        <v>97</v>
      </c>
      <c r="R844" s="1">
        <v>107</v>
      </c>
      <c r="S844" s="1">
        <v>86</v>
      </c>
    </row>
    <row r="845" spans="1:19">
      <c r="A845" s="1">
        <v>2020</v>
      </c>
      <c r="B845" s="1">
        <v>124</v>
      </c>
      <c r="C845" s="1" t="s">
        <v>181</v>
      </c>
      <c r="D845" s="1" t="e">
        <f t="array" aca="1" ref="D845" ca="1">_xludf.XLOOKUP(C845,'country region mapping'!$A$2:$A$250, 'country region mapping'!$E$2:$E$250)</f>
        <v>#NAME?</v>
      </c>
      <c r="E845" s="1" t="e">
        <f t="array" aca="1" ref="E845" ca="1">_xludf.XLOOKUP(C845,'country region mapping'!$A$2:$A$267,'country region mapping'!$F$2:$F$267)</f>
        <v>#NAME?</v>
      </c>
      <c r="F845" s="1" t="e">
        <f t="array" aca="1" ref="F845" ca="1">_xludf.XLOOKUP(C845,'country region mapping'!$A$2:$A$267,'country region mapping'!$G$2:$G$267)</f>
        <v>#NAME?</v>
      </c>
      <c r="G845" s="1">
        <v>4.5739999999999998</v>
      </c>
      <c r="H845" s="1">
        <v>113</v>
      </c>
      <c r="I845" s="1">
        <v>88</v>
      </c>
      <c r="J845" s="1">
        <v>82</v>
      </c>
      <c r="K845" s="1">
        <v>105</v>
      </c>
      <c r="L845" s="1">
        <v>102</v>
      </c>
      <c r="M845" s="1">
        <v>98</v>
      </c>
      <c r="N845" s="1">
        <v>65</v>
      </c>
      <c r="O845" s="1">
        <v>75</v>
      </c>
      <c r="P845" s="1">
        <v>30</v>
      </c>
      <c r="Q845" s="1">
        <v>98</v>
      </c>
      <c r="R845" s="1">
        <v>25</v>
      </c>
      <c r="S845" s="1">
        <v>13</v>
      </c>
    </row>
    <row r="846" spans="1:19">
      <c r="A846" s="1">
        <v>2020</v>
      </c>
      <c r="B846" s="1">
        <v>125</v>
      </c>
      <c r="C846" s="1" t="s">
        <v>173</v>
      </c>
      <c r="D846" s="1" t="e">
        <f t="array" aca="1" ref="D846" ca="1">_xludf.XLOOKUP(C846,'country region mapping'!$A$2:$A$267,'country region mapping'!$E$2:$E$267)</f>
        <v>#NAME?</v>
      </c>
      <c r="E846" s="1" t="e">
        <f t="array" aca="1" ref="E846" ca="1">_xludf.XLOOKUP(C846,'country region mapping'!$A$2:$A$267,'country region mapping'!$F$2:$F$267)</f>
        <v>#NAME?</v>
      </c>
      <c r="F846" s="1" t="e">
        <f t="array" aca="1" ref="F846" ca="1">_xludf.XLOOKUP(C846,'country region mapping'!$A$2:$A$267,'country region mapping'!$G$2:$G$267)</f>
        <v>#NAME?</v>
      </c>
      <c r="G846" s="1">
        <v>4.5170000000000003</v>
      </c>
      <c r="H846" s="1"/>
      <c r="I846" s="1"/>
      <c r="J846" s="1"/>
      <c r="K846" s="1"/>
      <c r="L846" s="1"/>
      <c r="M846" s="1"/>
      <c r="N846" s="1"/>
      <c r="O846" s="1"/>
      <c r="Q846" s="1"/>
      <c r="R846" s="1"/>
      <c r="S846" s="1"/>
    </row>
    <row r="847" spans="1:19">
      <c r="A847" s="1">
        <v>2020</v>
      </c>
      <c r="B847" s="1">
        <v>126</v>
      </c>
      <c r="C847" s="1" t="s">
        <v>190</v>
      </c>
      <c r="D847" s="1" t="e">
        <f t="array" aca="1" ref="D847" ca="1">_xludf.XLOOKUP(C847,'country region mapping'!$A$2:$A$250, 'country region mapping'!$E$2:$E$250)</f>
        <v>#NAME?</v>
      </c>
      <c r="E847" s="1" t="e">
        <f t="array" aca="1" ref="E847" ca="1">_xludf.XLOOKUP(C847,'country region mapping'!$A$2:$A$267,'country region mapping'!$F$2:$F$267)</f>
        <v>#NAME?</v>
      </c>
      <c r="F847" s="1" t="e">
        <f t="array" aca="1" ref="F847" ca="1">_xludf.XLOOKUP(C847,'country region mapping'!$A$2:$A$267,'country region mapping'!$G$2:$G$267)</f>
        <v>#NAME?</v>
      </c>
      <c r="G847" s="1">
        <v>4.4260000000000002</v>
      </c>
      <c r="H847" s="1">
        <v>69</v>
      </c>
      <c r="I847" s="1">
        <v>75</v>
      </c>
      <c r="J847" s="1">
        <v>96</v>
      </c>
      <c r="K847" s="1">
        <v>89</v>
      </c>
      <c r="L847" s="1">
        <v>54</v>
      </c>
      <c r="M847" s="1">
        <v>2</v>
      </c>
      <c r="N847" s="1">
        <v>29</v>
      </c>
      <c r="O847" s="1">
        <v>46</v>
      </c>
      <c r="P847" s="1">
        <v>54</v>
      </c>
      <c r="Q847" s="1">
        <v>2</v>
      </c>
      <c r="R847" s="1">
        <v>12</v>
      </c>
      <c r="S847" s="1">
        <v>78</v>
      </c>
    </row>
    <row r="848" spans="1:19">
      <c r="A848" s="1">
        <v>2020</v>
      </c>
      <c r="B848" s="1">
        <v>127</v>
      </c>
      <c r="C848" s="1" t="s">
        <v>138</v>
      </c>
      <c r="D848" s="1" t="e">
        <f t="array" aca="1" ref="D848" ca="1">_xludf.XLOOKUP(C848,'country region mapping'!$A$2:$A$250, 'country region mapping'!$E$2:$E$250)</f>
        <v>#NAME?</v>
      </c>
      <c r="E848" s="1" t="e">
        <f t="array" aca="1" ref="E848" ca="1">_xludf.XLOOKUP(C848,'country region mapping'!$A$2:$A$267,'country region mapping'!$F$2:$F$267)</f>
        <v>#NAME?</v>
      </c>
      <c r="F848" s="1" t="e">
        <f t="array" aca="1" ref="F848" ca="1">_xludf.XLOOKUP(C848,'country region mapping'!$A$2:$A$267,'country region mapping'!$G$2:$G$267)</f>
        <v>#NAME?</v>
      </c>
      <c r="G848" s="1">
        <v>4.3949999999999996</v>
      </c>
      <c r="H848" s="1">
        <v>102</v>
      </c>
      <c r="I848" s="1">
        <v>99</v>
      </c>
      <c r="J848" s="1">
        <v>84</v>
      </c>
      <c r="K848" s="1">
        <v>39</v>
      </c>
      <c r="L848" s="1">
        <v>75</v>
      </c>
      <c r="M848" s="1">
        <v>106</v>
      </c>
      <c r="Q848" s="14">
        <v>106</v>
      </c>
      <c r="R848" s="14">
        <v>116</v>
      </c>
      <c r="S848" s="14">
        <v>44</v>
      </c>
    </row>
    <row r="849" spans="1:19">
      <c r="A849" s="1">
        <v>2020</v>
      </c>
      <c r="B849" s="1">
        <v>128</v>
      </c>
      <c r="C849" s="1" t="s">
        <v>227</v>
      </c>
      <c r="D849" s="1" t="e">
        <f t="array" aca="1" ref="D849" ca="1">_xludf.XLOOKUP(C849,'country region mapping'!$A$2:$A$250, 'country region mapping'!$E$2:$E$250)</f>
        <v>#NAME?</v>
      </c>
      <c r="E849" s="1" t="e">
        <f t="array" aca="1" ref="E849" ca="1">_xludf.XLOOKUP(C849,'country region mapping'!$A$2:$A$267,'country region mapping'!$F$2:$F$267)</f>
        <v>#NAME?</v>
      </c>
      <c r="F849" s="1" t="e">
        <f t="array" aca="1" ref="F849" ca="1">_xludf.XLOOKUP(C849,'country region mapping'!$A$2:$A$267,'country region mapping'!$G$2:$G$267)</f>
        <v>#NAME?</v>
      </c>
      <c r="G849" s="1">
        <v>4.3550000000000004</v>
      </c>
      <c r="H849" s="1"/>
      <c r="I849" s="1"/>
      <c r="J849" s="1"/>
      <c r="K849" s="1"/>
      <c r="L849" s="1"/>
      <c r="M849" s="1"/>
      <c r="N849" s="1"/>
      <c r="O849" s="1"/>
      <c r="P849" s="1"/>
      <c r="S849" s="1"/>
    </row>
    <row r="850" spans="1:19">
      <c r="A850" s="1">
        <v>2020</v>
      </c>
      <c r="B850" s="1">
        <v>129</v>
      </c>
      <c r="C850" s="1" t="s">
        <v>187</v>
      </c>
      <c r="D850" s="1" t="e">
        <f t="array" aca="1" ref="D850" ca="1">_xludf.XLOOKUP(C850,'country region mapping'!$A$2:$A$250, 'country region mapping'!$E$2:$E$250)</f>
        <v>#NAME?</v>
      </c>
      <c r="E850" s="1" t="e">
        <f t="array" aca="1" ref="E850" ca="1">_xludf.XLOOKUP(C850,'country region mapping'!$A$2:$A$267,'country region mapping'!$F$2:$F$267)</f>
        <v>#NAME?</v>
      </c>
      <c r="F850" s="1" t="e">
        <f t="array" aca="1" ref="F850" ca="1">_xludf.XLOOKUP(C850,'country region mapping'!$A$2:$A$267,'country region mapping'!$G$2:$G$267)</f>
        <v>#NAME?</v>
      </c>
      <c r="G850" s="1">
        <v>4.3250000000000002</v>
      </c>
      <c r="H850" s="1">
        <v>62</v>
      </c>
      <c r="I850" s="1">
        <v>59</v>
      </c>
      <c r="J850" s="1">
        <v>70</v>
      </c>
      <c r="K850" s="1">
        <v>24</v>
      </c>
      <c r="L850" s="1">
        <v>65</v>
      </c>
      <c r="M850" s="1">
        <v>70</v>
      </c>
      <c r="N850" s="1">
        <v>46</v>
      </c>
      <c r="O850" s="1">
        <v>15</v>
      </c>
      <c r="P850" s="1">
        <v>50</v>
      </c>
      <c r="Q850" s="1">
        <v>70</v>
      </c>
      <c r="R850" s="1">
        <v>20</v>
      </c>
      <c r="S850" s="1">
        <v>82</v>
      </c>
    </row>
    <row r="851" spans="1:19">
      <c r="A851" s="1">
        <v>2020</v>
      </c>
      <c r="B851" s="1">
        <v>130</v>
      </c>
      <c r="C851" s="1" t="s">
        <v>453</v>
      </c>
      <c r="D851" s="1" t="e">
        <f t="array" aca="1" ref="D851" ca="1">_xludf.XLOOKUP(C851,'country region mapping'!$A$2:$A$250, 'country region mapping'!$E$2:$E$250)</f>
        <v>#NAME?</v>
      </c>
      <c r="E851" s="1" t="e">
        <f t="array" aca="1" ref="E851" ca="1">_xludf.XLOOKUP(C851,'country region mapping'!$A$2:$A$267,'country region mapping'!$F$2:$F$267)</f>
        <v>#NAME?</v>
      </c>
      <c r="F851" s="1" t="e">
        <f t="array" aca="1" ref="F851" ca="1">_xludf.XLOOKUP(C851,'country region mapping'!$A$2:$A$267,'country region mapping'!$G$2:$G$267)</f>
        <v>#NAME?</v>
      </c>
      <c r="G851" s="1">
        <v>4.3079999999999998</v>
      </c>
      <c r="H851" s="1"/>
      <c r="I851" s="1"/>
      <c r="J851" s="1"/>
      <c r="K851" s="1"/>
      <c r="L851" s="1"/>
      <c r="M851" s="1"/>
      <c r="N851" s="1"/>
      <c r="O851" s="1"/>
      <c r="P851" s="1"/>
      <c r="S851" s="1"/>
    </row>
    <row r="852" spans="1:19">
      <c r="A852" s="1">
        <v>2020</v>
      </c>
      <c r="B852" s="1">
        <v>131</v>
      </c>
      <c r="C852" s="1" t="s">
        <v>219</v>
      </c>
      <c r="D852" s="1" t="e">
        <f t="array" aca="1" ref="D852" ca="1">_xludf.XLOOKUP(C852,'country region mapping'!$A$2:$A$250, 'country region mapping'!$E$2:$E$250)</f>
        <v>#NAME?</v>
      </c>
      <c r="E852" s="1" t="e">
        <f t="array" aca="1" ref="E852" ca="1">_xludf.XLOOKUP(C852,'country region mapping'!$A$2:$A$267,'country region mapping'!$F$2:$F$267)</f>
        <v>#NAME?</v>
      </c>
      <c r="F852" s="1" t="e">
        <f t="array" aca="1" ref="F852" ca="1">_xludf.XLOOKUP(C852,'country region mapping'!$A$2:$A$267,'country region mapping'!$G$2:$G$267)</f>
        <v>#NAME?</v>
      </c>
      <c r="G852" s="1">
        <v>4.2889999999999997</v>
      </c>
      <c r="H852" s="1"/>
      <c r="I852" s="1"/>
      <c r="J852" s="1"/>
      <c r="K852" s="1"/>
      <c r="L852" s="1"/>
      <c r="M852" s="1"/>
      <c r="N852" s="1"/>
      <c r="O852" s="1"/>
      <c r="Q852" s="1"/>
      <c r="R852" s="1"/>
      <c r="S852" s="1"/>
    </row>
    <row r="853" spans="1:19">
      <c r="A853" s="1">
        <v>2020</v>
      </c>
      <c r="B853" s="1">
        <v>132</v>
      </c>
      <c r="C853" s="1" t="s">
        <v>191</v>
      </c>
      <c r="D853" s="1" t="e">
        <f t="array" aca="1" ref="D853" ca="1">_xludf.XLOOKUP(C853,'country region mapping'!$A$2:$A$250, 'country region mapping'!$E$2:$E$250)</f>
        <v>#NAME?</v>
      </c>
      <c r="E853" s="1" t="e">
        <f t="array" aca="1" ref="E853" ca="1">_xludf.XLOOKUP(C853,'country region mapping'!$A$2:$A$267,'country region mapping'!$F$2:$F$267)</f>
        <v>#NAME?</v>
      </c>
      <c r="F853" s="1" t="e">
        <f t="array" aca="1" ref="F853" ca="1">_xludf.XLOOKUP(C853,'country region mapping'!$A$2:$A$267,'country region mapping'!$G$2:$G$267)</f>
        <v>#NAME?</v>
      </c>
      <c r="G853" s="1">
        <v>4.2830000000000004</v>
      </c>
      <c r="H853" s="1">
        <v>111</v>
      </c>
      <c r="I853" s="1">
        <v>104</v>
      </c>
      <c r="J853" s="1">
        <v>64</v>
      </c>
      <c r="K853" s="1">
        <v>86</v>
      </c>
      <c r="L853" s="1">
        <v>80</v>
      </c>
      <c r="M853" s="1">
        <v>95</v>
      </c>
      <c r="O853" s="14">
        <v>105</v>
      </c>
      <c r="P853" s="14">
        <v>111</v>
      </c>
      <c r="Q853" s="14">
        <v>95</v>
      </c>
      <c r="R853" s="14">
        <v>103</v>
      </c>
      <c r="S853" s="14">
        <v>9</v>
      </c>
    </row>
    <row r="854" spans="1:19">
      <c r="A854" s="1">
        <v>2020</v>
      </c>
      <c r="B854" s="1">
        <v>133</v>
      </c>
      <c r="C854" s="1" t="s">
        <v>183</v>
      </c>
      <c r="D854" s="1" t="e">
        <f t="array" aca="1" ref="D854" ca="1">_xludf.XLOOKUP(C854,'country region mapping'!$A$2:$A$250, 'country region mapping'!$E$2:$E$250)</f>
        <v>#NAME?</v>
      </c>
      <c r="E854" s="1" t="e">
        <f t="array" aca="1" ref="E854" ca="1">_xludf.XLOOKUP(C854,'country region mapping'!$A$2:$A$267,'country region mapping'!$F$2:$F$267)</f>
        <v>#NAME?</v>
      </c>
      <c r="F854" s="1" t="e">
        <f t="array" aca="1" ref="F854" ca="1">_xludf.XLOOKUP(C854,'country region mapping'!$A$2:$A$267,'country region mapping'!$G$2:$G$267)</f>
        <v>#NAME?</v>
      </c>
      <c r="G854" s="1">
        <v>4.2750000000000004</v>
      </c>
      <c r="H854" s="1">
        <v>89</v>
      </c>
      <c r="I854" s="1">
        <v>63</v>
      </c>
      <c r="J854" s="1">
        <v>112</v>
      </c>
      <c r="K854" s="1">
        <v>92</v>
      </c>
      <c r="L854" s="1">
        <v>81</v>
      </c>
      <c r="M854" s="1">
        <v>34</v>
      </c>
      <c r="N854" s="1">
        <v>53</v>
      </c>
      <c r="O854" s="1">
        <v>85</v>
      </c>
      <c r="P854" s="1">
        <v>32</v>
      </c>
      <c r="Q854" s="1">
        <v>34</v>
      </c>
      <c r="R854" s="1">
        <v>15</v>
      </c>
      <c r="S854" s="1">
        <v>24</v>
      </c>
    </row>
    <row r="855" spans="1:19">
      <c r="A855" s="1">
        <v>2020</v>
      </c>
      <c r="B855" s="1">
        <v>134</v>
      </c>
      <c r="C855" s="1" t="s">
        <v>206</v>
      </c>
      <c r="D855" s="1" t="e">
        <f t="array" aca="1" ref="D855" ca="1">_xludf.XLOOKUP(C855,'country region mapping'!$A$2:$A$250, 'country region mapping'!$E$2:$E$250)</f>
        <v>#NAME?</v>
      </c>
      <c r="E855" s="1" t="e">
        <f t="array" aca="1" ref="E855" ca="1">_xludf.XLOOKUP(C855,'country region mapping'!$A$2:$A$267,'country region mapping'!$F$2:$F$267)</f>
        <v>#NAME?</v>
      </c>
      <c r="F855" s="1" t="e">
        <f t="array" aca="1" ref="F855" ca="1">_xludf.XLOOKUP(C855,'country region mapping'!$A$2:$A$267,'country region mapping'!$G$2:$G$267)</f>
        <v>#NAME?</v>
      </c>
      <c r="G855" s="1">
        <v>4.2270000000000003</v>
      </c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>
      <c r="A856" s="1">
        <v>2020</v>
      </c>
      <c r="B856" s="1">
        <v>135</v>
      </c>
      <c r="C856" s="1" t="s">
        <v>235</v>
      </c>
      <c r="D856" s="1" t="e">
        <f t="array" aca="1" ref="D856" ca="1">_xludf.XLOOKUP(C856,'country region mapping'!$A$2:$A$250, 'country region mapping'!$E$2:$E$250)</f>
        <v>#NAME?</v>
      </c>
      <c r="E856" s="1" t="e">
        <f t="array" aca="1" ref="E856" ca="1">_xludf.XLOOKUP(C856,'country region mapping'!$A$2:$A$267,'country region mapping'!$F$2:$F$267)</f>
        <v>#NAME?</v>
      </c>
      <c r="F856" s="1" t="e">
        <f t="array" aca="1" ref="F856" ca="1">_xludf.XLOOKUP(C856,'country region mapping'!$A$2:$A$267,'country region mapping'!$G$2:$G$267)</f>
        <v>#NAME?</v>
      </c>
      <c r="G856" s="1">
        <v>4.2080000000000002</v>
      </c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>
      <c r="A857" s="1">
        <v>2020</v>
      </c>
      <c r="B857" s="1">
        <v>136</v>
      </c>
      <c r="C857" s="1" t="s">
        <v>247</v>
      </c>
      <c r="D857" s="1" t="e">
        <f t="array" aca="1" ref="D857" ca="1">_xludf.XLOOKUP(C857,'country region mapping'!$A$2:$A$250, 'country region mapping'!$E$2:$E$250)</f>
        <v>#NAME?</v>
      </c>
      <c r="E857" s="1" t="e">
        <f t="array" aca="1" ref="E857" ca="1">_xludf.XLOOKUP(C857,'country region mapping'!$A$2:$A$267,'country region mapping'!$F$2:$F$267)</f>
        <v>#NAME?</v>
      </c>
      <c r="F857" s="1" t="e">
        <f t="array" aca="1" ref="F857" ca="1">_xludf.XLOOKUP(C857,'country region mapping'!$A$2:$A$267,'country region mapping'!$G$2:$G$267)</f>
        <v>#NAME?</v>
      </c>
      <c r="G857" s="1">
        <v>4.1070000000000002</v>
      </c>
      <c r="H857" s="1"/>
      <c r="I857" s="1"/>
      <c r="J857" s="1"/>
      <c r="K857" s="1"/>
      <c r="L857" s="1"/>
      <c r="M857" s="1"/>
      <c r="N857" s="1"/>
      <c r="O857" s="1"/>
      <c r="P857" s="1"/>
      <c r="S857" s="1"/>
    </row>
    <row r="858" spans="1:19">
      <c r="A858" s="1">
        <v>2020</v>
      </c>
      <c r="B858" s="1">
        <v>137</v>
      </c>
      <c r="C858" s="1" t="s">
        <v>170</v>
      </c>
      <c r="D858" s="1" t="e">
        <f t="array" aca="1" ref="D858" ca="1">_xludf.XLOOKUP(C858,'country region mapping'!$A$2:$A$250, 'country region mapping'!$E$2:$E$250)</f>
        <v>#NAME?</v>
      </c>
      <c r="E858" s="1" t="e">
        <f t="array" aca="1" ref="E858" ca="1">_xludf.XLOOKUP(C858,'country region mapping'!$A$2:$A$267,'country region mapping'!$F$2:$F$267)</f>
        <v>#NAME?</v>
      </c>
      <c r="F858" s="1" t="e">
        <f t="array" aca="1" ref="F858" ca="1">_xludf.XLOOKUP(C858,'country region mapping'!$A$2:$A$267,'country region mapping'!$G$2:$G$267)</f>
        <v>#NAME?</v>
      </c>
      <c r="G858" s="1">
        <v>4.0730000000000004</v>
      </c>
      <c r="H858" s="1">
        <v>115</v>
      </c>
      <c r="I858" s="1">
        <v>82</v>
      </c>
      <c r="J858" s="1">
        <v>108</v>
      </c>
      <c r="K858" s="1">
        <v>108</v>
      </c>
      <c r="L858" s="1">
        <v>91</v>
      </c>
      <c r="M858" s="1">
        <v>67</v>
      </c>
      <c r="N858" s="1">
        <v>64</v>
      </c>
      <c r="O858" s="1">
        <v>58</v>
      </c>
      <c r="P858" s="1">
        <v>85</v>
      </c>
      <c r="Q858" s="1">
        <v>67</v>
      </c>
      <c r="R858" s="1">
        <v>16</v>
      </c>
      <c r="S858" s="1">
        <v>5</v>
      </c>
    </row>
    <row r="859" spans="1:19">
      <c r="A859" s="1">
        <v>2020</v>
      </c>
      <c r="B859" s="1">
        <v>138</v>
      </c>
      <c r="C859" s="1" t="s">
        <v>178</v>
      </c>
      <c r="D859" s="1" t="e">
        <f t="array" aca="1" ref="D859" ca="1">_xludf.XLOOKUP(C859,'country region mapping'!$A$2:$A$250, 'country region mapping'!$E$2:$E$250)</f>
        <v>#NAME?</v>
      </c>
      <c r="E859" s="1" t="e">
        <f t="array" aca="1" ref="E859" ca="1">_xludf.XLOOKUP(C859,'country region mapping'!$A$2:$A$267,'country region mapping'!$F$2:$F$267)</f>
        <v>#NAME?</v>
      </c>
      <c r="F859" s="1" t="e">
        <f t="array" aca="1" ref="F859" ca="1">_xludf.XLOOKUP(C859,'country region mapping'!$A$2:$A$267,'country region mapping'!$G$2:$G$267)</f>
        <v>#NAME?</v>
      </c>
      <c r="G859" s="1">
        <v>3.8490000000000002</v>
      </c>
      <c r="H859" s="1"/>
      <c r="I859" s="1"/>
      <c r="J859" s="1"/>
      <c r="K859" s="1"/>
      <c r="L859" s="1"/>
      <c r="M859" s="1"/>
      <c r="N859" s="1"/>
      <c r="O859" s="1"/>
      <c r="P859" s="1"/>
      <c r="S859" s="1"/>
    </row>
    <row r="860" spans="1:19">
      <c r="A860" s="1">
        <v>2020</v>
      </c>
      <c r="B860" s="1">
        <v>139</v>
      </c>
      <c r="C860" s="1" t="s">
        <v>188</v>
      </c>
      <c r="D860" s="1" t="e">
        <f t="array" aca="1" ref="D860" ca="1">_xludf.XLOOKUP(C860,'country region mapping'!$A$2:$A$250, 'country region mapping'!$E$2:$E$250)</f>
        <v>#NAME?</v>
      </c>
      <c r="E860" s="1" t="e">
        <f t="array" aca="1" ref="E860" ca="1">_xludf.XLOOKUP(C860,'country region mapping'!$A$2:$A$267,'country region mapping'!$F$2:$F$267)</f>
        <v>#NAME?</v>
      </c>
      <c r="F860" s="1" t="e">
        <f t="array" aca="1" ref="F860" ca="1">_xludf.XLOOKUP(C860,'country region mapping'!$A$2:$A$267,'country region mapping'!$G$2:$G$267)</f>
        <v>#NAME?</v>
      </c>
      <c r="G860" s="1">
        <v>3.819</v>
      </c>
      <c r="H860" s="1">
        <v>110</v>
      </c>
      <c r="I860" s="1">
        <v>109</v>
      </c>
      <c r="J860" s="1">
        <v>90</v>
      </c>
      <c r="K860" s="1">
        <v>90</v>
      </c>
      <c r="L860" s="1">
        <v>25</v>
      </c>
      <c r="M860" s="1">
        <v>47</v>
      </c>
      <c r="N860" s="1">
        <v>52</v>
      </c>
      <c r="O860" s="1">
        <v>55</v>
      </c>
      <c r="P860" s="1">
        <v>96</v>
      </c>
      <c r="Q860" s="1">
        <v>47</v>
      </c>
      <c r="R860" s="1">
        <v>13</v>
      </c>
      <c r="S860" s="1">
        <v>49</v>
      </c>
    </row>
    <row r="861" spans="1:19">
      <c r="A861" s="1">
        <v>2020</v>
      </c>
      <c r="B861" s="1">
        <v>140</v>
      </c>
      <c r="C861" s="1" t="s">
        <v>250</v>
      </c>
      <c r="D861" s="1" t="e">
        <f t="array" aca="1" ref="D861" ca="1">_xludf.XLOOKUP(C861,'country region mapping'!$A$2:$A$250, 'country region mapping'!$E$2:$E$250)</f>
        <v>#NAME?</v>
      </c>
      <c r="E861" s="1" t="e">
        <f t="array" aca="1" ref="E861" ca="1">_xludf.XLOOKUP(C861,'country region mapping'!$A$2:$A$267,'country region mapping'!$F$2:$F$267)</f>
        <v>#NAME?</v>
      </c>
      <c r="F861" s="1" t="e">
        <f t="array" aca="1" ref="F861" ca="1">_xludf.XLOOKUP(C861,'country region mapping'!$A$2:$A$267,'country region mapping'!$G$2:$G$267)</f>
        <v>#NAME?</v>
      </c>
      <c r="G861" s="1">
        <v>3.7749999999999999</v>
      </c>
      <c r="H861" s="1"/>
      <c r="I861" s="1"/>
      <c r="J861" s="1"/>
      <c r="K861" s="1"/>
      <c r="L861" s="1"/>
      <c r="M861" s="1"/>
      <c r="N861" s="1"/>
      <c r="O861" s="1"/>
      <c r="P861" s="1"/>
      <c r="S861" s="1"/>
    </row>
    <row r="862" spans="1:19">
      <c r="A862" s="1">
        <v>2020</v>
      </c>
      <c r="B862" s="1">
        <v>141</v>
      </c>
      <c r="C862" s="1" t="s">
        <v>233</v>
      </c>
      <c r="D862" s="1" t="e">
        <f t="array" aca="1" ref="D862" ca="1">_xludf.XLOOKUP(C862,'country region mapping'!$A$2:$A$250, 'country region mapping'!$E$2:$E$250)</f>
        <v>#NAME?</v>
      </c>
      <c r="E862" s="1" t="e">
        <f t="array" aca="1" ref="E862" ca="1">_xludf.XLOOKUP(C862,'country region mapping'!$A$2:$A$267,'country region mapping'!$F$2:$F$267)</f>
        <v>#NAME?</v>
      </c>
      <c r="F862" s="1" t="e">
        <f t="array" aca="1" ref="F862" ca="1">_xludf.XLOOKUP(C862,'country region mapping'!$A$2:$A$267,'country region mapping'!$G$2:$G$267)</f>
        <v>#NAME?</v>
      </c>
      <c r="G862" s="1">
        <v>3.6579999999999999</v>
      </c>
      <c r="H862" s="1"/>
      <c r="I862" s="1"/>
      <c r="J862" s="1"/>
      <c r="K862" s="1"/>
      <c r="L862" s="1"/>
      <c r="M862" s="1"/>
      <c r="N862" s="1"/>
      <c r="O862" s="1"/>
      <c r="Q862" s="1"/>
      <c r="R862" s="1"/>
      <c r="S862" s="1"/>
    </row>
    <row r="863" spans="1:19">
      <c r="A863" s="1">
        <v>2020</v>
      </c>
      <c r="B863" s="1">
        <v>142</v>
      </c>
      <c r="C863" s="1" t="s">
        <v>236</v>
      </c>
      <c r="D863" s="1" t="e">
        <f t="array" aca="1" ref="D863" ca="1">_xludf.XLOOKUP(C863,'country region mapping'!$A$2:$A$267,'country region mapping'!$E$2:$E$267)</f>
        <v>#NAME?</v>
      </c>
      <c r="E863" s="1" t="e">
        <f t="array" aca="1" ref="E863" ca="1">_xludf.XLOOKUP(C863,'country region mapping'!$A$2:$A$267,'country region mapping'!$F$2:$F$267)</f>
        <v>#NAME?</v>
      </c>
      <c r="F863" s="1" t="e">
        <f t="array" aca="1" ref="F863" ca="1">_xludf.XLOOKUP(C863,'country region mapping'!$A$2:$A$267,'country region mapping'!$G$2:$G$267)</f>
        <v>#NAME?</v>
      </c>
      <c r="G863" s="1">
        <v>3.6230000000000002</v>
      </c>
      <c r="H863" s="1">
        <v>100</v>
      </c>
      <c r="I863" s="1">
        <v>89</v>
      </c>
      <c r="J863" s="1">
        <v>107</v>
      </c>
      <c r="K863" s="1">
        <v>95</v>
      </c>
      <c r="L863" s="1">
        <v>52</v>
      </c>
      <c r="M863" s="1">
        <v>13</v>
      </c>
      <c r="N863" s="1">
        <v>17</v>
      </c>
      <c r="O863" s="1">
        <v>68</v>
      </c>
      <c r="P863" s="1">
        <v>45</v>
      </c>
      <c r="Q863" s="1">
        <v>13</v>
      </c>
      <c r="R863" s="1">
        <v>61</v>
      </c>
      <c r="S863" s="1">
        <v>69</v>
      </c>
    </row>
    <row r="864" spans="1:19">
      <c r="A864" s="1">
        <v>2020</v>
      </c>
      <c r="B864" s="1">
        <v>143</v>
      </c>
      <c r="C864" s="1" t="s">
        <v>216</v>
      </c>
      <c r="D864" s="1" t="e">
        <f t="array" aca="1" ref="D864" ca="1">_xludf.XLOOKUP(C864,'country region mapping'!$A$2:$A$250, 'country region mapping'!$E$2:$E$250)</f>
        <v>#NAME?</v>
      </c>
      <c r="E864" s="1" t="e">
        <f t="array" aca="1" ref="E864" ca="1">_xludf.XLOOKUP(C864,'country region mapping'!$A$2:$A$267,'country region mapping'!$F$2:$F$267)</f>
        <v>#NAME?</v>
      </c>
      <c r="F864" s="1" t="e">
        <f t="array" aca="1" ref="F864" ca="1">_xludf.XLOOKUP(C864,'country region mapping'!$A$2:$A$267,'country region mapping'!$G$2:$G$267)</f>
        <v>#NAME?</v>
      </c>
      <c r="G864" s="1">
        <v>3.6150000000000002</v>
      </c>
      <c r="H864" s="1"/>
      <c r="I864" s="1"/>
      <c r="J864" s="1"/>
      <c r="K864" s="1"/>
      <c r="L864" s="1"/>
      <c r="M864" s="1"/>
      <c r="N864" s="1"/>
      <c r="O864" s="1"/>
      <c r="Q864" s="1"/>
      <c r="R864" s="1"/>
      <c r="S864" s="1"/>
    </row>
    <row r="865" spans="1:19">
      <c r="A865" s="1">
        <v>2020</v>
      </c>
      <c r="B865" s="1">
        <v>144</v>
      </c>
      <c r="C865" s="1" t="s">
        <v>210</v>
      </c>
      <c r="D865" s="1" t="e">
        <f t="array" aca="1" ref="D865" ca="1">_xludf.XLOOKUP(C865,'country region mapping'!$A$2:$A$250, 'country region mapping'!$E$2:$E$250)</f>
        <v>#NAME?</v>
      </c>
      <c r="E865" s="1" t="e">
        <f t="array" aca="1" ref="E865" ca="1">_xludf.XLOOKUP(C865,'country region mapping'!$A$2:$A$267,'country region mapping'!$F$2:$F$267)</f>
        <v>#NAME?</v>
      </c>
      <c r="F865" s="1" t="e">
        <f t="array" aca="1" ref="F865" ca="1">_xludf.XLOOKUP(C865,'country region mapping'!$A$2:$A$267,'country region mapping'!$G$2:$G$267)</f>
        <v>#NAME?</v>
      </c>
      <c r="G865" s="1">
        <v>3.6</v>
      </c>
      <c r="H865" s="1"/>
      <c r="I865" s="1"/>
      <c r="J865" s="1"/>
      <c r="K865" s="1"/>
      <c r="L865" s="1"/>
      <c r="M865" s="1"/>
      <c r="N865" s="1"/>
      <c r="O865" s="1"/>
      <c r="P865" s="1"/>
      <c r="S865" s="1"/>
    </row>
    <row r="866" spans="1:19">
      <c r="A866" s="1">
        <v>2020</v>
      </c>
      <c r="B866" s="1">
        <v>145</v>
      </c>
      <c r="C866" s="1" t="s">
        <v>321</v>
      </c>
      <c r="D866" s="1" t="e">
        <f t="array" aca="1" ref="D866" ca="1">_xludf.XLOOKUP(C866,'country region mapping'!$A$2:$A$250, 'country region mapping'!$E$2:$E$250)</f>
        <v>#NAME?</v>
      </c>
      <c r="E866" s="1" t="e">
        <f t="array" aca="1" ref="E866" ca="1">_xludf.XLOOKUP(C866,'country region mapping'!$A$2:$A$267,'country region mapping'!$F$2:$F$267)</f>
        <v>#NAME?</v>
      </c>
      <c r="F866" s="1" t="e">
        <f t="array" aca="1" ref="F866" ca="1">_xludf.XLOOKUP(C866,'country region mapping'!$A$2:$A$267,'country region mapping'!$G$2:$G$267)</f>
        <v>#NAME?</v>
      </c>
      <c r="G866" s="1">
        <v>3.512</v>
      </c>
      <c r="H866" s="1"/>
      <c r="I866" s="1"/>
      <c r="J866" s="1"/>
      <c r="K866" s="1"/>
      <c r="L866" s="1"/>
      <c r="M866" s="1"/>
      <c r="N866" s="1"/>
      <c r="O866" s="1"/>
      <c r="Q866" s="1"/>
      <c r="R866" s="1"/>
      <c r="S866" s="1"/>
    </row>
    <row r="867" spans="1:19">
      <c r="A867" s="1">
        <v>2020</v>
      </c>
      <c r="B867" s="1">
        <v>146</v>
      </c>
      <c r="C867" s="1" t="s">
        <v>218</v>
      </c>
      <c r="D867" s="1" t="e">
        <f t="array" aca="1" ref="D867" ca="1">_xludf.XLOOKUP(C867,'country region mapping'!$A$2:$A$250, 'country region mapping'!$E$2:$E$250)</f>
        <v>#NAME?</v>
      </c>
      <c r="E867" s="1" t="e">
        <f t="array" aca="1" ref="E867" ca="1">_xludf.XLOOKUP(C867,'country region mapping'!$A$2:$A$267,'country region mapping'!$F$2:$F$267)</f>
        <v>#NAME?</v>
      </c>
      <c r="F867" s="1" t="e">
        <f t="array" aca="1" ref="F867" ca="1">_xludf.XLOOKUP(C867,'country region mapping'!$A$2:$A$267,'country region mapping'!$G$2:$G$267)</f>
        <v>#NAME?</v>
      </c>
      <c r="G867" s="1">
        <v>3.4670000000000001</v>
      </c>
      <c r="H867" s="1"/>
      <c r="I867" s="1"/>
      <c r="J867" s="1"/>
      <c r="K867" s="1"/>
      <c r="L867" s="1"/>
      <c r="M867" s="1"/>
      <c r="N867" s="1"/>
      <c r="O867" s="1"/>
      <c r="P867" s="1"/>
      <c r="S867" s="1"/>
    </row>
    <row r="868" spans="1:19">
      <c r="A868" s="1">
        <v>2020</v>
      </c>
      <c r="B868" s="1">
        <v>147</v>
      </c>
      <c r="C868" s="1" t="s">
        <v>242</v>
      </c>
      <c r="D868" s="1" t="e">
        <f t="array" aca="1" ref="D868" ca="1">_xludf.XLOOKUP(C868,'country region mapping'!$A$2:$A$250, 'country region mapping'!$E$2:$E$250)</f>
        <v>#NAME?</v>
      </c>
      <c r="E868" s="1" t="e">
        <f t="array" aca="1" ref="E868" ca="1">_xludf.XLOOKUP(C868,'country region mapping'!$A$2:$A$267,'country region mapping'!$F$2:$F$267)</f>
        <v>#NAME?</v>
      </c>
      <c r="F868" s="1" t="e">
        <f t="array" aca="1" ref="F868" ca="1">_xludf.XLOOKUP(C868,'country region mapping'!$A$2:$A$267,'country region mapping'!$G$2:$G$267)</f>
        <v>#NAME?</v>
      </c>
      <c r="G868" s="1">
        <v>3.415</v>
      </c>
      <c r="H868" s="1"/>
      <c r="I868" s="1"/>
      <c r="J868" s="1"/>
      <c r="K868" s="1"/>
      <c r="L868" s="1"/>
      <c r="M868" s="1"/>
      <c r="N868" s="1"/>
      <c r="O868" s="1"/>
      <c r="Q868" s="1"/>
      <c r="R868" s="1"/>
      <c r="S868" s="1"/>
    </row>
    <row r="869" spans="1:19">
      <c r="A869" s="1">
        <v>2020</v>
      </c>
      <c r="B869" s="1">
        <v>148</v>
      </c>
      <c r="C869" s="1" t="s">
        <v>208</v>
      </c>
      <c r="D869" s="1" t="e">
        <f t="array" aca="1" ref="D869" ca="1">_xludf.XLOOKUP(C869,'country region mapping'!$A$2:$A$250, 'country region mapping'!$E$2:$E$250)</f>
        <v>#NAME?</v>
      </c>
      <c r="E869" s="1" t="e">
        <f t="array" aca="1" ref="E869" ca="1">_xludf.XLOOKUP(C869,'country region mapping'!$A$2:$A$267,'country region mapping'!$F$2:$F$267)</f>
        <v>#NAME?</v>
      </c>
      <c r="F869" s="1" t="e">
        <f t="array" aca="1" ref="F869" ca="1">_xludf.XLOOKUP(C869,'country region mapping'!$A$2:$A$267,'country region mapping'!$G$2:$G$267)</f>
        <v>#NAME?</v>
      </c>
      <c r="G869" s="1">
        <v>3.145</v>
      </c>
      <c r="H869" s="1">
        <v>74</v>
      </c>
      <c r="I869" s="1">
        <v>97</v>
      </c>
      <c r="J869" s="1">
        <v>110</v>
      </c>
      <c r="K869" s="1">
        <v>111</v>
      </c>
      <c r="L869" s="1">
        <v>107</v>
      </c>
      <c r="M869" s="1">
        <v>96</v>
      </c>
      <c r="N869" s="1">
        <v>55</v>
      </c>
      <c r="O869" s="1">
        <v>71</v>
      </c>
      <c r="P869" s="1">
        <v>86</v>
      </c>
      <c r="Q869" s="1">
        <v>96</v>
      </c>
      <c r="R869" s="1">
        <v>19</v>
      </c>
      <c r="S869" s="1">
        <v>26</v>
      </c>
    </row>
    <row r="870" spans="1:19">
      <c r="A870" s="1">
        <v>2020</v>
      </c>
      <c r="B870" s="1">
        <v>149</v>
      </c>
      <c r="C870" s="1" t="s">
        <v>245</v>
      </c>
      <c r="D870" s="1" t="e">
        <f t="array" aca="1" ref="D870" ca="1">_xludf.XLOOKUP(C870,'country region mapping'!$A$2:$A$250, 'country region mapping'!$E$2:$E$250)</f>
        <v>#NAME?</v>
      </c>
      <c r="E870" s="1" t="e">
        <f t="array" aca="1" ref="E870" ca="1">_xludf.XLOOKUP(C870,'country region mapping'!$A$2:$A$267,'country region mapping'!$F$2:$F$267)</f>
        <v>#NAME?</v>
      </c>
      <c r="F870" s="1" t="e">
        <f t="array" aca="1" ref="F870" ca="1">_xludf.XLOOKUP(C870,'country region mapping'!$A$2:$A$267,'country region mapping'!$G$2:$G$267)</f>
        <v>#NAME?</v>
      </c>
      <c r="G870" s="1">
        <v>2.5230000000000001</v>
      </c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>
      <c r="A871" s="1">
        <v>2019</v>
      </c>
      <c r="B871" s="1">
        <v>1</v>
      </c>
      <c r="C871" s="1" t="s">
        <v>37</v>
      </c>
      <c r="D871" s="1" t="e">
        <f t="array" aca="1" ref="D871" ca="1">_xludf.XLOOKUP(C871,'country region mapping'!$A$2:$A$250, 'country region mapping'!$E$2:$E$250)</f>
        <v>#NAME?</v>
      </c>
      <c r="E871" s="1" t="e">
        <f t="array" aca="1" ref="E871" ca="1">_xludf.XLOOKUP(C871,'country region mapping'!$A$2:$A$267,'country region mapping'!$F$2:$F$267)</f>
        <v>#NAME?</v>
      </c>
      <c r="F871" s="1" t="e">
        <f t="array" aca="1" ref="F871" ca="1">_xludf.XLOOKUP(C871,'country region mapping'!$A$2:$A$267,'country region mapping'!$G$2:$G$267)</f>
        <v>#NAME?</v>
      </c>
      <c r="G871" s="1">
        <v>7.8090000000000002</v>
      </c>
      <c r="H871" s="1">
        <v>5</v>
      </c>
      <c r="I871" s="1">
        <v>20</v>
      </c>
      <c r="J871" s="1">
        <v>18</v>
      </c>
      <c r="K871" s="1">
        <v>22</v>
      </c>
      <c r="L871" s="1">
        <v>7</v>
      </c>
      <c r="M871" s="1">
        <v>39</v>
      </c>
      <c r="N871" s="1">
        <v>4</v>
      </c>
      <c r="O871" s="1">
        <v>39</v>
      </c>
      <c r="P871" s="1">
        <v>16</v>
      </c>
      <c r="Q871" s="1">
        <v>39</v>
      </c>
      <c r="R871" s="1">
        <v>30</v>
      </c>
      <c r="S871" s="1">
        <v>97</v>
      </c>
    </row>
    <row r="872" spans="1:19">
      <c r="A872" s="1">
        <v>2019</v>
      </c>
      <c r="B872" s="1">
        <v>2</v>
      </c>
      <c r="C872" s="1" t="s">
        <v>30</v>
      </c>
      <c r="D872" s="1" t="e">
        <f t="array" aca="1" ref="D872" ca="1">_xludf.XLOOKUP(C872,'country region mapping'!$A$2:$A$250, 'country region mapping'!$E$2:$E$250)</f>
        <v>#NAME?</v>
      </c>
      <c r="E872" s="1" t="e">
        <f t="array" aca="1" ref="E872" ca="1">_xludf.XLOOKUP(C872,'country region mapping'!$A$2:$A$267,'country region mapping'!$F$2:$F$267)</f>
        <v>#NAME?</v>
      </c>
      <c r="F872" s="1" t="e">
        <f t="array" aca="1" ref="F872" ca="1">_xludf.XLOOKUP(C872,'country region mapping'!$A$2:$A$267,'country region mapping'!$G$2:$G$267)</f>
        <v>#NAME?</v>
      </c>
      <c r="G872" s="1">
        <v>7.6459999999999999</v>
      </c>
      <c r="H872" s="1">
        <v>7</v>
      </c>
      <c r="I872" s="1">
        <v>5</v>
      </c>
      <c r="J872" s="1">
        <v>9</v>
      </c>
      <c r="K872" s="1">
        <v>18</v>
      </c>
      <c r="L872" s="1">
        <v>2</v>
      </c>
      <c r="M872" s="1">
        <v>30</v>
      </c>
      <c r="N872" s="1">
        <v>3</v>
      </c>
      <c r="O872" s="1">
        <v>6</v>
      </c>
      <c r="P872" s="1">
        <v>17</v>
      </c>
      <c r="Q872" s="1">
        <v>30</v>
      </c>
      <c r="R872" s="1">
        <v>65</v>
      </c>
      <c r="S872" s="1">
        <v>67</v>
      </c>
    </row>
    <row r="873" spans="1:19">
      <c r="A873" s="1">
        <v>2019</v>
      </c>
      <c r="B873" s="1">
        <v>3</v>
      </c>
      <c r="C873" s="1" t="s">
        <v>32</v>
      </c>
      <c r="D873" s="1" t="e">
        <f t="array" aca="1" ref="D873" ca="1">_xludf.XLOOKUP(C873,'country region mapping'!$A$2:$A$250, 'country region mapping'!$E$2:$E$250)</f>
        <v>#NAME?</v>
      </c>
      <c r="E873" s="1" t="e">
        <f t="array" aca="1" ref="E873" ca="1">_xludf.XLOOKUP(C873,'country region mapping'!$A$2:$A$267,'country region mapping'!$F$2:$F$267)</f>
        <v>#NAME?</v>
      </c>
      <c r="F873" s="1" t="e">
        <f t="array" aca="1" ref="F873" ca="1">_xludf.XLOOKUP(C873,'country region mapping'!$A$2:$A$267,'country region mapping'!$G$2:$G$267)</f>
        <v>#NAME?</v>
      </c>
      <c r="G873" s="1">
        <v>7.56</v>
      </c>
      <c r="H873" s="1">
        <v>6</v>
      </c>
      <c r="I873" s="1">
        <v>9</v>
      </c>
      <c r="J873" s="1">
        <v>5</v>
      </c>
      <c r="K873" s="1">
        <v>5</v>
      </c>
      <c r="L873" s="1">
        <v>18</v>
      </c>
      <c r="M873" s="1">
        <v>26</v>
      </c>
      <c r="N873" s="1">
        <v>8</v>
      </c>
      <c r="O873" s="1">
        <v>31</v>
      </c>
      <c r="P873" s="1">
        <v>11</v>
      </c>
      <c r="Q873" s="1">
        <v>26</v>
      </c>
      <c r="R873" s="1">
        <v>32</v>
      </c>
      <c r="S873" s="1">
        <v>125</v>
      </c>
    </row>
    <row r="874" spans="1:19">
      <c r="A874" s="1">
        <v>2019</v>
      </c>
      <c r="B874" s="1">
        <v>4</v>
      </c>
      <c r="C874" s="1" t="s">
        <v>34</v>
      </c>
      <c r="D874" s="1" t="e">
        <f t="array" aca="1" ref="D874" ca="1">_xludf.XLOOKUP(C874,'country region mapping'!$A$2:$A$250, 'country region mapping'!$E$2:$E$250)</f>
        <v>#NAME?</v>
      </c>
      <c r="E874" s="1" t="e">
        <f t="array" aca="1" ref="E874" ca="1">_xludf.XLOOKUP(C874,'country region mapping'!$A$2:$A$267,'country region mapping'!$F$2:$F$267)</f>
        <v>#NAME?</v>
      </c>
      <c r="F874" s="1" t="e">
        <f t="array" aca="1" ref="F874" ca="1">_xludf.XLOOKUP(C874,'country region mapping'!$A$2:$A$267,'country region mapping'!$G$2:$G$267)</f>
        <v>#NAME?</v>
      </c>
      <c r="G874" s="1">
        <v>7.5039999999999996</v>
      </c>
      <c r="H874" s="1">
        <v>10</v>
      </c>
      <c r="I874" s="1">
        <v>1</v>
      </c>
      <c r="J874" s="1">
        <v>11</v>
      </c>
      <c r="K874" s="1">
        <v>10</v>
      </c>
      <c r="L874" s="1">
        <v>3</v>
      </c>
      <c r="N874" s="14">
        <v>41</v>
      </c>
      <c r="O874" s="14">
        <v>15</v>
      </c>
      <c r="P874" s="14">
        <v>13</v>
      </c>
      <c r="Q874" s="1"/>
      <c r="R874" s="1"/>
      <c r="S874" s="1"/>
    </row>
    <row r="875" spans="1:19">
      <c r="A875" s="1">
        <v>2019</v>
      </c>
      <c r="B875" s="1">
        <v>5</v>
      </c>
      <c r="C875" s="1" t="s">
        <v>35</v>
      </c>
      <c r="D875" s="1" t="e">
        <f t="array" aca="1" ref="D875" ca="1">_xludf.XLOOKUP(C875,'country region mapping'!$A$2:$A$250, 'country region mapping'!$E$2:$E$250)</f>
        <v>#NAME?</v>
      </c>
      <c r="E875" s="1" t="e">
        <f t="array" aca="1" ref="E875" ca="1">_xludf.XLOOKUP(C875,'country region mapping'!$A$2:$A$267,'country region mapping'!$F$2:$F$267)</f>
        <v>#NAME?</v>
      </c>
      <c r="F875" s="1" t="e">
        <f t="array" aca="1" ref="F875" ca="1">_xludf.XLOOKUP(C875,'country region mapping'!$A$2:$A$267,'country region mapping'!$G$2:$G$267)</f>
        <v>#NAME?</v>
      </c>
      <c r="G875" s="1">
        <v>7.4880000000000004</v>
      </c>
      <c r="H875" s="1">
        <v>13</v>
      </c>
      <c r="I875" s="1">
        <v>17</v>
      </c>
      <c r="J875" s="1">
        <v>4</v>
      </c>
      <c r="K875" s="1">
        <v>11</v>
      </c>
      <c r="L875" s="1">
        <v>5</v>
      </c>
      <c r="M875" s="1">
        <v>14</v>
      </c>
      <c r="N875" s="1">
        <v>7</v>
      </c>
      <c r="O875" s="1">
        <v>16</v>
      </c>
      <c r="P875" s="1">
        <v>24</v>
      </c>
      <c r="Q875" s="1">
        <v>14</v>
      </c>
      <c r="R875" s="1">
        <v>28</v>
      </c>
      <c r="S875" s="1">
        <v>103</v>
      </c>
    </row>
    <row r="876" spans="1:19">
      <c r="A876" s="1">
        <v>2019</v>
      </c>
      <c r="B876" s="1">
        <v>6</v>
      </c>
      <c r="C876" s="1" t="s">
        <v>40</v>
      </c>
      <c r="D876" s="1" t="e">
        <f t="array" aca="1" ref="D876" ca="1">_xludf.XLOOKUP(C876,'country region mapping'!$A$2:$A$267,'country region mapping'!$E$2:$E$267)</f>
        <v>#NAME?</v>
      </c>
      <c r="E876" s="1" t="e">
        <f t="array" aca="1" ref="E876" ca="1">_xludf.XLOOKUP(C876,'country region mapping'!$A$2:$A$267,'country region mapping'!$F$2:$F$267)</f>
        <v>#NAME?</v>
      </c>
      <c r="F876" s="1" t="e">
        <f t="array" aca="1" ref="F876" ca="1">_xludf.XLOOKUP(C876,'country region mapping'!$A$2:$A$267,'country region mapping'!$G$2:$G$267)</f>
        <v>#NAME?</v>
      </c>
      <c r="G876" s="1">
        <v>7.4489999999999998</v>
      </c>
      <c r="H876" s="1">
        <v>2</v>
      </c>
      <c r="I876" s="1">
        <v>18</v>
      </c>
      <c r="J876" s="1">
        <v>8</v>
      </c>
      <c r="K876" s="1"/>
      <c r="L876" s="1">
        <v>38</v>
      </c>
      <c r="M876" s="1">
        <v>5</v>
      </c>
      <c r="N876" s="1">
        <v>9</v>
      </c>
      <c r="O876" s="1">
        <v>43</v>
      </c>
      <c r="P876" s="1">
        <v>43</v>
      </c>
      <c r="Q876" s="1">
        <v>5</v>
      </c>
      <c r="R876" s="1">
        <v>42</v>
      </c>
      <c r="S876" s="1">
        <v>122</v>
      </c>
    </row>
    <row r="877" spans="1:19">
      <c r="A877" s="1">
        <v>2019</v>
      </c>
      <c r="B877" s="1">
        <v>7</v>
      </c>
      <c r="C877" s="1" t="s">
        <v>45</v>
      </c>
      <c r="D877" s="1" t="e">
        <f t="array" aca="1" ref="D877" ca="1">_xludf.XLOOKUP(C877,'country region mapping'!$A$2:$A$250, 'country region mapping'!$E$2:$E$250)</f>
        <v>#NAME?</v>
      </c>
      <c r="E877" s="1" t="e">
        <f t="array" aca="1" ref="E877" ca="1">_xludf.XLOOKUP(C877,'country region mapping'!$A$2:$A$267,'country region mapping'!$F$2:$F$267)</f>
        <v>#NAME?</v>
      </c>
      <c r="F877" s="1" t="e">
        <f t="array" aca="1" ref="F877" ca="1">_xludf.XLOOKUP(C877,'country region mapping'!$A$2:$A$267,'country region mapping'!$G$2:$G$267)</f>
        <v>#NAME?</v>
      </c>
      <c r="G877" s="1">
        <v>7.3529999999999998</v>
      </c>
      <c r="H877" s="1">
        <v>14</v>
      </c>
      <c r="I877" s="1">
        <v>24</v>
      </c>
      <c r="J877" s="1">
        <v>14</v>
      </c>
      <c r="K877" s="1">
        <v>9</v>
      </c>
      <c r="L877" s="1">
        <v>9</v>
      </c>
      <c r="M877" s="1">
        <v>18</v>
      </c>
      <c r="N877" s="1">
        <v>6</v>
      </c>
      <c r="O877" s="1">
        <v>18</v>
      </c>
      <c r="P877" s="1">
        <v>28</v>
      </c>
      <c r="Q877" s="1">
        <v>18</v>
      </c>
      <c r="R877" s="1">
        <v>97</v>
      </c>
      <c r="S877" s="1">
        <v>95</v>
      </c>
    </row>
    <row r="878" spans="1:19">
      <c r="A878" s="1">
        <v>2019</v>
      </c>
      <c r="B878" s="1">
        <v>8</v>
      </c>
      <c r="C878" s="1" t="s">
        <v>42</v>
      </c>
      <c r="D878" s="1" t="e">
        <f t="array" aca="1" ref="D878" ca="1">_xludf.XLOOKUP(C878,'country region mapping'!$A$2:$A$250, 'country region mapping'!$E$2:$E$250)</f>
        <v>#NAME?</v>
      </c>
      <c r="E878" s="1" t="e">
        <f t="array" aca="1" ref="E878" ca="1">_xludf.XLOOKUP(C878,'country region mapping'!$A$2:$A$267,'country region mapping'!$F$2:$F$267)</f>
        <v>#NAME?</v>
      </c>
      <c r="F878" s="1" t="e">
        <f t="array" aca="1" ref="F878" ca="1">_xludf.XLOOKUP(C878,'country region mapping'!$A$2:$A$267,'country region mapping'!$G$2:$G$267)</f>
        <v>#NAME?</v>
      </c>
      <c r="G878" s="1">
        <v>7.3</v>
      </c>
      <c r="H878" s="1">
        <v>30</v>
      </c>
      <c r="I878" s="1">
        <v>19</v>
      </c>
      <c r="J878" s="1">
        <v>27</v>
      </c>
      <c r="K878" s="1">
        <v>26</v>
      </c>
      <c r="L878" s="1">
        <v>19</v>
      </c>
      <c r="M878" s="1">
        <v>11</v>
      </c>
      <c r="N878" s="1">
        <v>5</v>
      </c>
      <c r="O878" s="1">
        <v>20</v>
      </c>
      <c r="P878" s="1">
        <v>21</v>
      </c>
      <c r="Q878" s="1">
        <v>11</v>
      </c>
      <c r="R878" s="1">
        <v>8</v>
      </c>
      <c r="S878" s="1">
        <v>56</v>
      </c>
    </row>
    <row r="879" spans="1:19">
      <c r="A879" s="1">
        <v>2019</v>
      </c>
      <c r="B879" s="1">
        <v>9</v>
      </c>
      <c r="C879" s="1" t="s">
        <v>49</v>
      </c>
      <c r="D879" s="1" t="e">
        <f t="array" aca="1" ref="D879" ca="1">_xludf.XLOOKUP(C879,'country region mapping'!$A$2:$A$250, 'country region mapping'!$E$2:$E$250)</f>
        <v>#NAME?</v>
      </c>
      <c r="E879" s="1" t="e">
        <f t="array" aca="1" ref="E879" ca="1">_xludf.XLOOKUP(C879,'country region mapping'!$A$2:$A$267,'country region mapping'!$F$2:$F$267)</f>
        <v>#NAME?</v>
      </c>
      <c r="F879" s="1" t="e">
        <f t="array" aca="1" ref="F879" ca="1">_xludf.XLOOKUP(C879,'country region mapping'!$A$2:$A$267,'country region mapping'!$G$2:$G$267)</f>
        <v>#NAME?</v>
      </c>
      <c r="G879" s="1">
        <v>7.2939999999999996</v>
      </c>
      <c r="H879" s="1">
        <v>11</v>
      </c>
      <c r="I879" s="1">
        <v>3</v>
      </c>
      <c r="J879" s="1">
        <v>12</v>
      </c>
      <c r="K879" s="1">
        <v>17</v>
      </c>
      <c r="L879" s="1">
        <v>25</v>
      </c>
      <c r="M879" s="1">
        <v>24</v>
      </c>
      <c r="N879" s="1">
        <v>15</v>
      </c>
      <c r="O879" s="1">
        <v>46</v>
      </c>
      <c r="P879" s="1">
        <v>30</v>
      </c>
      <c r="Q879" s="1">
        <v>24</v>
      </c>
      <c r="R879" s="1">
        <v>37</v>
      </c>
      <c r="S879" s="1">
        <v>79</v>
      </c>
    </row>
    <row r="880" spans="1:19">
      <c r="A880" s="1">
        <v>2019</v>
      </c>
      <c r="B880" s="1">
        <v>10</v>
      </c>
      <c r="C880" s="1" t="s">
        <v>59</v>
      </c>
      <c r="D880" s="1" t="e">
        <f t="array" aca="1" ref="D880" ca="1">_xludf.XLOOKUP(C880,'country region mapping'!$A$2:$A$250, 'country region mapping'!$E$2:$E$250)</f>
        <v>#NAME?</v>
      </c>
      <c r="E880" s="1" t="e">
        <f t="array" aca="1" ref="E880" ca="1">_xludf.XLOOKUP(C880,'country region mapping'!$A$2:$A$267,'country region mapping'!$F$2:$F$267)</f>
        <v>#NAME?</v>
      </c>
      <c r="F880" s="1" t="e">
        <f t="array" aca="1" ref="F880" ca="1">_xludf.XLOOKUP(C880,'country region mapping'!$A$2:$A$267,'country region mapping'!$G$2:$G$267)</f>
        <v>#NAME?</v>
      </c>
      <c r="G880" s="1">
        <v>7.2380000000000004</v>
      </c>
      <c r="H880" s="1">
        <v>1</v>
      </c>
      <c r="I880" s="1">
        <v>35</v>
      </c>
      <c r="J880" s="1">
        <v>1</v>
      </c>
      <c r="K880" s="1">
        <v>7</v>
      </c>
      <c r="L880" s="1">
        <v>11</v>
      </c>
      <c r="M880" s="1">
        <v>31</v>
      </c>
      <c r="N880" s="1">
        <v>11</v>
      </c>
      <c r="O880" s="1">
        <v>32</v>
      </c>
      <c r="P880" s="1">
        <v>34</v>
      </c>
      <c r="Q880" s="1">
        <v>31</v>
      </c>
      <c r="R880" s="1">
        <v>22</v>
      </c>
      <c r="S880" s="1">
        <v>132</v>
      </c>
    </row>
    <row r="881" spans="1:19">
      <c r="A881" s="1">
        <v>2019</v>
      </c>
      <c r="B881" s="1">
        <v>11</v>
      </c>
      <c r="C881" s="1" t="s">
        <v>38</v>
      </c>
      <c r="D881" s="1" t="e">
        <f t="array" aca="1" ref="D881" ca="1">_xludf.XLOOKUP(C881,'country region mapping'!$A$2:$A$250, 'country region mapping'!$E$2:$E$250)</f>
        <v>#NAME?</v>
      </c>
      <c r="E881" s="1" t="e">
        <f t="array" aca="1" ref="E881" ca="1">_xludf.XLOOKUP(C881,'country region mapping'!$A$2:$A$267,'country region mapping'!$F$2:$F$267)</f>
        <v>#NAME?</v>
      </c>
      <c r="F881" s="1" t="e">
        <f t="array" aca="1" ref="F881" ca="1">_xludf.XLOOKUP(C881,'country region mapping'!$A$2:$A$267,'country region mapping'!$G$2:$G$267)</f>
        <v>#NAME?</v>
      </c>
      <c r="G881" s="1">
        <v>7.2320000000000002</v>
      </c>
      <c r="H881" s="1">
        <v>28</v>
      </c>
      <c r="I881" s="1">
        <v>27</v>
      </c>
      <c r="J881" s="1">
        <v>17</v>
      </c>
      <c r="K881" s="1">
        <v>19</v>
      </c>
      <c r="L881" s="1">
        <v>20</v>
      </c>
      <c r="M881" s="1">
        <v>17</v>
      </c>
      <c r="N881" s="1">
        <v>14</v>
      </c>
      <c r="O881" s="1">
        <v>17</v>
      </c>
      <c r="P881" s="1">
        <v>79</v>
      </c>
      <c r="Q881" s="1">
        <v>17</v>
      </c>
      <c r="R881" s="1">
        <v>15</v>
      </c>
      <c r="S881" s="1">
        <v>31</v>
      </c>
    </row>
    <row r="882" spans="1:19">
      <c r="A882" s="1">
        <v>2019</v>
      </c>
      <c r="B882" s="1">
        <v>12</v>
      </c>
      <c r="C882" s="1" t="s">
        <v>43</v>
      </c>
      <c r="D882" s="1" t="e">
        <f t="array" aca="1" ref="D882" ca="1">_xludf.XLOOKUP(C882,'country region mapping'!$A$2:$A$250, 'country region mapping'!$E$2:$E$250)</f>
        <v>#NAME?</v>
      </c>
      <c r="E882" s="1" t="e">
        <f t="array" aca="1" ref="E882" ca="1">_xludf.XLOOKUP(C882,'country region mapping'!$A$2:$A$267,'country region mapping'!$F$2:$F$267)</f>
        <v>#NAME?</v>
      </c>
      <c r="F882" s="1" t="e">
        <f t="array" aca="1" ref="F882" ca="1">_xludf.XLOOKUP(C882,'country region mapping'!$A$2:$A$267,'country region mapping'!$G$2:$G$267)</f>
        <v>#NAME?</v>
      </c>
      <c r="G882" s="1">
        <v>7.2229999999999999</v>
      </c>
      <c r="H882" s="1">
        <v>21</v>
      </c>
      <c r="I882" s="1">
        <v>15</v>
      </c>
      <c r="J882" s="1">
        <v>16</v>
      </c>
      <c r="K882" s="1">
        <v>20</v>
      </c>
      <c r="L882" s="1">
        <v>16</v>
      </c>
      <c r="M882" s="1">
        <v>15</v>
      </c>
      <c r="N882" s="1">
        <v>12</v>
      </c>
      <c r="O882" s="1">
        <v>45</v>
      </c>
      <c r="P882" s="1">
        <v>29</v>
      </c>
      <c r="Q882" s="1">
        <v>15</v>
      </c>
      <c r="R882" s="1">
        <v>16</v>
      </c>
      <c r="S882" s="1">
        <v>47</v>
      </c>
    </row>
    <row r="883" spans="1:19">
      <c r="A883" s="1">
        <v>2019</v>
      </c>
      <c r="B883" s="1">
        <v>13</v>
      </c>
      <c r="C883" s="1" t="s">
        <v>64</v>
      </c>
      <c r="D883" s="1" t="e">
        <f t="array" aca="1" ref="D883" ca="1">_xludf.XLOOKUP(C883,'country region mapping'!$A$2:$A$267,'country region mapping'!$E$2:$E$267)</f>
        <v>#NAME?</v>
      </c>
      <c r="E883" s="1" t="e">
        <f t="array" aca="1" ref="E883" ca="1">_xludf.XLOOKUP(C883,'country region mapping'!$A$2:$A$267,'country region mapping'!$F$2:$F$267)</f>
        <v>#NAME?</v>
      </c>
      <c r="F883" s="1" t="e">
        <f t="array" aca="1" ref="F883" ca="1">_xludf.XLOOKUP(C883,'country region mapping'!$A$2:$A$267,'country region mapping'!$G$2:$G$267)</f>
        <v>#NAME?</v>
      </c>
      <c r="G883" s="1">
        <v>7.165</v>
      </c>
      <c r="H883" s="1">
        <v>18</v>
      </c>
      <c r="I883" s="1">
        <v>16</v>
      </c>
      <c r="J883" s="1">
        <v>24</v>
      </c>
      <c r="K883" s="1">
        <v>27</v>
      </c>
      <c r="L883" s="1">
        <v>54</v>
      </c>
      <c r="M883" s="1">
        <v>3</v>
      </c>
      <c r="N883" s="1">
        <v>18</v>
      </c>
      <c r="O883" s="1">
        <v>34</v>
      </c>
      <c r="P883" s="1">
        <v>58</v>
      </c>
      <c r="Q883" s="1">
        <v>3</v>
      </c>
      <c r="R883" s="1">
        <v>11</v>
      </c>
      <c r="S883" s="1">
        <v>32</v>
      </c>
    </row>
    <row r="884" spans="1:19">
      <c r="A884" s="1">
        <v>2019</v>
      </c>
      <c r="B884" s="1">
        <v>14</v>
      </c>
      <c r="C884" s="1" t="s">
        <v>47</v>
      </c>
      <c r="D884" s="1" t="e">
        <f t="array" aca="1" ref="D884" ca="1">_xludf.XLOOKUP(C884,'country region mapping'!$A$2:$A$250, 'country region mapping'!$E$2:$E$250)</f>
        <v>#NAME?</v>
      </c>
      <c r="E884" s="1" t="e">
        <f t="array" aca="1" ref="E884" ca="1">_xludf.XLOOKUP(C884,'country region mapping'!$A$2:$A$267,'country region mapping'!$F$2:$F$267)</f>
        <v>#NAME?</v>
      </c>
      <c r="F884" s="1" t="e">
        <f t="array" aca="1" ref="F884" ca="1">_xludf.XLOOKUP(C884,'country region mapping'!$A$2:$A$267,'country region mapping'!$G$2:$G$267)</f>
        <v>#NAME?</v>
      </c>
      <c r="G884" s="1">
        <v>7.1289999999999996</v>
      </c>
      <c r="H884" s="1">
        <v>9</v>
      </c>
      <c r="I884" s="1">
        <v>12</v>
      </c>
      <c r="J884" s="1">
        <v>33</v>
      </c>
      <c r="K884" s="1">
        <v>6</v>
      </c>
      <c r="L884" s="1">
        <v>62</v>
      </c>
      <c r="M884" s="1">
        <v>23</v>
      </c>
      <c r="N884" s="1">
        <v>57</v>
      </c>
      <c r="O884" s="1">
        <v>102</v>
      </c>
      <c r="P884" s="1">
        <v>65</v>
      </c>
      <c r="Q884" s="1">
        <v>23</v>
      </c>
      <c r="R884" s="1">
        <v>38</v>
      </c>
      <c r="S884" s="1">
        <v>70</v>
      </c>
    </row>
    <row r="885" spans="1:19">
      <c r="A885" s="1">
        <v>2019</v>
      </c>
      <c r="B885" s="1">
        <v>15</v>
      </c>
      <c r="C885" s="1" t="s">
        <v>52</v>
      </c>
      <c r="D885" s="1" t="e">
        <f t="array" aca="1" ref="D885" ca="1">_xludf.XLOOKUP(C885,'country region mapping'!$A$2:$A$250, 'country region mapping'!$E$2:$E$250)</f>
        <v>#NAME?</v>
      </c>
      <c r="E885" s="1" t="e">
        <f t="array" aca="1" ref="E885" ca="1">_xludf.XLOOKUP(C885,'country region mapping'!$A$2:$A$267,'country region mapping'!$F$2:$F$267)</f>
        <v>#NAME?</v>
      </c>
      <c r="F885" s="1" t="e">
        <f t="array" aca="1" ref="F885" ca="1">_xludf.XLOOKUP(C885,'country region mapping'!$A$2:$A$267,'country region mapping'!$G$2:$G$267)</f>
        <v>#NAME?</v>
      </c>
      <c r="G885" s="1">
        <v>7.1210000000000004</v>
      </c>
      <c r="H885" s="1">
        <v>55</v>
      </c>
      <c r="I885" s="1">
        <v>38</v>
      </c>
      <c r="J885" s="1">
        <v>56</v>
      </c>
      <c r="K885" s="1">
        <v>31</v>
      </c>
      <c r="L885" s="1">
        <v>13</v>
      </c>
      <c r="M885" s="1">
        <v>97</v>
      </c>
      <c r="N885" s="1">
        <v>95</v>
      </c>
      <c r="O885" s="1">
        <v>11</v>
      </c>
      <c r="P885" s="1">
        <v>85</v>
      </c>
      <c r="Q885" s="1">
        <v>97</v>
      </c>
      <c r="R885" s="1">
        <v>82</v>
      </c>
      <c r="S885" s="1">
        <v>74</v>
      </c>
    </row>
    <row r="886" spans="1:19">
      <c r="A886" s="1">
        <v>2019</v>
      </c>
      <c r="B886" s="1">
        <v>16</v>
      </c>
      <c r="C886" s="1" t="s">
        <v>57</v>
      </c>
      <c r="D886" s="1" t="e">
        <f t="array" aca="1" ref="D886" ca="1">_xludf.XLOOKUP(C886,'country region mapping'!$A$2:$A$250, 'country region mapping'!$E$2:$E$250)</f>
        <v>#NAME?</v>
      </c>
      <c r="E886" s="1" t="e">
        <f t="array" aca="1" ref="E886" ca="1">_xludf.XLOOKUP(C886,'country region mapping'!$A$2:$A$267,'country region mapping'!$F$2:$F$267)</f>
        <v>#NAME?</v>
      </c>
      <c r="F886" s="1" t="e">
        <f t="array" aca="1" ref="F886" ca="1">_xludf.XLOOKUP(C886,'country region mapping'!$A$2:$A$267,'country region mapping'!$G$2:$G$267)</f>
        <v>#NAME?</v>
      </c>
      <c r="G886" s="1">
        <v>7.0940000000000003</v>
      </c>
      <c r="H886" s="1">
        <v>19</v>
      </c>
      <c r="I886" s="1">
        <v>14</v>
      </c>
      <c r="J886" s="1">
        <v>3</v>
      </c>
      <c r="K886" s="1">
        <v>15</v>
      </c>
      <c r="L886" s="1">
        <v>33</v>
      </c>
      <c r="M886" s="1">
        <v>16</v>
      </c>
      <c r="N886" s="1">
        <v>10</v>
      </c>
      <c r="O886" s="1">
        <v>25</v>
      </c>
      <c r="P886" s="1">
        <v>39</v>
      </c>
      <c r="Q886" s="1">
        <v>16</v>
      </c>
      <c r="R886" s="1">
        <v>19</v>
      </c>
      <c r="S886" s="1">
        <v>63</v>
      </c>
    </row>
    <row r="887" spans="1:19">
      <c r="A887" s="1">
        <v>2019</v>
      </c>
      <c r="B887" s="1">
        <v>17</v>
      </c>
      <c r="C887" s="1" t="s">
        <v>539</v>
      </c>
      <c r="D887" s="1" t="e">
        <f t="array" aca="1" ref="D887" ca="1">_xludf.XLOOKUP(C887,'country region mapping'!$A$2:$A$250, 'country region mapping'!$E$2:$E$250)</f>
        <v>#NAME?</v>
      </c>
      <c r="E887" s="1" t="e">
        <f t="array" aca="1" ref="E887" ca="1">_xludf.XLOOKUP(C887,'country region mapping'!$A$2:$A$267,'country region mapping'!$F$2:$F$267)</f>
        <v>#NAME?</v>
      </c>
      <c r="F887" s="1" t="e">
        <f t="array" aca="1" ref="F887" ca="1">_xludf.XLOOKUP(C887,'country region mapping'!$A$2:$A$267,'country region mapping'!$G$2:$G$267)</f>
        <v>#NAME?</v>
      </c>
      <c r="G887" s="1">
        <v>7.0759999999999996</v>
      </c>
      <c r="H887" s="1">
        <v>27</v>
      </c>
      <c r="I887" s="1">
        <v>49</v>
      </c>
      <c r="J887" s="1">
        <v>13</v>
      </c>
      <c r="K887" s="1">
        <v>29</v>
      </c>
      <c r="L887" s="1">
        <v>39</v>
      </c>
      <c r="M887" s="1">
        <v>25</v>
      </c>
      <c r="N887" s="1">
        <v>17</v>
      </c>
      <c r="O887" s="1">
        <v>52</v>
      </c>
      <c r="P887" s="1">
        <v>40</v>
      </c>
      <c r="Q887" s="1">
        <v>25</v>
      </c>
      <c r="R887" s="1">
        <v>54</v>
      </c>
      <c r="S887" s="1">
        <v>101</v>
      </c>
    </row>
    <row r="888" spans="1:19">
      <c r="A888" s="1">
        <v>2019</v>
      </c>
      <c r="B888" s="1">
        <v>18</v>
      </c>
      <c r="C888" s="1" t="s">
        <v>51</v>
      </c>
      <c r="D888" s="1" t="e">
        <f t="array" aca="1" ref="D888" ca="1">_xludf.XLOOKUP(C888,'country region mapping'!$A$2:$A$267,'country region mapping'!$E$2:$E$267)</f>
        <v>#NAME?</v>
      </c>
      <c r="E888" s="1" t="e">
        <f t="array" aca="1" ref="E888" ca="1">_xludf.XLOOKUP(C888,'country region mapping'!$A$2:$A$267,'country region mapping'!$F$2:$F$267)</f>
        <v>#NAME?</v>
      </c>
      <c r="F888" s="1" t="e">
        <f t="array" aca="1" ref="F888" ca="1">_xludf.XLOOKUP(C888,'country region mapping'!$A$2:$A$267,'country region mapping'!$G$2:$G$267)</f>
        <v>#NAME?</v>
      </c>
      <c r="G888" s="1">
        <v>6.94</v>
      </c>
      <c r="H888" s="1">
        <v>29</v>
      </c>
      <c r="I888" s="1">
        <v>32</v>
      </c>
      <c r="J888" s="1">
        <v>6</v>
      </c>
      <c r="K888" s="1">
        <v>63</v>
      </c>
      <c r="L888" s="1">
        <v>61</v>
      </c>
      <c r="M888" s="1">
        <v>9</v>
      </c>
      <c r="N888" s="1">
        <v>42</v>
      </c>
      <c r="O888" s="1">
        <v>26</v>
      </c>
      <c r="P888" s="1">
        <v>55</v>
      </c>
      <c r="Q888" s="1">
        <v>9</v>
      </c>
      <c r="R888" s="1">
        <v>9</v>
      </c>
      <c r="S888" s="1">
        <v>15</v>
      </c>
    </row>
    <row r="889" spans="1:19">
      <c r="A889" s="1">
        <v>2019</v>
      </c>
      <c r="B889" s="1">
        <v>19</v>
      </c>
      <c r="C889" s="1" t="s">
        <v>70</v>
      </c>
      <c r="D889" s="1" t="e">
        <f t="array" aca="1" ref="D889" ca="1">_xludf.XLOOKUP(C889,'country region mapping'!$A$2:$A$250, 'country region mapping'!$E$2:$E$250)</f>
        <v>#NAME?</v>
      </c>
      <c r="E889" s="1" t="e">
        <f t="array" aca="1" ref="E889" ca="1">_xludf.XLOOKUP(C889,'country region mapping'!$A$2:$A$267,'country region mapping'!$F$2:$F$267)</f>
        <v>#NAME?</v>
      </c>
      <c r="F889" s="1" t="e">
        <f t="array" aca="1" ref="F889" ca="1">_xludf.XLOOKUP(C889,'country region mapping'!$A$2:$A$267,'country region mapping'!$G$2:$G$267)</f>
        <v>#NAME?</v>
      </c>
      <c r="G889" s="1">
        <v>6.9109999999999996</v>
      </c>
      <c r="H889" s="1"/>
      <c r="I889" s="1"/>
      <c r="J889" s="1"/>
      <c r="K889" s="1"/>
      <c r="L889" s="1"/>
      <c r="M889" s="1"/>
      <c r="N889" s="1"/>
      <c r="O889" s="1"/>
      <c r="P889" s="1"/>
      <c r="Q889" s="1"/>
      <c r="S889" s="1"/>
    </row>
    <row r="890" spans="1:19">
      <c r="A890" s="1">
        <v>2019</v>
      </c>
      <c r="B890" s="1">
        <v>20</v>
      </c>
      <c r="C890" s="1" t="s">
        <v>415</v>
      </c>
      <c r="D890" s="1" t="e">
        <f t="array" aca="1" ref="D890" ca="1">_xludf.XLOOKUP(C890,'country region mapping'!$A$2:$A$250, 'country region mapping'!$E$2:$E$250)</f>
        <v>#NAME?</v>
      </c>
      <c r="E890" s="1" t="e">
        <f t="array" aca="1" ref="E890" ca="1">_xludf.XLOOKUP(C890,'country region mapping'!$A$2:$A$267,'country region mapping'!$F$2:$F$267)</f>
        <v>#NAME?</v>
      </c>
      <c r="F890" s="1" t="e">
        <f t="array" aca="1" ref="F890" ca="1">_xludf.XLOOKUP(C890,'country region mapping'!$A$2:$A$267,'country region mapping'!$G$2:$G$267)</f>
        <v>#NAME?</v>
      </c>
      <c r="G890" s="1">
        <v>6.8639999999999999</v>
      </c>
      <c r="H890" s="1">
        <v>15</v>
      </c>
      <c r="I890" s="1">
        <v>50</v>
      </c>
      <c r="J890" s="1">
        <v>15</v>
      </c>
      <c r="K890" s="1">
        <v>23</v>
      </c>
      <c r="L890" s="1">
        <v>85</v>
      </c>
      <c r="M890" s="1">
        <v>77</v>
      </c>
      <c r="N890" s="1">
        <v>32</v>
      </c>
      <c r="O890" s="1">
        <v>60</v>
      </c>
      <c r="P890" s="1">
        <v>52</v>
      </c>
      <c r="Q890" s="1">
        <v>77</v>
      </c>
      <c r="R890" s="1">
        <v>63</v>
      </c>
      <c r="S890" s="1">
        <v>129</v>
      </c>
    </row>
    <row r="891" spans="1:19">
      <c r="A891" s="1">
        <v>2019</v>
      </c>
      <c r="B891" s="1">
        <v>21</v>
      </c>
      <c r="C891" s="1" t="s">
        <v>71</v>
      </c>
      <c r="D891" s="1" t="e">
        <f t="array" aca="1" ref="D891" ca="1">_xludf.XLOOKUP(C891,'country region mapping'!$A$2:$A$250, 'country region mapping'!$E$2:$E$250)</f>
        <v>#NAME?</v>
      </c>
      <c r="E891" s="1" t="e">
        <f t="array" aca="1" ref="E891" ca="1">_xludf.XLOOKUP(C891,'country region mapping'!$A$2:$A$267,'country region mapping'!$F$2:$F$267)</f>
        <v>#NAME?</v>
      </c>
      <c r="F891" s="1" t="e">
        <f t="array" aca="1" ref="F891" ca="1">_xludf.XLOOKUP(C891,'country region mapping'!$A$2:$A$267,'country region mapping'!$G$2:$G$267)</f>
        <v>#NAME?</v>
      </c>
      <c r="G891" s="1">
        <v>6.7910000000000004</v>
      </c>
      <c r="H891" s="1">
        <v>69</v>
      </c>
      <c r="I891" s="1">
        <v>66</v>
      </c>
      <c r="J891" s="1">
        <v>7</v>
      </c>
      <c r="K891" s="1">
        <v>28</v>
      </c>
      <c r="L891" s="1">
        <v>21</v>
      </c>
      <c r="M891" s="1">
        <v>10</v>
      </c>
      <c r="O891" s="14">
        <v>40</v>
      </c>
      <c r="P891" s="14">
        <v>78</v>
      </c>
      <c r="Q891" s="14">
        <v>10</v>
      </c>
      <c r="R891" s="14">
        <v>40</v>
      </c>
      <c r="S891" s="14">
        <v>25</v>
      </c>
    </row>
    <row r="892" spans="1:19">
      <c r="A892" s="1">
        <v>2019</v>
      </c>
      <c r="B892" s="1">
        <v>22</v>
      </c>
      <c r="C892" s="1" t="s">
        <v>74</v>
      </c>
      <c r="D892" s="1" t="e">
        <f t="array" aca="1" ref="D892" ca="1">_xludf.XLOOKUP(C892,'country region mapping'!$A$2:$A$250, 'country region mapping'!$E$2:$E$250)</f>
        <v>#NAME?</v>
      </c>
      <c r="E892" s="1" t="e">
        <f t="array" aca="1" ref="E892" ca="1">_xludf.XLOOKUP(C892,'country region mapping'!$A$2:$A$267,'country region mapping'!$F$2:$F$267)</f>
        <v>#NAME?</v>
      </c>
      <c r="F892" s="1" t="e">
        <f t="array" aca="1" ref="F892" ca="1">_xludf.XLOOKUP(C892,'country region mapping'!$A$2:$A$267,'country region mapping'!$G$2:$G$267)</f>
        <v>#NAME?</v>
      </c>
      <c r="G892" s="1">
        <v>6.7729999999999997</v>
      </c>
      <c r="H892" s="1">
        <v>33</v>
      </c>
      <c r="I892" s="1">
        <v>29</v>
      </c>
      <c r="J892" s="1">
        <v>23</v>
      </c>
      <c r="K892" s="1">
        <v>12</v>
      </c>
      <c r="L892" s="1">
        <v>14</v>
      </c>
      <c r="M892" s="1">
        <v>21</v>
      </c>
      <c r="N892" s="1">
        <v>38</v>
      </c>
      <c r="O892" s="1">
        <v>87</v>
      </c>
      <c r="P892" s="1">
        <v>107</v>
      </c>
      <c r="Q892" s="1">
        <v>21</v>
      </c>
      <c r="R892" s="1">
        <v>56</v>
      </c>
      <c r="S892" s="1">
        <v>111</v>
      </c>
    </row>
    <row r="893" spans="1:19">
      <c r="A893" s="1">
        <v>2019</v>
      </c>
      <c r="B893" s="1">
        <v>23</v>
      </c>
      <c r="C893" s="1" t="s">
        <v>76</v>
      </c>
      <c r="D893" s="1" t="e">
        <f t="array" aca="1" ref="D893" ca="1">_xludf.XLOOKUP(C893,'country region mapping'!$A$2:$A$250, 'country region mapping'!$E$2:$E$250)</f>
        <v>#NAME?</v>
      </c>
      <c r="E893" s="1" t="e">
        <f t="array" aca="1" ref="E893" ca="1">_xludf.XLOOKUP(C893,'country region mapping'!$A$2:$A$267,'country region mapping'!$F$2:$F$267)</f>
        <v>#NAME?</v>
      </c>
      <c r="F893" s="1" t="e">
        <f t="array" aca="1" ref="F893" ca="1">_xludf.XLOOKUP(C893,'country region mapping'!$A$2:$A$267,'country region mapping'!$G$2:$G$267)</f>
        <v>#NAME?</v>
      </c>
      <c r="G893" s="1">
        <v>6.6639999999999997</v>
      </c>
      <c r="H893" s="1">
        <v>20</v>
      </c>
      <c r="I893" s="1">
        <v>4</v>
      </c>
      <c r="J893" s="1">
        <v>22</v>
      </c>
      <c r="K893" s="1">
        <v>14</v>
      </c>
      <c r="L893" s="1">
        <v>67</v>
      </c>
      <c r="M893" s="1">
        <v>61</v>
      </c>
      <c r="N893" s="1">
        <v>22</v>
      </c>
      <c r="O893" s="1">
        <v>62</v>
      </c>
      <c r="P893" s="1">
        <v>56</v>
      </c>
      <c r="Q893" s="1">
        <v>61</v>
      </c>
      <c r="R893" s="1">
        <v>26</v>
      </c>
      <c r="S893" s="1">
        <v>130</v>
      </c>
    </row>
    <row r="894" spans="1:19">
      <c r="A894" s="1">
        <v>2019</v>
      </c>
      <c r="B894" s="1">
        <v>24</v>
      </c>
      <c r="C894" s="1" t="s">
        <v>61</v>
      </c>
      <c r="D894" s="1" t="e">
        <f t="array" aca="1" ref="D894" ca="1">_xludf.XLOOKUP(C894,'country region mapping'!$A$2:$A$250, 'country region mapping'!$E$2:$E$250)</f>
        <v>#NAME?</v>
      </c>
      <c r="E894" s="1" t="e">
        <f t="array" aca="1" ref="E894" ca="1">_xludf.XLOOKUP(C894,'country region mapping'!$A$2:$A$267,'country region mapping'!$F$2:$F$267)</f>
        <v>#NAME?</v>
      </c>
      <c r="F894" s="1" t="e">
        <f t="array" aca="1" ref="F894" ca="1">_xludf.XLOOKUP(C894,'country region mapping'!$A$2:$A$267,'country region mapping'!$G$2:$G$267)</f>
        <v>#NAME?</v>
      </c>
      <c r="G894" s="1">
        <v>6.4649999999999999</v>
      </c>
      <c r="H894" s="1">
        <v>77</v>
      </c>
      <c r="I894" s="1">
        <v>68</v>
      </c>
      <c r="J894" s="1">
        <v>58</v>
      </c>
      <c r="K894" s="1">
        <v>68</v>
      </c>
      <c r="L894" s="1">
        <v>26</v>
      </c>
      <c r="M894" s="1">
        <v>93</v>
      </c>
      <c r="N894" s="1">
        <v>80</v>
      </c>
      <c r="O894" s="1">
        <v>4</v>
      </c>
      <c r="P894" s="1">
        <v>60</v>
      </c>
      <c r="Q894" s="1">
        <v>93</v>
      </c>
      <c r="R894" s="1">
        <v>83</v>
      </c>
      <c r="S894" s="1">
        <v>66</v>
      </c>
    </row>
    <row r="895" spans="1:19">
      <c r="A895" s="1">
        <v>2019</v>
      </c>
      <c r="B895" s="1">
        <v>25</v>
      </c>
      <c r="C895" s="1" t="s">
        <v>81</v>
      </c>
      <c r="D895" s="1" t="e">
        <f t="array" aca="1" ref="D895" ca="1">_xludf.XLOOKUP(C895,'country region mapping'!$A$2:$A$267,'country region mapping'!$E$2:$E$267)</f>
        <v>#NAME?</v>
      </c>
      <c r="E895" s="1" t="e">
        <f t="array" aca="1" ref="E895" ca="1">_xludf.XLOOKUP(C895,'country region mapping'!$A$2:$A$267,'country region mapping'!$F$2:$F$267)</f>
        <v>#NAME?</v>
      </c>
      <c r="F895" s="1" t="e">
        <f t="array" aca="1" ref="F895" ca="1">_xludf.XLOOKUP(C895,'country region mapping'!$A$2:$A$267,'country region mapping'!$G$2:$G$267)</f>
        <v>#NAME?</v>
      </c>
      <c r="G895" s="1">
        <v>6.4550000000000001</v>
      </c>
      <c r="H895" s="1">
        <v>24</v>
      </c>
      <c r="I895" s="1">
        <v>43</v>
      </c>
      <c r="J895" s="1">
        <v>21</v>
      </c>
      <c r="K895" s="1"/>
      <c r="L895" s="1">
        <v>74</v>
      </c>
      <c r="M895" s="1">
        <v>59</v>
      </c>
      <c r="N895" s="1">
        <v>46</v>
      </c>
      <c r="O895" s="1">
        <v>23</v>
      </c>
      <c r="P895" s="1">
        <v>1</v>
      </c>
      <c r="Q895" s="1">
        <v>59</v>
      </c>
      <c r="R895" s="1">
        <v>99</v>
      </c>
      <c r="S895" s="1">
        <v>118</v>
      </c>
    </row>
    <row r="896" spans="1:19">
      <c r="A896" s="1">
        <v>2019</v>
      </c>
      <c r="B896" s="1">
        <v>26</v>
      </c>
      <c r="C896" s="1" t="s">
        <v>73</v>
      </c>
      <c r="D896" s="1" t="e">
        <f t="array" aca="1" ref="D896" ca="1">_xludf.XLOOKUP(C896,'country region mapping'!$A$2:$A$250, 'country region mapping'!$E$2:$E$250)</f>
        <v>#NAME?</v>
      </c>
      <c r="E896" s="1" t="e">
        <f t="array" aca="1" ref="E896" ca="1">_xludf.XLOOKUP(C896,'country region mapping'!$A$2:$A$267,'country region mapping'!$F$2:$F$267)</f>
        <v>#NAME?</v>
      </c>
      <c r="F896" s="1" t="e">
        <f t="array" aca="1" ref="F896" ca="1">_xludf.XLOOKUP(C896,'country region mapping'!$A$2:$A$267,'country region mapping'!$G$2:$G$267)</f>
        <v>#NAME?</v>
      </c>
      <c r="G896" s="1">
        <v>6.44</v>
      </c>
      <c r="H896" s="1">
        <v>48</v>
      </c>
      <c r="I896" s="1">
        <v>25</v>
      </c>
      <c r="J896" s="1">
        <v>48</v>
      </c>
      <c r="K896" s="1">
        <v>51</v>
      </c>
      <c r="L896" s="1">
        <v>27</v>
      </c>
      <c r="M896" s="1">
        <v>66</v>
      </c>
      <c r="N896" s="1">
        <v>26</v>
      </c>
      <c r="O896" s="1">
        <v>22</v>
      </c>
      <c r="P896" s="1">
        <v>38</v>
      </c>
      <c r="Q896" s="1">
        <v>66</v>
      </c>
      <c r="R896" s="1">
        <v>93</v>
      </c>
      <c r="S896" s="1">
        <v>75</v>
      </c>
    </row>
    <row r="897" spans="1:19">
      <c r="A897" s="1">
        <v>2019</v>
      </c>
      <c r="B897" s="1">
        <v>27</v>
      </c>
      <c r="C897" s="1" t="s">
        <v>79</v>
      </c>
      <c r="D897" s="1" t="e">
        <f t="array" aca="1" ref="D897" ca="1">_xludf.XLOOKUP(C897,'country region mapping'!$A$2:$A$250, 'country region mapping'!$E$2:$E$250)</f>
        <v>#NAME?</v>
      </c>
      <c r="E897" s="1" t="e">
        <f t="array" aca="1" ref="E897" ca="1">_xludf.XLOOKUP(C897,'country region mapping'!$A$2:$A$267,'country region mapping'!$F$2:$F$267)</f>
        <v>#NAME?</v>
      </c>
      <c r="F897" s="1" t="e">
        <f t="array" aca="1" ref="F897" ca="1">_xludf.XLOOKUP(C897,'country region mapping'!$A$2:$A$267,'country region mapping'!$G$2:$G$267)</f>
        <v>#NAME?</v>
      </c>
      <c r="G897" s="1">
        <v>6.4059999999999997</v>
      </c>
      <c r="H897" s="1">
        <v>78</v>
      </c>
      <c r="I897" s="1">
        <v>36</v>
      </c>
      <c r="J897" s="1">
        <v>20</v>
      </c>
      <c r="K897" s="1">
        <v>61</v>
      </c>
      <c r="L897" s="1">
        <v>35</v>
      </c>
      <c r="M897" s="1">
        <v>64</v>
      </c>
      <c r="O897" s="14">
        <v>70</v>
      </c>
      <c r="P897" s="14">
        <v>47</v>
      </c>
      <c r="Q897" s="14">
        <v>64</v>
      </c>
      <c r="R897" s="14">
        <v>115</v>
      </c>
      <c r="S897" s="14">
        <v>34</v>
      </c>
    </row>
    <row r="898" spans="1:19">
      <c r="A898" s="1">
        <v>2019</v>
      </c>
      <c r="B898" s="1">
        <v>28</v>
      </c>
      <c r="C898" s="1" t="s">
        <v>274</v>
      </c>
      <c r="D898" s="1" t="e">
        <f t="array" aca="1" ref="D898" ca="1">_xludf.XLOOKUP(C898,'country region mapping'!$A$2:$A$250, 'country region mapping'!$E$2:$E$250)</f>
        <v>#NAME?</v>
      </c>
      <c r="E898" s="1" t="e">
        <f t="array" aca="1" ref="E898" ca="1">_xludf.XLOOKUP(C898,'country region mapping'!$A$2:$A$267,'country region mapping'!$F$2:$F$267)</f>
        <v>#NAME?</v>
      </c>
      <c r="F898" s="1" t="e">
        <f t="array" aca="1" ref="F898" ca="1">_xludf.XLOOKUP(C898,'country region mapping'!$A$2:$A$267,'country region mapping'!$G$2:$G$267)</f>
        <v>#NAME?</v>
      </c>
      <c r="G898" s="1">
        <v>6.4009999999999998</v>
      </c>
      <c r="H898" s="1">
        <v>26</v>
      </c>
      <c r="I898" s="1">
        <v>8</v>
      </c>
      <c r="J898" s="1">
        <v>28</v>
      </c>
      <c r="K898" s="1">
        <v>4</v>
      </c>
      <c r="L898" s="1">
        <v>83</v>
      </c>
      <c r="M898" s="1">
        <v>41</v>
      </c>
      <c r="N898" s="1">
        <v>52</v>
      </c>
      <c r="O898" s="1">
        <v>91</v>
      </c>
      <c r="P898" s="1">
        <v>93</v>
      </c>
      <c r="Q898" s="1">
        <v>41</v>
      </c>
      <c r="R898" s="1">
        <v>96</v>
      </c>
      <c r="S898" s="1">
        <v>76</v>
      </c>
    </row>
    <row r="899" spans="1:19">
      <c r="A899" s="1">
        <v>2019</v>
      </c>
      <c r="B899" s="1">
        <v>29</v>
      </c>
      <c r="C899" s="1" t="s">
        <v>86</v>
      </c>
      <c r="D899" s="1" t="e">
        <f t="array" aca="1" ref="D899" ca="1">_xludf.XLOOKUP(C899,'country region mapping'!$A$2:$A$250, 'country region mapping'!$E$2:$E$250)</f>
        <v>#NAME?</v>
      </c>
      <c r="E899" s="1" t="e">
        <f t="array" aca="1" ref="E899" ca="1">_xludf.XLOOKUP(C899,'country region mapping'!$A$2:$A$267,'country region mapping'!$F$2:$F$267)</f>
        <v>#NAME?</v>
      </c>
      <c r="F899" s="1" t="e">
        <f t="array" aca="1" ref="F899" ca="1">_xludf.XLOOKUP(C899,'country region mapping'!$A$2:$A$267,'country region mapping'!$G$2:$G$267)</f>
        <v>#NAME?</v>
      </c>
      <c r="G899" s="1">
        <v>6.399</v>
      </c>
      <c r="H899" s="1">
        <v>117</v>
      </c>
      <c r="I899" s="1">
        <v>99</v>
      </c>
      <c r="J899" s="1">
        <v>90</v>
      </c>
      <c r="K899" s="1">
        <v>91</v>
      </c>
      <c r="L899" s="1">
        <v>29</v>
      </c>
      <c r="M899" s="1">
        <v>84</v>
      </c>
      <c r="N899" s="1">
        <v>67</v>
      </c>
      <c r="O899" s="1">
        <v>3</v>
      </c>
      <c r="P899" s="1">
        <v>90</v>
      </c>
      <c r="Q899" s="1">
        <v>84</v>
      </c>
      <c r="R899" s="1">
        <v>34</v>
      </c>
      <c r="S899" s="1">
        <v>86</v>
      </c>
    </row>
    <row r="900" spans="1:19">
      <c r="A900" s="1">
        <v>2019</v>
      </c>
      <c r="B900" s="1">
        <v>30</v>
      </c>
      <c r="C900" s="1" t="s">
        <v>100</v>
      </c>
      <c r="D900" s="1" t="e">
        <f t="array" aca="1" ref="D900" ca="1">_xludf.XLOOKUP(C900,'country region mapping'!$A$2:$A$250, 'country region mapping'!$E$2:$E$250)</f>
        <v>#NAME?</v>
      </c>
      <c r="E900" s="1" t="e">
        <f t="array" aca="1" ref="E900" ca="1">_xludf.XLOOKUP(C900,'country region mapping'!$A$2:$A$267,'country region mapping'!$F$2:$F$267)</f>
        <v>#NAME?</v>
      </c>
      <c r="F900" s="1" t="e">
        <f t="array" aca="1" ref="F900" ca="1">_xludf.XLOOKUP(C900,'country region mapping'!$A$2:$A$267,'country region mapping'!$G$2:$G$267)</f>
        <v>#NAME?</v>
      </c>
      <c r="G900" s="1">
        <v>6.3869999999999996</v>
      </c>
      <c r="H900" s="1">
        <v>22</v>
      </c>
      <c r="I900" s="1">
        <v>77</v>
      </c>
      <c r="J900" s="1">
        <v>26</v>
      </c>
      <c r="K900" s="1">
        <v>8</v>
      </c>
      <c r="L900" s="1">
        <v>112</v>
      </c>
      <c r="M900" s="1">
        <v>47</v>
      </c>
      <c r="N900" s="1">
        <v>109</v>
      </c>
      <c r="O900" s="1">
        <v>108</v>
      </c>
      <c r="P900" s="1">
        <v>98</v>
      </c>
      <c r="Q900" s="1">
        <v>47</v>
      </c>
      <c r="R900" s="1">
        <v>95</v>
      </c>
      <c r="S900" s="1">
        <v>123</v>
      </c>
    </row>
    <row r="901" spans="1:19">
      <c r="A901" s="1">
        <v>2019</v>
      </c>
      <c r="B901" s="1">
        <v>31</v>
      </c>
      <c r="C901" s="1" t="s">
        <v>63</v>
      </c>
      <c r="D901" s="1" t="e">
        <f t="array" aca="1" ref="D901" ca="1">_xludf.XLOOKUP(C901,'country region mapping'!$A$2:$A$250, 'country region mapping'!$E$2:$E$250)</f>
        <v>#NAME?</v>
      </c>
      <c r="E901" s="1" t="e">
        <f t="array" aca="1" ref="E901" ca="1">_xludf.XLOOKUP(C901,'country region mapping'!$A$2:$A$267,'country region mapping'!$F$2:$F$267)</f>
        <v>#NAME?</v>
      </c>
      <c r="F901" s="1" t="e">
        <f t="array" aca="1" ref="F901" ca="1">_xludf.XLOOKUP(C901,'country region mapping'!$A$2:$A$267,'country region mapping'!$G$2:$G$267)</f>
        <v>#NAME?</v>
      </c>
      <c r="G901" s="1">
        <v>6.3769999999999998</v>
      </c>
      <c r="H901" s="1">
        <v>8</v>
      </c>
      <c r="I901" s="1">
        <v>28</v>
      </c>
      <c r="J901" s="1">
        <v>2</v>
      </c>
      <c r="K901" s="1">
        <v>1</v>
      </c>
      <c r="L901" s="1">
        <v>10</v>
      </c>
      <c r="M901" s="1">
        <v>22</v>
      </c>
      <c r="N901" s="1">
        <v>1</v>
      </c>
      <c r="O901" s="1">
        <v>71</v>
      </c>
      <c r="P901" s="1">
        <v>2</v>
      </c>
      <c r="Q901" s="1">
        <v>22</v>
      </c>
      <c r="R901" s="1">
        <v>57</v>
      </c>
      <c r="S901" s="1">
        <v>94</v>
      </c>
    </row>
    <row r="902" spans="1:19">
      <c r="A902" s="1">
        <v>2019</v>
      </c>
      <c r="B902" s="1">
        <v>32</v>
      </c>
      <c r="C902" s="1" t="s">
        <v>54</v>
      </c>
      <c r="D902" s="1" t="e">
        <f t="array" aca="1" ref="D902" ca="1">_xludf.XLOOKUP(C902,'country region mapping'!$A$2:$A$250, 'country region mapping'!$E$2:$E$250)</f>
        <v>#NAME?</v>
      </c>
      <c r="E902" s="1" t="e">
        <f t="array" aca="1" ref="E902" ca="1">_xludf.XLOOKUP(C902,'country region mapping'!$A$2:$A$267,'country region mapping'!$F$2:$F$267)</f>
        <v>#NAME?</v>
      </c>
      <c r="F902" s="1" t="e">
        <f t="array" aca="1" ref="F902" ca="1">_xludf.XLOOKUP(C902,'country region mapping'!$A$2:$A$267,'country region mapping'!$G$2:$G$267)</f>
        <v>#NAME?</v>
      </c>
      <c r="G902" s="1">
        <v>6.3760000000000003</v>
      </c>
      <c r="H902" s="1">
        <v>82</v>
      </c>
      <c r="I902" s="1">
        <v>41</v>
      </c>
      <c r="J902" s="1">
        <v>67</v>
      </c>
      <c r="K902" s="1">
        <v>75</v>
      </c>
      <c r="L902" s="1">
        <v>65</v>
      </c>
      <c r="M902" s="1">
        <v>63</v>
      </c>
      <c r="N902" s="1">
        <v>65</v>
      </c>
      <c r="O902" s="1">
        <v>57</v>
      </c>
      <c r="P902" s="1">
        <v>102</v>
      </c>
      <c r="Q902" s="1">
        <v>63</v>
      </c>
      <c r="R902" s="1">
        <v>73</v>
      </c>
      <c r="S902" s="1">
        <v>43</v>
      </c>
    </row>
    <row r="903" spans="1:19">
      <c r="A903" s="1">
        <v>2019</v>
      </c>
      <c r="B903" s="1">
        <v>33</v>
      </c>
      <c r="C903" s="1" t="s">
        <v>116</v>
      </c>
      <c r="D903" s="1" t="e">
        <f t="array" aca="1" ref="D903" ca="1">_xludf.XLOOKUP(C903,'country region mapping'!$A$2:$A$250, 'country region mapping'!$E$2:$E$250)</f>
        <v>#NAME?</v>
      </c>
      <c r="E903" s="1" t="e">
        <f t="array" aca="1" ref="E903" ca="1">_xludf.XLOOKUP(C903,'country region mapping'!$A$2:$A$267,'country region mapping'!$F$2:$F$267)</f>
        <v>#NAME?</v>
      </c>
      <c r="F903" s="1" t="e">
        <f t="array" aca="1" ref="F903" ca="1">_xludf.XLOOKUP(C903,'country region mapping'!$A$2:$A$267,'country region mapping'!$G$2:$G$267)</f>
        <v>#NAME?</v>
      </c>
      <c r="G903" s="1">
        <v>6.3630000000000004</v>
      </c>
      <c r="H903" s="1">
        <v>37</v>
      </c>
      <c r="I903" s="1">
        <v>7</v>
      </c>
      <c r="J903" s="1">
        <v>32</v>
      </c>
      <c r="K903" s="1">
        <v>21</v>
      </c>
      <c r="L903" s="1">
        <v>8</v>
      </c>
      <c r="M903" s="1">
        <v>57</v>
      </c>
      <c r="N903" s="1">
        <v>71</v>
      </c>
      <c r="O903" s="1">
        <v>95</v>
      </c>
      <c r="P903" s="1">
        <v>41</v>
      </c>
      <c r="Q903" s="1">
        <v>57</v>
      </c>
      <c r="R903" s="1">
        <v>24</v>
      </c>
      <c r="S903" s="1">
        <v>121</v>
      </c>
    </row>
    <row r="904" spans="1:19">
      <c r="A904" s="1">
        <v>2019</v>
      </c>
      <c r="B904" s="1">
        <v>34</v>
      </c>
      <c r="C904" s="1" t="s">
        <v>96</v>
      </c>
      <c r="D904" s="1" t="e">
        <f t="array" aca="1" ref="D904" ca="1">_xludf.XLOOKUP(C904,'country region mapping'!$A$2:$A$250, 'country region mapping'!$E$2:$E$250)</f>
        <v>#NAME?</v>
      </c>
      <c r="E904" s="1" t="e">
        <f t="array" aca="1" ref="E904" ca="1">_xludf.XLOOKUP(C904,'country region mapping'!$A$2:$A$267,'country region mapping'!$F$2:$F$267)</f>
        <v>#NAME?</v>
      </c>
      <c r="F904" s="1" t="e">
        <f t="array" aca="1" ref="F904" ca="1">_xludf.XLOOKUP(C904,'country region mapping'!$A$2:$A$267,'country region mapping'!$G$2:$G$267)</f>
        <v>#NAME?</v>
      </c>
      <c r="G904" s="1">
        <v>6.3479999999999999</v>
      </c>
      <c r="H904" s="1">
        <v>108</v>
      </c>
      <c r="I904" s="1">
        <v>103</v>
      </c>
      <c r="J904" s="1">
        <v>92</v>
      </c>
      <c r="K904" s="1">
        <v>77</v>
      </c>
      <c r="L904" s="1">
        <v>46</v>
      </c>
      <c r="M904" s="1">
        <v>106</v>
      </c>
      <c r="N904" s="1">
        <v>34</v>
      </c>
      <c r="O904" s="1">
        <v>2</v>
      </c>
      <c r="P904" s="1">
        <v>69</v>
      </c>
      <c r="Q904" s="1">
        <v>106</v>
      </c>
      <c r="R904" s="1">
        <v>67</v>
      </c>
      <c r="S904" s="1">
        <v>92</v>
      </c>
    </row>
    <row r="905" spans="1:19">
      <c r="A905" s="1">
        <v>2019</v>
      </c>
      <c r="B905" s="1">
        <v>35</v>
      </c>
      <c r="C905" s="1" t="s">
        <v>135</v>
      </c>
      <c r="D905" s="1" t="e">
        <f t="array" aca="1" ref="D905" ca="1">_xludf.XLOOKUP(C905,'country region mapping'!$A$2:$A$267,'country region mapping'!$E$2:$E$267)</f>
        <v>#NAME?</v>
      </c>
      <c r="E905" s="1" t="e">
        <f t="array" aca="1" ref="E905" ca="1">_xludf.XLOOKUP(C905,'country region mapping'!$A$2:$A$267,'country region mapping'!$F$2:$F$267)</f>
        <v>#NAME?</v>
      </c>
      <c r="F905" s="1" t="e">
        <f t="array" aca="1" ref="F905" ca="1">_xludf.XLOOKUP(C905,'country region mapping'!$A$2:$A$267,'country region mapping'!$G$2:$G$267)</f>
        <v>#NAME?</v>
      </c>
      <c r="G905" s="1">
        <v>6.3250000000000002</v>
      </c>
      <c r="H905" s="1">
        <v>84</v>
      </c>
      <c r="I905" s="1">
        <v>73</v>
      </c>
      <c r="J905" s="1">
        <v>88</v>
      </c>
      <c r="K905" s="1"/>
      <c r="L905" s="1">
        <v>60</v>
      </c>
      <c r="M905" s="1">
        <v>12</v>
      </c>
      <c r="N905" s="1">
        <v>128</v>
      </c>
      <c r="O905" s="1">
        <v>97</v>
      </c>
      <c r="P905" s="1"/>
      <c r="Q905" s="1">
        <v>12</v>
      </c>
      <c r="R905" s="1">
        <v>119</v>
      </c>
      <c r="S905" s="1">
        <v>21</v>
      </c>
    </row>
    <row r="906" spans="1:19">
      <c r="A906" s="1">
        <v>2019</v>
      </c>
      <c r="B906" s="1">
        <v>36</v>
      </c>
      <c r="C906" s="1" t="s">
        <v>67</v>
      </c>
      <c r="D906" s="1" t="e">
        <f t="array" aca="1" ref="D906" ca="1">_xludf.XLOOKUP(C906,'country region mapping'!$A$2:$A$250, 'country region mapping'!$E$2:$E$250)</f>
        <v>#NAME?</v>
      </c>
      <c r="E906" s="1" t="e">
        <f t="array" aca="1" ref="E906" ca="1">_xludf.XLOOKUP(C906,'country region mapping'!$A$2:$A$267,'country region mapping'!$F$2:$F$267)</f>
        <v>#NAME?</v>
      </c>
      <c r="F906" s="1" t="e">
        <f t="array" aca="1" ref="F906" ca="1">_xludf.XLOOKUP(C906,'country region mapping'!$A$2:$A$267,'country region mapping'!$G$2:$G$267)</f>
        <v>#NAME?</v>
      </c>
      <c r="G906" s="1">
        <v>6.3049999999999997</v>
      </c>
      <c r="H906" s="1">
        <v>116</v>
      </c>
      <c r="I906" s="1">
        <v>48</v>
      </c>
      <c r="J906" s="1">
        <v>46</v>
      </c>
      <c r="K906" s="1">
        <v>38</v>
      </c>
      <c r="L906" s="1">
        <v>40</v>
      </c>
      <c r="M906" s="1">
        <v>104</v>
      </c>
      <c r="N906" s="1">
        <v>110</v>
      </c>
      <c r="O906" s="1">
        <v>1</v>
      </c>
      <c r="P906" s="1">
        <v>51</v>
      </c>
      <c r="Q906" s="1">
        <v>104</v>
      </c>
      <c r="R906" s="1">
        <v>64</v>
      </c>
      <c r="S906" s="1">
        <v>89</v>
      </c>
    </row>
    <row r="907" spans="1:19">
      <c r="A907" s="1">
        <v>2019</v>
      </c>
      <c r="B907" s="1">
        <v>37</v>
      </c>
      <c r="C907" s="1" t="s">
        <v>95</v>
      </c>
      <c r="D907" s="1" t="e">
        <f t="array" aca="1" ref="D907" ca="1">_xludf.XLOOKUP(C907,'country region mapping'!$A$2:$A$250, 'country region mapping'!$E$2:$E$250)</f>
        <v>#NAME?</v>
      </c>
      <c r="E907" s="1" t="e">
        <f t="array" aca="1" ref="E907" ca="1">_xludf.XLOOKUP(C907,'country region mapping'!$A$2:$A$267,'country region mapping'!$F$2:$F$267)</f>
        <v>#NAME?</v>
      </c>
      <c r="F907" s="1" t="e">
        <f t="array" aca="1" ref="F907" ca="1">_xludf.XLOOKUP(C907,'country region mapping'!$A$2:$A$267,'country region mapping'!$G$2:$G$267)</f>
        <v>#NAME?</v>
      </c>
      <c r="G907" s="1">
        <v>6.2809999999999997</v>
      </c>
      <c r="H907" s="1">
        <v>39</v>
      </c>
      <c r="I907" s="1">
        <v>26</v>
      </c>
      <c r="J907" s="1">
        <v>40</v>
      </c>
      <c r="K907" s="1">
        <v>43</v>
      </c>
      <c r="L907" s="1">
        <v>87</v>
      </c>
      <c r="M907" s="1">
        <v>69</v>
      </c>
      <c r="N907" s="1">
        <v>131</v>
      </c>
      <c r="O907" s="1">
        <v>67</v>
      </c>
      <c r="P907" s="1">
        <v>59</v>
      </c>
      <c r="Q907" s="1">
        <v>69</v>
      </c>
      <c r="R907" s="1">
        <v>90</v>
      </c>
      <c r="S907" s="1">
        <v>117</v>
      </c>
    </row>
    <row r="908" spans="1:19">
      <c r="A908" s="1">
        <v>2019</v>
      </c>
      <c r="B908" s="1">
        <v>38</v>
      </c>
      <c r="C908" s="1" t="s">
        <v>99</v>
      </c>
      <c r="D908" s="1" t="e">
        <f t="array" aca="1" ref="D908" ca="1">_xludf.XLOOKUP(C908,'country region mapping'!$A$2:$A$250, 'country region mapping'!$E$2:$E$250)</f>
        <v>#NAME?</v>
      </c>
      <c r="E908" s="1" t="e">
        <f t="array" aca="1" ref="E908" ca="1">_xludf.XLOOKUP(C908,'country region mapping'!$A$2:$A$267,'country region mapping'!$F$2:$F$267)</f>
        <v>#NAME?</v>
      </c>
      <c r="F908" s="1" t="e">
        <f t="array" aca="1" ref="F908" ca="1">_xludf.XLOOKUP(C908,'country region mapping'!$A$2:$A$267,'country region mapping'!$G$2:$G$267)</f>
        <v>#NAME?</v>
      </c>
      <c r="G908" s="1">
        <v>6.258</v>
      </c>
      <c r="H908" s="1">
        <v>79</v>
      </c>
      <c r="I908" s="1">
        <v>33</v>
      </c>
      <c r="J908" s="1">
        <v>99</v>
      </c>
      <c r="K908" s="1">
        <v>84</v>
      </c>
      <c r="L908" s="1">
        <v>1</v>
      </c>
      <c r="M908" s="1">
        <v>8</v>
      </c>
      <c r="N908" s="1">
        <v>20</v>
      </c>
      <c r="O908" s="1">
        <v>28</v>
      </c>
      <c r="P908" s="1">
        <v>37</v>
      </c>
      <c r="Q908" s="1">
        <v>8</v>
      </c>
      <c r="R908" s="1">
        <v>101</v>
      </c>
      <c r="S908" s="1">
        <v>57</v>
      </c>
    </row>
    <row r="909" spans="1:19">
      <c r="A909" s="1">
        <v>2019</v>
      </c>
      <c r="B909" s="1">
        <v>39</v>
      </c>
      <c r="C909" s="1" t="s">
        <v>66</v>
      </c>
      <c r="D909" s="1" t="e">
        <f t="array" aca="1" ref="D909" ca="1">_xludf.XLOOKUP(C909,'country region mapping'!$A$2:$A$250, 'country region mapping'!$E$2:$E$250)</f>
        <v>#NAME?</v>
      </c>
      <c r="E909" s="1" t="e">
        <f t="array" aca="1" ref="E909" ca="1">_xludf.XLOOKUP(C909,'country region mapping'!$A$2:$A$267,'country region mapping'!$F$2:$F$267)</f>
        <v>#NAME?</v>
      </c>
      <c r="F909" s="1" t="e">
        <f t="array" aca="1" ref="F909" ca="1">_xludf.XLOOKUP(C909,'country region mapping'!$A$2:$A$267,'country region mapping'!$G$2:$G$267)</f>
        <v>#NAME?</v>
      </c>
      <c r="G909" s="1">
        <v>6.2279999999999998</v>
      </c>
      <c r="H909" s="1">
        <v>53</v>
      </c>
      <c r="I909" s="1">
        <v>64</v>
      </c>
      <c r="J909" s="1">
        <v>49</v>
      </c>
      <c r="K909" s="1">
        <v>30</v>
      </c>
      <c r="L909" s="1">
        <v>125</v>
      </c>
      <c r="M909" s="1">
        <v>65</v>
      </c>
      <c r="N909" s="1">
        <v>105</v>
      </c>
      <c r="O909" s="1">
        <v>33</v>
      </c>
      <c r="P909" s="1">
        <v>103</v>
      </c>
      <c r="Q909" s="1">
        <v>65</v>
      </c>
      <c r="R909" s="1">
        <v>89</v>
      </c>
      <c r="S909" s="1">
        <v>24</v>
      </c>
    </row>
    <row r="910" spans="1:19">
      <c r="A910" s="1">
        <v>2019</v>
      </c>
      <c r="B910" s="1">
        <v>40</v>
      </c>
      <c r="C910" s="1" t="s">
        <v>90</v>
      </c>
      <c r="D910" s="1" t="e">
        <f t="array" aca="1" ref="D910" ca="1">_xludf.XLOOKUP(C910,'country region mapping'!$A$2:$A$250, 'country region mapping'!$E$2:$E$250)</f>
        <v>#NAME?</v>
      </c>
      <c r="E910" s="1" t="e">
        <f t="array" aca="1" ref="E910" ca="1">_xludf.XLOOKUP(C910,'country region mapping'!$A$2:$A$267,'country region mapping'!$F$2:$F$267)</f>
        <v>#NAME?</v>
      </c>
      <c r="F910" s="1" t="e">
        <f t="array" aca="1" ref="F910" ca="1">_xludf.XLOOKUP(C910,'country region mapping'!$A$2:$A$267,'country region mapping'!$G$2:$G$267)</f>
        <v>#NAME?</v>
      </c>
      <c r="G910" s="1">
        <v>6.2270000000000003</v>
      </c>
      <c r="H910" s="1">
        <v>56</v>
      </c>
      <c r="I910" s="1">
        <v>55</v>
      </c>
      <c r="J910" s="1">
        <v>19</v>
      </c>
      <c r="K910" s="1">
        <v>65</v>
      </c>
      <c r="L910" s="1">
        <v>23</v>
      </c>
      <c r="M910" s="1">
        <v>29</v>
      </c>
      <c r="O910" s="14">
        <v>53</v>
      </c>
      <c r="P910" s="14">
        <v>94</v>
      </c>
      <c r="Q910" s="14">
        <v>29</v>
      </c>
      <c r="R910" s="14">
        <v>41</v>
      </c>
      <c r="S910" s="14">
        <v>10</v>
      </c>
    </row>
    <row r="911" spans="1:19">
      <c r="A911" s="1">
        <v>2019</v>
      </c>
      <c r="B911" s="1">
        <v>41</v>
      </c>
      <c r="C911" s="1" t="s">
        <v>114</v>
      </c>
      <c r="D911" s="1" t="e">
        <f t="array" aca="1" ref="D911" ca="1">_xludf.XLOOKUP(C911,'country region mapping'!$A$2:$A$250, 'country region mapping'!$E$2:$E$250)</f>
        <v>#NAME?</v>
      </c>
      <c r="E911" s="1" t="e">
        <f t="array" aca="1" ref="E911" ca="1">_xludf.XLOOKUP(C911,'country region mapping'!$A$2:$A$267,'country region mapping'!$F$2:$F$267)</f>
        <v>#NAME?</v>
      </c>
      <c r="F911" s="1" t="e">
        <f t="array" aca="1" ref="F911" ca="1">_xludf.XLOOKUP(C911,'country region mapping'!$A$2:$A$267,'country region mapping'!$G$2:$G$267)</f>
        <v>#NAME?</v>
      </c>
      <c r="G911" s="1">
        <v>6.2149999999999999</v>
      </c>
      <c r="H911" s="1">
        <v>46</v>
      </c>
      <c r="I911" s="1">
        <v>30</v>
      </c>
      <c r="J911" s="1">
        <v>34</v>
      </c>
      <c r="K911" s="1">
        <v>59</v>
      </c>
      <c r="L911" s="1">
        <v>82</v>
      </c>
      <c r="M911" s="1">
        <v>127</v>
      </c>
      <c r="N911" s="1">
        <v>70</v>
      </c>
      <c r="O911" s="1">
        <v>109</v>
      </c>
      <c r="P911" s="1">
        <v>74</v>
      </c>
      <c r="Q911" s="1">
        <v>127</v>
      </c>
      <c r="R911" s="1">
        <v>112</v>
      </c>
      <c r="S911" s="1">
        <v>136</v>
      </c>
    </row>
    <row r="912" spans="1:19">
      <c r="A912" s="1">
        <v>2019</v>
      </c>
      <c r="B912" s="1">
        <v>42</v>
      </c>
      <c r="C912" s="1" t="s">
        <v>91</v>
      </c>
      <c r="D912" s="1" t="e">
        <f t="array" aca="1" ref="D912" ca="1">_xludf.XLOOKUP(C912,'country region mapping'!$A$2:$A$250, 'country region mapping'!$E$2:$E$250)</f>
        <v>#NAME?</v>
      </c>
      <c r="E912" s="1" t="e">
        <f t="array" aca="1" ref="E912" ca="1">_xludf.XLOOKUP(C912,'country region mapping'!$A$2:$A$267,'country region mapping'!$F$2:$F$267)</f>
        <v>#NAME?</v>
      </c>
      <c r="F912" s="1" t="e">
        <f t="array" aca="1" ref="F912" ca="1">_xludf.XLOOKUP(C912,'country region mapping'!$A$2:$A$267,'country region mapping'!$G$2:$G$267)</f>
        <v>#NAME?</v>
      </c>
      <c r="G912" s="1">
        <v>6.1920000000000002</v>
      </c>
      <c r="H912" s="1"/>
      <c r="I912" s="1"/>
      <c r="J912" s="1"/>
      <c r="K912" s="1"/>
      <c r="L912" s="1"/>
      <c r="P912" s="1"/>
      <c r="Q912" s="1"/>
      <c r="R912" s="1"/>
      <c r="S912" s="1"/>
    </row>
    <row r="913" spans="1:19">
      <c r="A913" s="1">
        <v>2019</v>
      </c>
      <c r="B913" s="1">
        <v>43</v>
      </c>
      <c r="C913" s="1" t="s">
        <v>109</v>
      </c>
      <c r="D913" s="1" t="e">
        <f t="array" aca="1" ref="D913" ca="1">_xludf.XLOOKUP(C913,'country region mapping'!$A$2:$A$250, 'country region mapping'!$E$2:$E$250)</f>
        <v>#NAME?</v>
      </c>
      <c r="E913" s="1" t="e">
        <f t="array" aca="1" ref="E913" ca="1">_xludf.XLOOKUP(C913,'country region mapping'!$A$2:$A$267,'country region mapping'!$F$2:$F$267)</f>
        <v>#NAME?</v>
      </c>
      <c r="F913" s="1" t="e">
        <f t="array" aca="1" ref="F913" ca="1">_xludf.XLOOKUP(C913,'country region mapping'!$A$2:$A$267,'country region mapping'!$G$2:$G$267)</f>
        <v>#NAME?</v>
      </c>
      <c r="G913" s="1">
        <v>6.1859999999999999</v>
      </c>
      <c r="H913" s="1">
        <v>17</v>
      </c>
      <c r="I913" s="1">
        <v>54</v>
      </c>
      <c r="J913" s="1">
        <v>37</v>
      </c>
      <c r="K913" s="1">
        <v>42</v>
      </c>
      <c r="L913" s="1">
        <v>41</v>
      </c>
      <c r="M913" s="1">
        <v>120</v>
      </c>
      <c r="N913" s="1">
        <v>39</v>
      </c>
      <c r="O913" s="1">
        <v>96</v>
      </c>
      <c r="P913" s="1">
        <v>10</v>
      </c>
      <c r="Q913" s="1">
        <v>120</v>
      </c>
      <c r="R913" s="1">
        <v>131</v>
      </c>
      <c r="S913" s="1">
        <v>140</v>
      </c>
    </row>
    <row r="914" spans="1:19">
      <c r="A914" s="1">
        <v>2019</v>
      </c>
      <c r="B914" s="1">
        <v>44</v>
      </c>
      <c r="C914" s="1" t="s">
        <v>75</v>
      </c>
      <c r="D914" s="1" t="e">
        <f t="array" aca="1" ref="D914" ca="1">_xludf.XLOOKUP(C914,'country region mapping'!$A$2:$A$250, 'country region mapping'!$E$2:$E$250)</f>
        <v>#NAME?</v>
      </c>
      <c r="E914" s="1" t="e">
        <f t="array" aca="1" ref="E914" ca="1">_xludf.XLOOKUP(C914,'country region mapping'!$A$2:$A$267,'country region mapping'!$F$2:$F$267)</f>
        <v>#NAME?</v>
      </c>
      <c r="F914" s="1" t="e">
        <f t="array" aca="1" ref="F914" ca="1">_xludf.XLOOKUP(C914,'country region mapping'!$A$2:$A$267,'country region mapping'!$G$2:$G$267)</f>
        <v>#NAME?</v>
      </c>
      <c r="G914" s="1">
        <v>6.1630000000000003</v>
      </c>
      <c r="H914" s="1">
        <v>106</v>
      </c>
      <c r="I914" s="1">
        <v>62</v>
      </c>
      <c r="J914" s="1">
        <v>69</v>
      </c>
      <c r="K914" s="1">
        <v>39</v>
      </c>
      <c r="L914" s="1">
        <v>70</v>
      </c>
      <c r="M914" s="1">
        <v>118</v>
      </c>
      <c r="N914" s="1">
        <v>102</v>
      </c>
      <c r="O914" s="1">
        <v>10</v>
      </c>
      <c r="P914" s="1">
        <v>96</v>
      </c>
      <c r="Q914" s="1">
        <v>118</v>
      </c>
      <c r="R914" s="1">
        <v>91</v>
      </c>
      <c r="S914" s="1">
        <v>49</v>
      </c>
    </row>
    <row r="915" spans="1:19">
      <c r="A915" s="1">
        <v>2019</v>
      </c>
      <c r="B915" s="1">
        <v>45</v>
      </c>
      <c r="C915" s="1" t="s">
        <v>124</v>
      </c>
      <c r="D915" s="1" t="e">
        <f t="array" aca="1" ref="D915" ca="1">_xludf.XLOOKUP(C915,'country region mapping'!$A$2:$A$250, 'country region mapping'!$E$2:$E$250)</f>
        <v>#NAME?</v>
      </c>
      <c r="E915" s="1" t="e">
        <f t="array" aca="1" ref="E915" ca="1">_xludf.XLOOKUP(C915,'country region mapping'!$A$2:$A$267,'country region mapping'!$F$2:$F$267)</f>
        <v>#NAME?</v>
      </c>
      <c r="F915" s="1" t="e">
        <f t="array" aca="1" ref="F915" ca="1">_xludf.XLOOKUP(C915,'country region mapping'!$A$2:$A$267,'country region mapping'!$G$2:$G$267)</f>
        <v>#NAME?</v>
      </c>
      <c r="G915" s="1">
        <v>6.1589999999999998</v>
      </c>
      <c r="H915" s="1">
        <v>51</v>
      </c>
      <c r="I915" s="1">
        <v>98</v>
      </c>
      <c r="J915" s="1">
        <v>30</v>
      </c>
      <c r="K915" s="1">
        <v>13</v>
      </c>
      <c r="L915" s="1">
        <v>96</v>
      </c>
      <c r="M915" s="1">
        <v>33</v>
      </c>
      <c r="N915" s="1">
        <v>108</v>
      </c>
      <c r="O915" s="1">
        <v>76</v>
      </c>
      <c r="P915" s="1">
        <v>81</v>
      </c>
      <c r="Q915" s="1">
        <v>33</v>
      </c>
      <c r="R915" s="1">
        <v>68</v>
      </c>
      <c r="S915" s="1">
        <v>46</v>
      </c>
    </row>
    <row r="916" spans="1:19">
      <c r="A916" s="1">
        <v>2019</v>
      </c>
      <c r="B916" s="1">
        <v>46</v>
      </c>
      <c r="C916" s="1" t="s">
        <v>98</v>
      </c>
      <c r="D916" s="1" t="e">
        <f t="array" aca="1" ref="D916" ca="1">_xludf.XLOOKUP(C916,'country region mapping'!$A$2:$A$250, 'country region mapping'!$E$2:$E$250)</f>
        <v>#NAME?</v>
      </c>
      <c r="E916" s="1" t="e">
        <f t="array" aca="1" ref="E916" ca="1">_xludf.XLOOKUP(C916,'country region mapping'!$A$2:$A$267,'country region mapping'!$F$2:$F$267)</f>
        <v>#NAME?</v>
      </c>
      <c r="F916" s="1" t="e">
        <f t="array" aca="1" ref="F916" ca="1">_xludf.XLOOKUP(C916,'country region mapping'!$A$2:$A$267,'country region mapping'!$G$2:$G$267)</f>
        <v>#NAME?</v>
      </c>
      <c r="G916" s="1">
        <v>6.1369999999999996</v>
      </c>
      <c r="H916" s="1">
        <v>126</v>
      </c>
      <c r="I916" s="1">
        <v>60</v>
      </c>
      <c r="J916" s="1">
        <v>104</v>
      </c>
      <c r="K916" s="1">
        <v>40</v>
      </c>
      <c r="L916" s="1">
        <v>42</v>
      </c>
      <c r="M916" s="1">
        <v>60</v>
      </c>
      <c r="N916" s="1">
        <v>29</v>
      </c>
      <c r="O916" s="1">
        <v>13</v>
      </c>
      <c r="P916" s="1">
        <v>101</v>
      </c>
      <c r="Q916" s="1">
        <v>60</v>
      </c>
      <c r="R916" s="1">
        <v>53</v>
      </c>
      <c r="S916" s="1">
        <v>84</v>
      </c>
    </row>
    <row r="917" spans="1:19">
      <c r="A917" s="1">
        <v>2019</v>
      </c>
      <c r="B917" s="1">
        <v>47</v>
      </c>
      <c r="C917" s="1" t="s">
        <v>128</v>
      </c>
      <c r="D917" s="1" t="e">
        <f t="array" aca="1" ref="D917" ca="1">_xludf.XLOOKUP(C917,'country region mapping'!$A$2:$A$250, 'country region mapping'!$E$2:$E$250)</f>
        <v>#NAME?</v>
      </c>
      <c r="E917" s="1" t="e">
        <f t="array" aca="1" ref="E917" ca="1">_xludf.XLOOKUP(C917,'country region mapping'!$A$2:$A$267,'country region mapping'!$F$2:$F$267)</f>
        <v>#NAME?</v>
      </c>
      <c r="F917" s="1" t="e">
        <f t="array" aca="1" ref="F917" ca="1">_xludf.XLOOKUP(C917,'country region mapping'!$A$2:$A$267,'country region mapping'!$G$2:$G$267)</f>
        <v>#NAME?</v>
      </c>
      <c r="G917" s="1">
        <v>6.1239999999999997</v>
      </c>
      <c r="H917" s="1">
        <v>60</v>
      </c>
      <c r="I917" s="1">
        <v>75</v>
      </c>
      <c r="J917" s="1">
        <v>41</v>
      </c>
      <c r="K917" s="1">
        <v>60</v>
      </c>
      <c r="L917" s="1">
        <v>57</v>
      </c>
      <c r="M917" s="1">
        <v>117</v>
      </c>
      <c r="N917" s="1">
        <v>134</v>
      </c>
      <c r="O917" s="1">
        <v>100</v>
      </c>
      <c r="P917" s="1">
        <v>53</v>
      </c>
      <c r="Q917" s="1">
        <v>117</v>
      </c>
      <c r="R917" s="1">
        <v>139</v>
      </c>
      <c r="S917" s="1">
        <v>96</v>
      </c>
    </row>
    <row r="918" spans="1:19">
      <c r="A918" s="1">
        <v>2019</v>
      </c>
      <c r="B918" s="1">
        <v>48</v>
      </c>
      <c r="C918" s="1" t="s">
        <v>88</v>
      </c>
      <c r="D918" s="1" t="e">
        <f t="array" aca="1" ref="D918" ca="1">_xludf.XLOOKUP(C918,'country region mapping'!$A$2:$A$250, 'country region mapping'!$E$2:$E$250)</f>
        <v>#NAME?</v>
      </c>
      <c r="E918" s="1" t="e">
        <f t="array" aca="1" ref="E918" ca="1">_xludf.XLOOKUP(C918,'country region mapping'!$A$2:$A$267,'country region mapping'!$F$2:$F$267)</f>
        <v>#NAME?</v>
      </c>
      <c r="F918" s="1" t="e">
        <f t="array" aca="1" ref="F918" ca="1">_xludf.XLOOKUP(C918,'country region mapping'!$A$2:$A$267,'country region mapping'!$G$2:$G$267)</f>
        <v>#NAME?</v>
      </c>
      <c r="G918" s="1">
        <v>6.1020000000000003</v>
      </c>
      <c r="H918" s="1">
        <v>81</v>
      </c>
      <c r="I918" s="1">
        <v>76</v>
      </c>
      <c r="J918" s="1">
        <v>25</v>
      </c>
      <c r="K918" s="1">
        <v>16</v>
      </c>
      <c r="L918" s="1">
        <v>51</v>
      </c>
      <c r="M918" s="1">
        <v>50</v>
      </c>
      <c r="O918" s="14">
        <v>86</v>
      </c>
      <c r="P918" s="14">
        <v>84</v>
      </c>
      <c r="Q918" s="14">
        <v>50</v>
      </c>
      <c r="R918" s="14">
        <v>107</v>
      </c>
      <c r="S918" s="14">
        <v>13</v>
      </c>
    </row>
    <row r="919" spans="1:19">
      <c r="A919" s="1">
        <v>2019</v>
      </c>
      <c r="B919" s="1">
        <v>49</v>
      </c>
      <c r="C919" s="1" t="s">
        <v>121</v>
      </c>
      <c r="D919" s="1" t="e">
        <f t="array" aca="1" ref="D919" ca="1">_xludf.XLOOKUP(C919,'country region mapping'!$A$2:$A$250, 'country region mapping'!$E$2:$E$250)</f>
        <v>#NAME?</v>
      </c>
      <c r="E919" s="1" t="e">
        <f t="array" aca="1" ref="E919" ca="1">_xludf.XLOOKUP(C919,'country region mapping'!$A$2:$A$267,'country region mapping'!$F$2:$F$267)</f>
        <v>#NAME?</v>
      </c>
      <c r="F919" s="1" t="e">
        <f t="array" aca="1" ref="F919" ca="1">_xludf.XLOOKUP(C919,'country region mapping'!$A$2:$A$267,'country region mapping'!$G$2:$G$267)</f>
        <v>#NAME?</v>
      </c>
      <c r="G919" s="1">
        <v>6.101</v>
      </c>
      <c r="H919" s="1">
        <v>75</v>
      </c>
      <c r="I919" s="1">
        <v>34</v>
      </c>
      <c r="J919" s="1">
        <v>54</v>
      </c>
      <c r="K919" s="1">
        <v>78</v>
      </c>
      <c r="L919" s="1">
        <v>32</v>
      </c>
      <c r="M919" s="1">
        <v>51</v>
      </c>
      <c r="N919" s="1">
        <v>81</v>
      </c>
      <c r="O919" s="1">
        <v>38</v>
      </c>
      <c r="P919" s="1">
        <v>6</v>
      </c>
      <c r="Q919" s="1">
        <v>51</v>
      </c>
      <c r="R919" s="1">
        <v>31</v>
      </c>
      <c r="S919" s="1">
        <v>87</v>
      </c>
    </row>
    <row r="920" spans="1:19">
      <c r="A920" s="1">
        <v>2019</v>
      </c>
      <c r="B920" s="1">
        <v>50</v>
      </c>
      <c r="C920" s="1" t="s">
        <v>106</v>
      </c>
      <c r="D920" s="1" t="e">
        <f t="array" aca="1" ref="D920" ca="1">_xludf.XLOOKUP(C920,'country region mapping'!$A$2:$A$250, 'country region mapping'!$E$2:$E$250)</f>
        <v>#NAME?</v>
      </c>
      <c r="E920" s="1" t="e">
        <f t="array" aca="1" ref="E920" ca="1">_xludf.XLOOKUP(C920,'country region mapping'!$A$2:$A$267,'country region mapping'!$F$2:$F$267)</f>
        <v>#NAME?</v>
      </c>
      <c r="F920" s="1" t="e">
        <f t="array" aca="1" ref="F920" ca="1">_xludf.XLOOKUP(C920,'country region mapping'!$A$2:$A$267,'country region mapping'!$G$2:$G$267)</f>
        <v>#NAME?</v>
      </c>
      <c r="G920" s="1">
        <v>6.0579999999999998</v>
      </c>
      <c r="H920" s="1">
        <v>49</v>
      </c>
      <c r="I920" s="1">
        <v>6</v>
      </c>
      <c r="J920" s="1">
        <v>45</v>
      </c>
      <c r="K920" s="1">
        <v>81</v>
      </c>
      <c r="L920" s="1">
        <v>55</v>
      </c>
      <c r="M920" s="1">
        <v>48</v>
      </c>
      <c r="N920" s="1">
        <v>43</v>
      </c>
      <c r="O920" s="1">
        <v>54</v>
      </c>
      <c r="P920" s="1">
        <v>3</v>
      </c>
      <c r="Q920" s="1">
        <v>48</v>
      </c>
      <c r="R920" s="1">
        <v>110</v>
      </c>
      <c r="S920" s="1">
        <v>112</v>
      </c>
    </row>
    <row r="921" spans="1:19">
      <c r="A921" s="1">
        <v>2019</v>
      </c>
      <c r="B921" s="1">
        <v>51</v>
      </c>
      <c r="C921" s="1" t="s">
        <v>129</v>
      </c>
      <c r="D921" s="1" t="e">
        <f t="array" aca="1" ref="D921" ca="1">_xludf.XLOOKUP(C921,'country region mapping'!$A$2:$A$250, 'country region mapping'!$E$2:$E$250)</f>
        <v>#NAME?</v>
      </c>
      <c r="E921" s="1" t="e">
        <f t="array" aca="1" ref="E921" ca="1">_xludf.XLOOKUP(C921,'country region mapping'!$A$2:$A$267,'country region mapping'!$F$2:$F$267)</f>
        <v>#NAME?</v>
      </c>
      <c r="F921" s="1" t="e">
        <f t="array" aca="1" ref="F921" ca="1">_xludf.XLOOKUP(C921,'country region mapping'!$A$2:$A$267,'country region mapping'!$G$2:$G$267)</f>
        <v>#NAME?</v>
      </c>
      <c r="G921" s="1">
        <v>6.0220000000000002</v>
      </c>
      <c r="H921" s="1">
        <v>34</v>
      </c>
      <c r="I921" s="1">
        <v>23</v>
      </c>
      <c r="J921" s="1">
        <v>35</v>
      </c>
      <c r="K921" s="1">
        <v>36</v>
      </c>
      <c r="L921" s="1">
        <v>37</v>
      </c>
      <c r="M921" s="1">
        <v>56</v>
      </c>
      <c r="N921" s="1">
        <v>23</v>
      </c>
      <c r="O921" s="1">
        <v>35</v>
      </c>
      <c r="P921" s="1">
        <v>7</v>
      </c>
      <c r="Q921" s="1">
        <v>56</v>
      </c>
      <c r="R921" s="1">
        <v>88</v>
      </c>
      <c r="S921" s="1">
        <v>109</v>
      </c>
    </row>
    <row r="922" spans="1:19">
      <c r="A922" s="1">
        <v>2019</v>
      </c>
      <c r="B922" s="1">
        <v>52</v>
      </c>
      <c r="C922" s="1" t="s">
        <v>141</v>
      </c>
      <c r="D922" s="1" t="e">
        <f t="array" aca="1" ref="D922" ca="1">_xludf.XLOOKUP(C922,'country region mapping'!$A$2:$A$250, 'country region mapping'!$E$2:$E$250)</f>
        <v>#NAME?</v>
      </c>
      <c r="E922" s="1" t="e">
        <f t="array" aca="1" ref="E922" ca="1">_xludf.XLOOKUP(C922,'country region mapping'!$A$2:$A$267,'country region mapping'!$F$2:$F$267)</f>
        <v>#NAME?</v>
      </c>
      <c r="F922" s="1" t="e">
        <f t="array" aca="1" ref="F922" ca="1">_xludf.XLOOKUP(C922,'country region mapping'!$A$2:$A$267,'country region mapping'!$G$2:$G$267)</f>
        <v>#NAME?</v>
      </c>
      <c r="G922" s="1">
        <v>6.0060000000000002</v>
      </c>
      <c r="H922" s="1">
        <v>93</v>
      </c>
      <c r="I922" s="1">
        <v>71</v>
      </c>
      <c r="J922" s="1">
        <v>96</v>
      </c>
      <c r="K922" s="1">
        <v>97</v>
      </c>
      <c r="L922" s="1">
        <v>22</v>
      </c>
      <c r="M922" s="1">
        <v>92</v>
      </c>
      <c r="N922" s="1">
        <v>60</v>
      </c>
      <c r="O922" s="1">
        <v>21</v>
      </c>
      <c r="P922" s="1">
        <v>104</v>
      </c>
      <c r="Q922" s="1">
        <v>92</v>
      </c>
      <c r="R922" s="1">
        <v>10</v>
      </c>
      <c r="S922" s="1">
        <v>69</v>
      </c>
    </row>
    <row r="923" spans="1:19">
      <c r="A923" s="1">
        <v>2019</v>
      </c>
      <c r="B923" s="1">
        <v>53</v>
      </c>
      <c r="C923" s="1" t="s">
        <v>151</v>
      </c>
      <c r="D923" s="1" t="e">
        <f t="array" aca="1" ref="D923" ca="1">_xludf.XLOOKUP(C923,'country region mapping'!$A$2:$A$250, 'country region mapping'!$E$2:$E$250)</f>
        <v>#NAME?</v>
      </c>
      <c r="E923" s="1" t="e">
        <f t="array" aca="1" ref="E923" ca="1">_xludf.XLOOKUP(C923,'country region mapping'!$A$2:$A$267,'country region mapping'!$F$2:$F$267)</f>
        <v>#NAME?</v>
      </c>
      <c r="F923" s="1" t="e">
        <f t="array" aca="1" ref="F923" ca="1">_xludf.XLOOKUP(C923,'country region mapping'!$A$2:$A$267,'country region mapping'!$G$2:$G$267)</f>
        <v>#NAME?</v>
      </c>
      <c r="G923" s="1">
        <v>6</v>
      </c>
      <c r="H923" s="1">
        <v>42</v>
      </c>
      <c r="I923" s="1">
        <v>11</v>
      </c>
      <c r="J923" s="1">
        <v>39</v>
      </c>
      <c r="K923" s="1">
        <v>55</v>
      </c>
      <c r="L923" s="1">
        <v>78</v>
      </c>
      <c r="M923" s="1">
        <v>100</v>
      </c>
      <c r="N923" s="1">
        <v>118</v>
      </c>
      <c r="O923" s="1">
        <v>81</v>
      </c>
      <c r="P923" s="1">
        <v>15</v>
      </c>
      <c r="Q923" s="1">
        <v>100</v>
      </c>
      <c r="R923" s="1">
        <v>127</v>
      </c>
      <c r="S923" s="1">
        <v>127</v>
      </c>
    </row>
    <row r="924" spans="1:19">
      <c r="A924" s="1">
        <v>2019</v>
      </c>
      <c r="B924" s="1">
        <v>54</v>
      </c>
      <c r="C924" s="1" t="s">
        <v>78</v>
      </c>
      <c r="D924" s="1" t="e">
        <f t="array" aca="1" ref="D924" ca="1">_xludf.XLOOKUP(C924,'country region mapping'!$A$2:$A$250, 'country region mapping'!$E$2:$E$250)</f>
        <v>#NAME?</v>
      </c>
      <c r="E924" s="1" t="e">
        <f t="array" aca="1" ref="E924" ca="1">_xludf.XLOOKUP(C924,'country region mapping'!$A$2:$A$267,'country region mapping'!$F$2:$F$267)</f>
        <v>#NAME?</v>
      </c>
      <c r="F924" s="1" t="e">
        <f t="array" aca="1" ref="F924" ca="1">_xludf.XLOOKUP(C924,'country region mapping'!$A$2:$A$267,'country region mapping'!$G$2:$G$267)</f>
        <v>#NAME?</v>
      </c>
      <c r="G924" s="1">
        <v>5.9989999999999997</v>
      </c>
      <c r="H924" s="1">
        <v>67</v>
      </c>
      <c r="I924" s="1">
        <v>40</v>
      </c>
      <c r="J924" s="1">
        <v>61</v>
      </c>
      <c r="K924" s="1">
        <v>47</v>
      </c>
      <c r="L924" s="1">
        <v>31</v>
      </c>
      <c r="M924" s="1">
        <v>4</v>
      </c>
      <c r="N924" s="1">
        <v>115</v>
      </c>
      <c r="O924" s="1">
        <v>9</v>
      </c>
      <c r="P924" s="1">
        <v>32</v>
      </c>
      <c r="Q924" s="1">
        <v>4</v>
      </c>
      <c r="R924" s="1">
        <v>78</v>
      </c>
      <c r="S924" s="1">
        <v>116</v>
      </c>
    </row>
    <row r="925" spans="1:19">
      <c r="A925" s="1">
        <v>2019</v>
      </c>
      <c r="B925" s="1">
        <v>55</v>
      </c>
      <c r="C925" s="1" t="s">
        <v>69</v>
      </c>
      <c r="D925" s="1" t="e">
        <f t="array" aca="1" ref="D925" ca="1">_xludf.XLOOKUP(C925,'country region mapping'!$A$2:$A$250, 'country region mapping'!$E$2:$E$250)</f>
        <v>#NAME?</v>
      </c>
      <c r="E925" s="1" t="e">
        <f t="array" aca="1" ref="E925" ca="1">_xludf.XLOOKUP(C925,'country region mapping'!$A$2:$A$267,'country region mapping'!$F$2:$F$267)</f>
        <v>#NAME?</v>
      </c>
      <c r="F925" s="1" t="e">
        <f t="array" aca="1" ref="F925" ca="1">_xludf.XLOOKUP(C925,'country region mapping'!$A$2:$A$267,'country region mapping'!$G$2:$G$267)</f>
        <v>#NAME?</v>
      </c>
      <c r="G925" s="1">
        <v>5.9749999999999996</v>
      </c>
      <c r="H925" s="1">
        <v>66</v>
      </c>
      <c r="I925" s="1">
        <v>42</v>
      </c>
      <c r="J925" s="1">
        <v>53</v>
      </c>
      <c r="K925" s="1">
        <v>50</v>
      </c>
      <c r="L925" s="1">
        <v>72</v>
      </c>
      <c r="M925" s="1">
        <v>125</v>
      </c>
      <c r="N925" s="1">
        <v>91</v>
      </c>
      <c r="O925" s="1">
        <v>37</v>
      </c>
      <c r="P925" s="1">
        <v>95</v>
      </c>
      <c r="Q925" s="1">
        <v>125</v>
      </c>
      <c r="R925" s="1">
        <v>76</v>
      </c>
      <c r="S925" s="1">
        <v>78</v>
      </c>
    </row>
    <row r="926" spans="1:19">
      <c r="A926" s="1">
        <v>2019</v>
      </c>
      <c r="B926" s="1">
        <v>56</v>
      </c>
      <c r="C926" s="1" t="s">
        <v>167</v>
      </c>
      <c r="D926" s="1" t="e">
        <f t="array" aca="1" ref="D926" ca="1">_xludf.XLOOKUP(C926,'country region mapping'!$A$2:$A$250, 'country region mapping'!$E$2:$E$250)</f>
        <v>#NAME?</v>
      </c>
      <c r="E926" s="1" t="e">
        <f t="array" aca="1" ref="E926" ca="1">_xludf.XLOOKUP(C926,'country region mapping'!$A$2:$A$267,'country region mapping'!$F$2:$F$267)</f>
        <v>#NAME?</v>
      </c>
      <c r="F926" s="1" t="e">
        <f t="array" aca="1" ref="F926" ca="1">_xludf.XLOOKUP(C926,'country region mapping'!$A$2:$A$267,'country region mapping'!$G$2:$G$267)</f>
        <v>#NAME?</v>
      </c>
      <c r="G926" s="1">
        <v>5.9530000000000003</v>
      </c>
      <c r="H926" s="1">
        <v>129</v>
      </c>
      <c r="I926" s="1">
        <v>91</v>
      </c>
      <c r="J926" s="1">
        <v>109</v>
      </c>
      <c r="K926" s="1">
        <v>93</v>
      </c>
      <c r="L926" s="1">
        <v>58</v>
      </c>
      <c r="M926" s="1">
        <v>46</v>
      </c>
      <c r="N926" s="1">
        <v>83</v>
      </c>
      <c r="O926" s="1">
        <v>14</v>
      </c>
      <c r="P926" s="1">
        <v>75</v>
      </c>
      <c r="Q926" s="1">
        <v>46</v>
      </c>
      <c r="R926" s="1">
        <v>27</v>
      </c>
      <c r="S926" s="1">
        <v>44</v>
      </c>
    </row>
    <row r="927" spans="1:19">
      <c r="A927" s="1">
        <v>2019</v>
      </c>
      <c r="B927" s="1">
        <v>57</v>
      </c>
      <c r="C927" s="1" t="s">
        <v>123</v>
      </c>
      <c r="D927" s="1" t="e">
        <f t="array" aca="1" ref="D927" ca="1">_xludf.XLOOKUP(C927,'country region mapping'!$A$2:$A$250, 'country region mapping'!$E$2:$E$250)</f>
        <v>#NAME?</v>
      </c>
      <c r="E927" s="1" t="e">
        <f t="array" aca="1" ref="E927" ca="1">_xludf.XLOOKUP(C927,'country region mapping'!$A$2:$A$267,'country region mapping'!$F$2:$F$267)</f>
        <v>#NAME?</v>
      </c>
      <c r="F927" s="1" t="e">
        <f t="array" aca="1" ref="F927" ca="1">_xludf.XLOOKUP(C927,'country region mapping'!$A$2:$A$267,'country region mapping'!$G$2:$G$267)</f>
        <v>#NAME?</v>
      </c>
      <c r="G927" s="1">
        <v>5.95</v>
      </c>
      <c r="H927" s="1">
        <v>12</v>
      </c>
      <c r="I927" s="1">
        <v>22</v>
      </c>
      <c r="J927" s="1">
        <v>42</v>
      </c>
      <c r="K927" s="1">
        <v>64</v>
      </c>
      <c r="L927" s="1">
        <v>116</v>
      </c>
      <c r="M927" s="1">
        <v>103</v>
      </c>
      <c r="N927" s="1">
        <v>73</v>
      </c>
      <c r="O927" s="1">
        <v>122</v>
      </c>
      <c r="P927" s="1">
        <v>33</v>
      </c>
      <c r="Q927" s="1">
        <v>103</v>
      </c>
      <c r="R927" s="1">
        <v>134</v>
      </c>
      <c r="S927" s="1">
        <v>138</v>
      </c>
    </row>
    <row r="928" spans="1:19">
      <c r="A928" s="1">
        <v>2019</v>
      </c>
      <c r="B928" s="1">
        <v>58</v>
      </c>
      <c r="C928" s="1" t="s">
        <v>102</v>
      </c>
      <c r="D928" s="1" t="e">
        <f t="array" aca="1" ref="D928" ca="1">_xludf.XLOOKUP(C928,'country region mapping'!$A$2:$A$250, 'country region mapping'!$E$2:$E$250)</f>
        <v>#NAME?</v>
      </c>
      <c r="E928" s="1" t="e">
        <f t="array" aca="1" ref="E928" ca="1">_xludf.XLOOKUP(C928,'country region mapping'!$A$2:$A$267,'country region mapping'!$F$2:$F$267)</f>
        <v>#NAME?</v>
      </c>
      <c r="F928" s="1" t="e">
        <f t="array" aca="1" ref="F928" ca="1">_xludf.XLOOKUP(C928,'country region mapping'!$A$2:$A$267,'country region mapping'!$G$2:$G$267)</f>
        <v>#NAME?</v>
      </c>
      <c r="G928" s="1">
        <v>5.9249999999999998</v>
      </c>
      <c r="H928" s="1">
        <v>83</v>
      </c>
      <c r="I928" s="1">
        <v>86</v>
      </c>
      <c r="J928" s="1">
        <v>85</v>
      </c>
      <c r="K928" s="1">
        <v>41</v>
      </c>
      <c r="L928" s="1">
        <v>66</v>
      </c>
      <c r="M928" s="1">
        <v>99</v>
      </c>
      <c r="N928" s="1">
        <v>97</v>
      </c>
      <c r="O928" s="1">
        <v>29</v>
      </c>
      <c r="P928" s="1">
        <v>115</v>
      </c>
      <c r="Q928" s="1">
        <v>99</v>
      </c>
      <c r="R928" s="1">
        <v>103</v>
      </c>
      <c r="S928" s="1">
        <v>82</v>
      </c>
    </row>
    <row r="929" spans="1:19">
      <c r="A929" s="1">
        <v>2019</v>
      </c>
      <c r="B929" s="1">
        <v>59</v>
      </c>
      <c r="C929" s="1" t="s">
        <v>155</v>
      </c>
      <c r="D929" s="1" t="e">
        <f t="array" aca="1" ref="D929" ca="1">_xludf.XLOOKUP(C929,'country region mapping'!$A$2:$A$250, 'country region mapping'!$E$2:$E$250)</f>
        <v>#NAME?</v>
      </c>
      <c r="E929" s="1" t="e">
        <f t="array" aca="1" ref="E929" ca="1">_xludf.XLOOKUP(C929,'country region mapping'!$A$2:$A$267,'country region mapping'!$F$2:$F$267)</f>
        <v>#NAME?</v>
      </c>
      <c r="F929" s="1" t="e">
        <f t="array" aca="1" ref="F929" ca="1">_xludf.XLOOKUP(C929,'country region mapping'!$A$2:$A$267,'country region mapping'!$G$2:$G$267)</f>
        <v>#NAME?</v>
      </c>
      <c r="G929" s="1">
        <v>5.9109999999999996</v>
      </c>
      <c r="H929" s="1">
        <v>54</v>
      </c>
      <c r="I929" s="1">
        <v>59</v>
      </c>
      <c r="J929" s="1">
        <v>36</v>
      </c>
      <c r="K929" s="1">
        <v>24</v>
      </c>
      <c r="L929" s="1">
        <v>43</v>
      </c>
      <c r="M929" s="1">
        <v>119</v>
      </c>
      <c r="N929" s="1">
        <v>127</v>
      </c>
      <c r="O929" s="1">
        <v>68</v>
      </c>
      <c r="P929" s="1">
        <v>82</v>
      </c>
      <c r="Q929" s="1">
        <v>119</v>
      </c>
      <c r="R929" s="1">
        <v>102</v>
      </c>
      <c r="S929" s="1">
        <v>106</v>
      </c>
    </row>
    <row r="930" spans="1:19">
      <c r="A930" s="1">
        <v>2019</v>
      </c>
      <c r="B930" s="1">
        <v>60</v>
      </c>
      <c r="C930" s="1" t="s">
        <v>130</v>
      </c>
      <c r="D930" s="1" t="e">
        <f t="array" aca="1" ref="D930" ca="1">_xludf.XLOOKUP(C930,'country region mapping'!$A$2:$A$250, 'country region mapping'!$E$2:$E$250)</f>
        <v>#NAME?</v>
      </c>
      <c r="E930" s="1" t="e">
        <f t="array" aca="1" ref="E930" ca="1">_xludf.XLOOKUP(C930,'country region mapping'!$A$2:$A$267,'country region mapping'!$F$2:$F$267)</f>
        <v>#NAME?</v>
      </c>
      <c r="F930" s="1" t="e">
        <f t="array" aca="1" ref="F930" ca="1">_xludf.XLOOKUP(C930,'country region mapping'!$A$2:$A$267,'country region mapping'!$G$2:$G$267)</f>
        <v>#NAME?</v>
      </c>
      <c r="G930" s="1">
        <v>5.89</v>
      </c>
      <c r="H930" s="1">
        <v>112</v>
      </c>
      <c r="I930" s="1">
        <v>56</v>
      </c>
      <c r="J930" s="1">
        <v>93</v>
      </c>
      <c r="K930" s="1">
        <v>86</v>
      </c>
      <c r="L930" s="1">
        <v>36</v>
      </c>
      <c r="M930" s="1">
        <v>111</v>
      </c>
      <c r="N930" s="1">
        <v>122</v>
      </c>
      <c r="O930" s="1">
        <v>48</v>
      </c>
      <c r="P930" s="1">
        <v>23</v>
      </c>
      <c r="Q930" s="1">
        <v>111</v>
      </c>
      <c r="R930" s="1">
        <v>55</v>
      </c>
      <c r="S930" s="1">
        <v>18</v>
      </c>
    </row>
    <row r="931" spans="1:19">
      <c r="A931" s="1">
        <v>2019</v>
      </c>
      <c r="B931" s="1">
        <v>61</v>
      </c>
      <c r="C931" s="1" t="s">
        <v>110</v>
      </c>
      <c r="D931" s="1" t="e">
        <f t="array" aca="1" ref="D931" ca="1">_xludf.XLOOKUP(C931,'country region mapping'!$A$2:$A$267,'country region mapping'!$E$2:$E$267)</f>
        <v>#NAME?</v>
      </c>
      <c r="E931" s="1" t="e">
        <f t="array" aca="1" ref="E931" ca="1">_xludf.XLOOKUP(C931,'country region mapping'!$A$2:$A$267,'country region mapping'!$F$2:$F$267)</f>
        <v>#NAME?</v>
      </c>
      <c r="F931" s="1" t="e">
        <f t="array" aca="1" ref="F931" ca="1">_xludf.XLOOKUP(C931,'country region mapping'!$A$2:$A$267,'country region mapping'!$G$2:$G$267)</f>
        <v>#NAME?</v>
      </c>
      <c r="G931" s="1">
        <v>5.8719999999999999</v>
      </c>
      <c r="H931" s="1">
        <v>50</v>
      </c>
      <c r="I931" s="1">
        <v>96</v>
      </c>
      <c r="J931" s="1">
        <v>29</v>
      </c>
      <c r="K931" s="1">
        <v>3</v>
      </c>
      <c r="L931" s="1">
        <v>113</v>
      </c>
      <c r="M931" s="1">
        <v>42</v>
      </c>
      <c r="N931" s="1">
        <v>45</v>
      </c>
      <c r="O931" s="1">
        <v>104</v>
      </c>
      <c r="P931" s="1">
        <v>46</v>
      </c>
      <c r="Q931" s="1">
        <v>42</v>
      </c>
      <c r="R931" s="1">
        <v>71</v>
      </c>
      <c r="S931" s="1">
        <v>124</v>
      </c>
    </row>
    <row r="932" spans="1:19">
      <c r="A932" s="1">
        <v>2019</v>
      </c>
      <c r="B932" s="1">
        <v>62</v>
      </c>
      <c r="C932" s="1" t="s">
        <v>104</v>
      </c>
      <c r="D932" s="1" t="e">
        <f t="array" aca="1" ref="D932" ca="1">_xludf.XLOOKUP(C932,'country region mapping'!$A$2:$A$250, 'country region mapping'!$E$2:$E$250)</f>
        <v>#NAME?</v>
      </c>
      <c r="E932" s="1" t="e">
        <f t="array" aca="1" ref="E932" ca="1">_xludf.XLOOKUP(C932,'country region mapping'!$A$2:$A$267,'country region mapping'!$F$2:$F$267)</f>
        <v>#NAME?</v>
      </c>
      <c r="F932" s="1" t="e">
        <f t="array" aca="1" ref="F932" ca="1">_xludf.XLOOKUP(C932,'country region mapping'!$A$2:$A$267,'country region mapping'!$G$2:$G$267)</f>
        <v>#NAME?</v>
      </c>
      <c r="G932" s="1">
        <v>5.8710000000000004</v>
      </c>
      <c r="H932" s="1">
        <v>35</v>
      </c>
      <c r="I932" s="1">
        <v>57</v>
      </c>
      <c r="J932" s="1">
        <v>31</v>
      </c>
      <c r="K932" s="1">
        <v>2</v>
      </c>
      <c r="L932" s="1">
        <v>77</v>
      </c>
      <c r="M932" s="1">
        <v>123</v>
      </c>
      <c r="N932" s="1">
        <v>27</v>
      </c>
      <c r="O932" s="1">
        <v>63</v>
      </c>
      <c r="P932" s="1">
        <v>22</v>
      </c>
      <c r="Q932" s="1">
        <v>123</v>
      </c>
      <c r="R932" s="1">
        <v>100</v>
      </c>
      <c r="S932" s="1">
        <v>141</v>
      </c>
    </row>
    <row r="933" spans="1:19">
      <c r="A933" s="1">
        <v>2019</v>
      </c>
      <c r="B933" s="1">
        <v>63</v>
      </c>
      <c r="C933" s="1" t="s">
        <v>118</v>
      </c>
      <c r="D933" s="1" t="e">
        <f t="array" aca="1" ref="D933" ca="1">_xludf.XLOOKUP(C933,'country region mapping'!$A$2:$A$250, 'country region mapping'!$E$2:$E$250)</f>
        <v>#NAME?</v>
      </c>
      <c r="E933" s="1" t="e">
        <f t="array" aca="1" ref="E933" ca="1">_xludf.XLOOKUP(C933,'country region mapping'!$A$2:$A$267,'country region mapping'!$F$2:$F$267)</f>
        <v>#NAME?</v>
      </c>
      <c r="F933" s="1" t="e">
        <f t="array" aca="1" ref="F933" ca="1">_xludf.XLOOKUP(C933,'country region mapping'!$A$2:$A$267,'country region mapping'!$G$2:$G$267)</f>
        <v>#NAME?</v>
      </c>
      <c r="G933" s="1">
        <v>5.7969999999999997</v>
      </c>
      <c r="H933" s="1">
        <v>94</v>
      </c>
      <c r="I933" s="1">
        <v>85</v>
      </c>
      <c r="J933" s="1">
        <v>74</v>
      </c>
      <c r="K933" s="1">
        <v>33</v>
      </c>
      <c r="L933" s="1">
        <v>73</v>
      </c>
      <c r="M933" s="1">
        <v>101</v>
      </c>
      <c r="N933" s="1">
        <v>113</v>
      </c>
      <c r="O933" s="1">
        <v>8</v>
      </c>
      <c r="P933" s="1">
        <v>116</v>
      </c>
      <c r="Q933" s="1">
        <v>101</v>
      </c>
      <c r="R933" s="1">
        <v>62</v>
      </c>
      <c r="S933" s="1">
        <v>73</v>
      </c>
    </row>
    <row r="934" spans="1:19">
      <c r="A934" s="1">
        <v>2019</v>
      </c>
      <c r="B934" s="1">
        <v>64</v>
      </c>
      <c r="C934" s="1" t="s">
        <v>145</v>
      </c>
      <c r="D934" s="1" t="e">
        <f t="array" aca="1" ref="D934" ca="1">_xludf.XLOOKUP(C934,'country region mapping'!$A$2:$A$250, 'country region mapping'!$E$2:$E$250)</f>
        <v>#NAME?</v>
      </c>
      <c r="E934" s="1" t="e">
        <f t="array" aca="1" ref="E934" ca="1">_xludf.XLOOKUP(C934,'country region mapping'!$A$2:$A$267,'country region mapping'!$F$2:$F$267)</f>
        <v>#NAME?</v>
      </c>
      <c r="F934" s="1" t="e">
        <f t="array" aca="1" ref="F934" ca="1">_xludf.XLOOKUP(C934,'country region mapping'!$A$2:$A$267,'country region mapping'!$G$2:$G$267)</f>
        <v>#NAME?</v>
      </c>
      <c r="G934" s="1">
        <v>5.7779999999999996</v>
      </c>
      <c r="H934" s="1">
        <v>64</v>
      </c>
      <c r="I934" s="1">
        <v>39</v>
      </c>
      <c r="J934" s="1">
        <v>59</v>
      </c>
      <c r="K934" s="1">
        <v>57</v>
      </c>
      <c r="L934" s="1">
        <v>94</v>
      </c>
      <c r="M934" s="1">
        <v>53</v>
      </c>
      <c r="N934" s="1">
        <v>82</v>
      </c>
      <c r="O934" s="1">
        <v>135</v>
      </c>
      <c r="P934" s="1">
        <v>49</v>
      </c>
      <c r="Q934" s="1">
        <v>53</v>
      </c>
      <c r="R934" s="1">
        <v>135</v>
      </c>
      <c r="S934" s="1">
        <v>133</v>
      </c>
    </row>
    <row r="935" spans="1:19">
      <c r="A935" s="1">
        <v>2019</v>
      </c>
      <c r="B935" s="1">
        <v>65</v>
      </c>
      <c r="C935" s="1" t="s">
        <v>112</v>
      </c>
      <c r="D935" s="1" t="e">
        <f t="array" aca="1" ref="D935" ca="1">_xludf.XLOOKUP(C935,'country region mapping'!$A$2:$A$267,'country region mapping'!$E$2:$E$267)</f>
        <v>#NAME?</v>
      </c>
      <c r="E935" s="1" t="e">
        <f t="array" aca="1" ref="E935" ca="1">_xludf.XLOOKUP(C935,'country region mapping'!$A$2:$A$267,'country region mapping'!$F$2:$F$267)</f>
        <v>#NAME?</v>
      </c>
      <c r="F935" s="1" t="e">
        <f t="array" aca="1" ref="F935" ca="1">_xludf.XLOOKUP(C935,'country region mapping'!$A$2:$A$267,'country region mapping'!$G$2:$G$267)</f>
        <v>#NAME?</v>
      </c>
      <c r="G935" s="1">
        <v>5.7469999999999999</v>
      </c>
      <c r="H935" s="1">
        <v>63</v>
      </c>
      <c r="I935" s="1">
        <v>95</v>
      </c>
      <c r="J935" s="1">
        <v>95</v>
      </c>
      <c r="K935" s="1">
        <v>83</v>
      </c>
      <c r="L935" s="1">
        <v>44</v>
      </c>
      <c r="M935" s="1">
        <v>94</v>
      </c>
      <c r="N935" s="1">
        <v>104</v>
      </c>
      <c r="O935" s="1">
        <v>58</v>
      </c>
      <c r="P935" s="1">
        <v>129</v>
      </c>
      <c r="Q935" s="1">
        <v>94</v>
      </c>
      <c r="R935" s="1">
        <v>61</v>
      </c>
      <c r="S935" s="1">
        <v>83</v>
      </c>
    </row>
    <row r="936" spans="1:19">
      <c r="A936" s="1">
        <v>2019</v>
      </c>
      <c r="B936" s="1">
        <v>66</v>
      </c>
      <c r="C936" s="1" t="s">
        <v>152</v>
      </c>
      <c r="D936" s="1" t="e">
        <f t="array" aca="1" ref="D936" ca="1">_xludf.XLOOKUP(C936,'country region mapping'!$A$2:$A$250, 'country region mapping'!$E$2:$E$250)</f>
        <v>#NAME?</v>
      </c>
      <c r="E936" s="1" t="e">
        <f t="array" aca="1" ref="E936" ca="1">_xludf.XLOOKUP(C936,'country region mapping'!$A$2:$A$267,'country region mapping'!$F$2:$F$267)</f>
        <v>#NAME?</v>
      </c>
      <c r="F936" s="1" t="e">
        <f t="array" aca="1" ref="F936" ca="1">_xludf.XLOOKUP(C936,'country region mapping'!$A$2:$A$267,'country region mapping'!$G$2:$G$267)</f>
        <v>#NAME?</v>
      </c>
      <c r="G936" s="1">
        <v>5.6929999999999996</v>
      </c>
      <c r="H936" s="1">
        <v>86</v>
      </c>
      <c r="I936" s="1">
        <v>134</v>
      </c>
      <c r="J936" s="1">
        <v>114</v>
      </c>
      <c r="K936" s="1">
        <v>110</v>
      </c>
      <c r="L936" s="1">
        <v>120</v>
      </c>
      <c r="M936" s="1">
        <v>38</v>
      </c>
      <c r="N936" s="1">
        <v>68</v>
      </c>
      <c r="O936" s="1">
        <v>133</v>
      </c>
      <c r="P936" s="1">
        <v>130</v>
      </c>
      <c r="Q936" s="1">
        <v>38</v>
      </c>
      <c r="R936" s="1">
        <v>66</v>
      </c>
      <c r="S936" s="1">
        <v>72</v>
      </c>
    </row>
    <row r="937" spans="1:19">
      <c r="A937" s="1">
        <v>2019</v>
      </c>
      <c r="B937" s="1">
        <v>67</v>
      </c>
      <c r="C937" s="1" t="s">
        <v>126</v>
      </c>
      <c r="D937" s="1" t="e">
        <f t="array" aca="1" ref="D937" ca="1">_xludf.XLOOKUP(C937,'country region mapping'!$A$2:$A$250, 'country region mapping'!$E$2:$E$250)</f>
        <v>#NAME?</v>
      </c>
      <c r="E937" s="1" t="e">
        <f t="array" aca="1" ref="E937" ca="1">_xludf.XLOOKUP(C937,'country region mapping'!$A$2:$A$267,'country region mapping'!$F$2:$F$267)</f>
        <v>#NAME?</v>
      </c>
      <c r="F937" s="1" t="e">
        <f t="array" aca="1" ref="F937" ca="1">_xludf.XLOOKUP(C937,'country region mapping'!$A$2:$A$267,'country region mapping'!$G$2:$G$267)</f>
        <v>#NAME?</v>
      </c>
      <c r="G937" s="1">
        <v>5.6920000000000002</v>
      </c>
      <c r="H937" s="1">
        <v>95</v>
      </c>
      <c r="I937" s="1">
        <v>44</v>
      </c>
      <c r="J937" s="1">
        <v>75</v>
      </c>
      <c r="K937" s="1">
        <v>72</v>
      </c>
      <c r="L937" s="1">
        <v>47</v>
      </c>
      <c r="M937" s="1">
        <v>43</v>
      </c>
      <c r="N937" s="1">
        <v>117</v>
      </c>
      <c r="O937" s="1">
        <v>12</v>
      </c>
      <c r="P937" s="1">
        <v>73</v>
      </c>
      <c r="Q937" s="1">
        <v>43</v>
      </c>
      <c r="R937" s="1">
        <v>44</v>
      </c>
      <c r="S937" s="1">
        <v>55</v>
      </c>
    </row>
    <row r="938" spans="1:19">
      <c r="A938" s="1">
        <v>2019</v>
      </c>
      <c r="B938" s="1">
        <v>68</v>
      </c>
      <c r="C938" s="1" t="s">
        <v>149</v>
      </c>
      <c r="D938" s="1" t="e">
        <f t="array" aca="1" ref="D938" ca="1">_xludf.XLOOKUP(C938,'country region mapping'!$A$2:$A$250, 'country region mapping'!$E$2:$E$250)</f>
        <v>#NAME?</v>
      </c>
      <c r="E938" s="1" t="e">
        <f t="array" aca="1" ref="E938" ca="1">_xludf.XLOOKUP(C938,'country region mapping'!$A$2:$A$267,'country region mapping'!$F$2:$F$267)</f>
        <v>#NAME?</v>
      </c>
      <c r="F938" s="1" t="e">
        <f t="array" aca="1" ref="F938" ca="1">_xludf.XLOOKUP(C938,'country region mapping'!$A$2:$A$267,'country region mapping'!$G$2:$G$267)</f>
        <v>#NAME?</v>
      </c>
      <c r="G938" s="1">
        <v>5.6890000000000001</v>
      </c>
      <c r="H938" s="1">
        <v>135</v>
      </c>
      <c r="I938" s="1">
        <v>51</v>
      </c>
      <c r="J938" s="1">
        <v>60</v>
      </c>
      <c r="K938" s="1">
        <v>79</v>
      </c>
      <c r="L938" s="1">
        <v>45</v>
      </c>
      <c r="M938" s="1">
        <v>89</v>
      </c>
      <c r="N938" s="1">
        <v>59</v>
      </c>
      <c r="O938" s="1">
        <v>30</v>
      </c>
      <c r="P938" s="1">
        <v>64</v>
      </c>
      <c r="Q938" s="1">
        <v>89</v>
      </c>
      <c r="R938" s="1">
        <v>25</v>
      </c>
      <c r="S938" s="1">
        <v>54</v>
      </c>
    </row>
    <row r="939" spans="1:19">
      <c r="A939" s="1">
        <v>2019</v>
      </c>
      <c r="B939" s="1">
        <v>69</v>
      </c>
      <c r="C939" s="1" t="s">
        <v>146</v>
      </c>
      <c r="D939" s="1" t="e">
        <f t="array" aca="1" ref="D939" ca="1">_xludf.XLOOKUP(C939,'country region mapping'!$A$2:$A$250, 'country region mapping'!$E$2:$E$250)</f>
        <v>#NAME?</v>
      </c>
      <c r="E939" s="1" t="e">
        <f t="array" aca="1" ref="E939" ca="1">_xludf.XLOOKUP(C939,'country region mapping'!$A$2:$A$267,'country region mapping'!$F$2:$F$267)</f>
        <v>#NAME?</v>
      </c>
      <c r="F939" s="1" t="e">
        <f t="array" aca="1" ref="F939" ca="1">_xludf.XLOOKUP(C939,'country region mapping'!$A$2:$A$267,'country region mapping'!$G$2:$G$267)</f>
        <v>#NAME?</v>
      </c>
      <c r="G939" s="1">
        <v>5.6740000000000004</v>
      </c>
      <c r="H939" s="1">
        <v>65</v>
      </c>
      <c r="I939" s="1">
        <v>61</v>
      </c>
      <c r="J939" s="1">
        <v>70</v>
      </c>
      <c r="K939" s="1">
        <v>49</v>
      </c>
      <c r="L939" s="1">
        <v>105</v>
      </c>
      <c r="M939" s="1">
        <v>32</v>
      </c>
      <c r="N939" s="1">
        <v>135</v>
      </c>
      <c r="O939" s="1">
        <v>118</v>
      </c>
      <c r="P939" s="1">
        <v>48</v>
      </c>
      <c r="Q939" s="1">
        <v>32</v>
      </c>
      <c r="R939" s="1">
        <v>133</v>
      </c>
      <c r="S939" s="1">
        <v>105</v>
      </c>
    </row>
    <row r="940" spans="1:19">
      <c r="A940" s="1">
        <v>2019</v>
      </c>
      <c r="B940" s="1">
        <v>70</v>
      </c>
      <c r="C940" s="1" t="s">
        <v>285</v>
      </c>
      <c r="D940" s="1" t="e">
        <f t="array" aca="1" ref="D940" ca="1">_xludf.XLOOKUP(C940,'country region mapping'!$A$2:$A$267,'country region mapping'!$E$2:$E$267)</f>
        <v>#NAME?</v>
      </c>
      <c r="E940" s="1" t="e">
        <f t="array" aca="1" ref="E940" ca="1">_xludf.XLOOKUP(C940,'country region mapping'!$A$2:$A$267,'country region mapping'!$F$2:$F$267)</f>
        <v>#NAME?</v>
      </c>
      <c r="F940" s="1" t="e">
        <f t="array" aca="1" ref="F940" ca="1">_xludf.XLOOKUP(C940,'country region mapping'!$A$2:$A$267,'country region mapping'!$G$2:$G$267)</f>
        <v>#NAME?</v>
      </c>
      <c r="G940" s="1">
        <v>5.6079999999999997</v>
      </c>
      <c r="H940" s="1">
        <v>72</v>
      </c>
      <c r="I940" s="1">
        <v>84</v>
      </c>
      <c r="J940" s="1">
        <v>81</v>
      </c>
      <c r="K940" s="1">
        <v>76</v>
      </c>
      <c r="L940" s="1">
        <v>81</v>
      </c>
      <c r="M940" s="1">
        <v>85</v>
      </c>
      <c r="N940" s="1">
        <v>119</v>
      </c>
      <c r="O940" s="1">
        <v>101</v>
      </c>
      <c r="P940" s="1">
        <v>63</v>
      </c>
      <c r="Q940" s="1">
        <v>85</v>
      </c>
      <c r="R940" s="1">
        <v>105</v>
      </c>
      <c r="S940" s="1">
        <v>81</v>
      </c>
    </row>
    <row r="941" spans="1:19">
      <c r="A941" s="1">
        <v>2019</v>
      </c>
      <c r="B941" s="1">
        <v>71</v>
      </c>
      <c r="C941" s="1" t="s">
        <v>162</v>
      </c>
      <c r="D941" s="1" t="e">
        <f t="array" aca="1" ref="D941" ca="1">_xludf.XLOOKUP(C941,'country region mapping'!$A$2:$A$250, 'country region mapping'!$E$2:$E$250)</f>
        <v>#NAME?</v>
      </c>
      <c r="E941" s="1" t="e">
        <f t="array" aca="1" ref="E941" ca="1">_xludf.XLOOKUP(C941,'country region mapping'!$A$2:$A$267,'country region mapping'!$F$2:$F$267)</f>
        <v>#NAME?</v>
      </c>
      <c r="F941" s="1" t="e">
        <f t="array" aca="1" ref="F941" ca="1">_xludf.XLOOKUP(C941,'country region mapping'!$A$2:$A$267,'country region mapping'!$G$2:$G$267)</f>
        <v>#NAME?</v>
      </c>
      <c r="G941" s="1">
        <v>5.556</v>
      </c>
      <c r="H941" s="1">
        <v>25</v>
      </c>
      <c r="I941" s="1">
        <v>53</v>
      </c>
      <c r="J941" s="1">
        <v>119</v>
      </c>
      <c r="K941" s="1">
        <v>71</v>
      </c>
      <c r="M941" s="14">
        <v>107</v>
      </c>
      <c r="N941" s="14">
        <v>19</v>
      </c>
      <c r="O941" s="14">
        <v>77</v>
      </c>
      <c r="P941" s="14">
        <v>14</v>
      </c>
      <c r="Q941" s="14">
        <v>107</v>
      </c>
      <c r="R941" s="14">
        <v>5</v>
      </c>
      <c r="S941" s="14">
        <v>61</v>
      </c>
    </row>
    <row r="942" spans="1:19">
      <c r="A942" s="1">
        <v>2019</v>
      </c>
      <c r="B942" s="1">
        <v>72</v>
      </c>
      <c r="C942" s="1" t="s">
        <v>147</v>
      </c>
      <c r="D942" s="1" t="e">
        <f t="array" aca="1" ref="D942" ca="1">_xludf.XLOOKUP(C942,'country region mapping'!$A$2:$A$250, 'country region mapping'!$E$2:$E$250)</f>
        <v>#NAME?</v>
      </c>
      <c r="E942" s="1" t="e">
        <f t="array" aca="1" ref="E942" ca="1">_xludf.XLOOKUP(C942,'country region mapping'!$A$2:$A$267,'country region mapping'!$F$2:$F$267)</f>
        <v>#NAME?</v>
      </c>
      <c r="F942" s="1" t="e">
        <f t="array" aca="1" ref="F942" ca="1">_xludf.XLOOKUP(C942,'country region mapping'!$A$2:$A$267,'country region mapping'!$G$2:$G$267)</f>
        <v>#NAME?</v>
      </c>
      <c r="G942" s="1">
        <v>5.5460000000000003</v>
      </c>
      <c r="H942" s="1">
        <v>59</v>
      </c>
      <c r="I942" s="1">
        <v>79</v>
      </c>
      <c r="J942" s="1">
        <v>55</v>
      </c>
      <c r="K942" s="1">
        <v>45</v>
      </c>
      <c r="L942" s="1">
        <v>117</v>
      </c>
      <c r="M942" s="1">
        <v>74</v>
      </c>
      <c r="N942" s="1">
        <v>86</v>
      </c>
      <c r="O942" s="1">
        <v>117</v>
      </c>
      <c r="P942" s="1">
        <v>112</v>
      </c>
      <c r="Q942" s="1">
        <v>74</v>
      </c>
      <c r="R942" s="1">
        <v>120</v>
      </c>
      <c r="S942" s="1">
        <v>120</v>
      </c>
    </row>
    <row r="943" spans="1:19">
      <c r="A943" s="1">
        <v>2019</v>
      </c>
      <c r="B943" s="1">
        <v>73</v>
      </c>
      <c r="C943" s="1" t="s">
        <v>108</v>
      </c>
      <c r="D943" s="1" t="e">
        <f t="array" aca="1" ref="D943" ca="1">_xludf.XLOOKUP(C943,'country region mapping'!$A$2:$A$250, 'country region mapping'!$E$2:$E$250)</f>
        <v>#NAME?</v>
      </c>
      <c r="E943" s="1" t="e">
        <f t="array" aca="1" ref="E943" ca="1">_xludf.XLOOKUP(C943,'country region mapping'!$A$2:$A$267,'country region mapping'!$F$2:$F$267)</f>
        <v>#NAME?</v>
      </c>
      <c r="F943" s="1" t="e">
        <f t="array" aca="1" ref="F943" ca="1">_xludf.XLOOKUP(C943,'country region mapping'!$A$2:$A$267,'country region mapping'!$G$2:$G$267)</f>
        <v>#NAME?</v>
      </c>
      <c r="G943" s="1">
        <v>5.5460000000000003</v>
      </c>
      <c r="H943" s="1">
        <v>68</v>
      </c>
      <c r="I943" s="1">
        <v>37</v>
      </c>
      <c r="J943" s="1">
        <v>38</v>
      </c>
      <c r="K943" s="1">
        <v>82</v>
      </c>
      <c r="L943" s="1">
        <v>109</v>
      </c>
      <c r="M943" s="1">
        <v>70</v>
      </c>
      <c r="N943" s="1">
        <v>100</v>
      </c>
      <c r="O943" s="1">
        <v>92</v>
      </c>
      <c r="P943" s="1">
        <v>26</v>
      </c>
      <c r="Q943" s="1">
        <v>70</v>
      </c>
      <c r="R943" s="1">
        <v>113</v>
      </c>
      <c r="S943" s="1">
        <v>99</v>
      </c>
    </row>
    <row r="944" spans="1:19">
      <c r="A944" s="1">
        <v>2019</v>
      </c>
      <c r="B944" s="1">
        <v>74</v>
      </c>
      <c r="C944" s="1" t="s">
        <v>144</v>
      </c>
      <c r="D944" s="1" t="e">
        <f t="array" aca="1" ref="D944" ca="1">_xludf.XLOOKUP(C944,'country region mapping'!$A$2:$A$250, 'country region mapping'!$E$2:$E$250)</f>
        <v>#NAME?</v>
      </c>
      <c r="E944" s="1" t="e">
        <f t="array" aca="1" ref="E944" ca="1">_xludf.XLOOKUP(C944,'country region mapping'!$A$2:$A$267,'country region mapping'!$F$2:$F$267)</f>
        <v>#NAME?</v>
      </c>
      <c r="F944" s="1" t="e">
        <f t="array" aca="1" ref="F944" ca="1">_xludf.XLOOKUP(C944,'country region mapping'!$A$2:$A$267,'country region mapping'!$G$2:$G$267)</f>
        <v>#NAME?</v>
      </c>
      <c r="G944" s="1">
        <v>5.5419999999999998</v>
      </c>
      <c r="H944" s="1">
        <v>47</v>
      </c>
      <c r="I944" s="1">
        <v>58</v>
      </c>
      <c r="J944" s="1">
        <v>111</v>
      </c>
      <c r="K944" s="1">
        <v>74</v>
      </c>
      <c r="L944" s="1">
        <v>15</v>
      </c>
      <c r="M944" s="1">
        <v>72</v>
      </c>
      <c r="N944" s="1">
        <v>120</v>
      </c>
      <c r="O944" s="1">
        <v>94</v>
      </c>
      <c r="P944" s="1">
        <v>31</v>
      </c>
      <c r="Q944" s="1">
        <v>72</v>
      </c>
      <c r="R944" s="1">
        <v>104</v>
      </c>
      <c r="S944" s="1">
        <v>115</v>
      </c>
    </row>
    <row r="945" spans="1:19">
      <c r="A945" s="1">
        <v>2019</v>
      </c>
      <c r="B945" s="1">
        <v>75</v>
      </c>
      <c r="C945" s="1" t="s">
        <v>115</v>
      </c>
      <c r="D945" s="1" t="e">
        <f t="array" aca="1" ref="D945" ca="1">_xludf.XLOOKUP(C945,'country region mapping'!$A$2:$A$250, 'country region mapping'!$E$2:$E$250)</f>
        <v>#NAME?</v>
      </c>
      <c r="E945" s="1" t="e">
        <f t="array" aca="1" ref="E945" ca="1">_xludf.XLOOKUP(C945,'country region mapping'!$A$2:$A$267,'country region mapping'!$F$2:$F$267)</f>
        <v>#NAME?</v>
      </c>
      <c r="F945" s="1" t="e">
        <f t="array" aca="1" ref="F945" ca="1">_xludf.XLOOKUP(C945,'country region mapping'!$A$2:$A$267,'country region mapping'!$G$2:$G$267)</f>
        <v>#NAME?</v>
      </c>
      <c r="G945" s="1">
        <v>5.54</v>
      </c>
      <c r="H945" s="1">
        <v>38</v>
      </c>
      <c r="I945" s="1">
        <v>31</v>
      </c>
      <c r="J945" s="1">
        <v>52</v>
      </c>
      <c r="K945" s="1">
        <v>69</v>
      </c>
      <c r="L945" s="1">
        <v>126</v>
      </c>
      <c r="M945" s="1">
        <v>113</v>
      </c>
      <c r="N945" s="1">
        <v>21</v>
      </c>
      <c r="O945" s="1">
        <v>113</v>
      </c>
      <c r="P945" s="1">
        <v>20</v>
      </c>
      <c r="Q945" s="1">
        <v>113</v>
      </c>
      <c r="R945" s="1">
        <v>121</v>
      </c>
      <c r="S945" s="1">
        <v>139</v>
      </c>
    </row>
    <row r="946" spans="1:19">
      <c r="A946" s="1">
        <v>2019</v>
      </c>
      <c r="B946" s="1">
        <v>77</v>
      </c>
      <c r="C946" s="1" t="s">
        <v>160</v>
      </c>
      <c r="D946" s="1" t="e">
        <f t="array" aca="1" ref="D946" ca="1">_xludf.XLOOKUP(C946,'country region mapping'!$A$2:$A$250, 'country region mapping'!$E$2:$E$250)</f>
        <v>#NAME?</v>
      </c>
      <c r="E946" s="1" t="e">
        <f t="array" aca="1" ref="E946" ca="1">_xludf.XLOOKUP(C946,'country region mapping'!$A$2:$A$267,'country region mapping'!$F$2:$F$267)</f>
        <v>#NAME?</v>
      </c>
      <c r="F946" s="1" t="e">
        <f t="array" aca="1" ref="F946" ca="1">_xludf.XLOOKUP(C946,'country region mapping'!$A$2:$A$267,'country region mapping'!$G$2:$G$267)</f>
        <v>#NAME?</v>
      </c>
      <c r="G946" s="1">
        <v>5.5149999999999997</v>
      </c>
      <c r="H946" s="1">
        <v>44</v>
      </c>
      <c r="I946" s="1">
        <v>45</v>
      </c>
      <c r="J946" s="1">
        <v>44</v>
      </c>
      <c r="K946" s="1">
        <v>25</v>
      </c>
      <c r="L946" s="1">
        <v>135</v>
      </c>
      <c r="M946" s="1">
        <v>137</v>
      </c>
      <c r="N946" s="1">
        <v>101</v>
      </c>
      <c r="O946" s="1">
        <v>112</v>
      </c>
      <c r="P946" s="1">
        <v>45</v>
      </c>
      <c r="Q946" s="1">
        <v>137</v>
      </c>
      <c r="R946" s="1">
        <v>128</v>
      </c>
      <c r="S946" s="1">
        <v>110</v>
      </c>
    </row>
    <row r="947" spans="1:19">
      <c r="A947" s="1">
        <v>2019</v>
      </c>
      <c r="B947" s="1">
        <v>78</v>
      </c>
      <c r="C947" s="1" t="s">
        <v>132</v>
      </c>
      <c r="D947" s="1" t="e">
        <f t="array" aca="1" ref="D947" ca="1">_xludf.XLOOKUP(C947,'country region mapping'!$A$2:$A$267,'country region mapping'!$E$2:$E$267)</f>
        <v>#NAME?</v>
      </c>
      <c r="E947" s="1" t="e">
        <f t="array" aca="1" ref="E947" ca="1">_xludf.XLOOKUP(C947,'country region mapping'!$A$2:$A$267,'country region mapping'!$F$2:$F$267)</f>
        <v>#NAME?</v>
      </c>
      <c r="F947" s="1" t="e">
        <f t="array" aca="1" ref="F947" ca="1">_xludf.XLOOKUP(C947,'country region mapping'!$A$2:$A$267,'country region mapping'!$G$2:$G$267)</f>
        <v>#NAME?</v>
      </c>
      <c r="G947" s="1">
        <v>5.51</v>
      </c>
      <c r="H947" s="1">
        <v>31</v>
      </c>
      <c r="I947" s="1">
        <v>67</v>
      </c>
      <c r="J947" s="1">
        <v>10</v>
      </c>
      <c r="K947" s="1"/>
      <c r="L947" s="1">
        <v>102</v>
      </c>
      <c r="M947" s="1">
        <v>20</v>
      </c>
      <c r="N947" s="1">
        <v>13</v>
      </c>
      <c r="O947" s="1">
        <v>126</v>
      </c>
      <c r="P947" s="1">
        <v>109</v>
      </c>
      <c r="Q947" s="1">
        <v>20</v>
      </c>
      <c r="R947" s="1">
        <v>98</v>
      </c>
      <c r="S947" s="1">
        <v>85</v>
      </c>
    </row>
    <row r="948" spans="1:19">
      <c r="A948" s="1">
        <v>2019</v>
      </c>
      <c r="B948" s="1">
        <v>79</v>
      </c>
      <c r="C948" s="1" t="s">
        <v>131</v>
      </c>
      <c r="D948" s="1" t="e">
        <f t="array" aca="1" ref="D948" ca="1">_xludf.XLOOKUP(C948,'country region mapping'!$A$2:$A$250, 'country region mapping'!$E$2:$E$250)</f>
        <v>#NAME?</v>
      </c>
      <c r="E948" s="1" t="e">
        <f t="array" aca="1" ref="E948" ca="1">_xludf.XLOOKUP(C948,'country region mapping'!$A$2:$A$267,'country region mapping'!$F$2:$F$267)</f>
        <v>#NAME?</v>
      </c>
      <c r="F948" s="1" t="e">
        <f t="array" aca="1" ref="F948" ca="1">_xludf.XLOOKUP(C948,'country region mapping'!$A$2:$A$267,'country region mapping'!$G$2:$G$267)</f>
        <v>#NAME?</v>
      </c>
      <c r="G948" s="1">
        <v>5.5049999999999999</v>
      </c>
      <c r="H948" s="1">
        <v>23</v>
      </c>
      <c r="I948" s="1">
        <v>21</v>
      </c>
      <c r="J948" s="1">
        <v>43</v>
      </c>
      <c r="K948" s="1">
        <v>35</v>
      </c>
      <c r="L948" s="1">
        <v>97</v>
      </c>
      <c r="M948" s="1">
        <v>80</v>
      </c>
      <c r="N948" s="1">
        <v>132</v>
      </c>
      <c r="O948" s="1">
        <v>130</v>
      </c>
      <c r="P948" s="1">
        <v>67</v>
      </c>
      <c r="Q948" s="1">
        <v>80</v>
      </c>
      <c r="R948" s="1">
        <v>109</v>
      </c>
      <c r="S948" s="1">
        <v>126</v>
      </c>
    </row>
    <row r="949" spans="1:19">
      <c r="A949" s="1">
        <v>2019</v>
      </c>
      <c r="B949" s="1">
        <v>80</v>
      </c>
      <c r="C949" s="1" t="s">
        <v>122</v>
      </c>
      <c r="D949" s="1" t="e">
        <f t="array" aca="1" ref="D949" ca="1">_xludf.XLOOKUP(C949,'country region mapping'!$A$2:$A$250, 'country region mapping'!$E$2:$E$250)</f>
        <v>#NAME?</v>
      </c>
      <c r="E949" s="1" t="e">
        <f t="array" aca="1" ref="E949" ca="1">_xludf.XLOOKUP(C949,'country region mapping'!$A$2:$A$267,'country region mapping'!$F$2:$F$267)</f>
        <v>#NAME?</v>
      </c>
      <c r="F949" s="1" t="e">
        <f t="array" aca="1" ref="F949" ca="1">_xludf.XLOOKUP(C949,'country region mapping'!$A$2:$A$267,'country region mapping'!$G$2:$G$267)</f>
        <v>#NAME?</v>
      </c>
      <c r="G949" s="1">
        <v>5.4889999999999999</v>
      </c>
      <c r="H949" s="1">
        <v>89</v>
      </c>
      <c r="I949" s="1">
        <v>80</v>
      </c>
      <c r="J949" s="1">
        <v>83</v>
      </c>
      <c r="K949" s="1">
        <v>89</v>
      </c>
      <c r="L949" s="1">
        <v>90</v>
      </c>
      <c r="M949" s="1">
        <v>67</v>
      </c>
      <c r="N949" s="1">
        <v>37</v>
      </c>
      <c r="O949" s="1">
        <v>93</v>
      </c>
      <c r="P949" s="1">
        <v>124</v>
      </c>
      <c r="Q949" s="1">
        <v>67</v>
      </c>
      <c r="R949" s="1">
        <v>69</v>
      </c>
      <c r="S949" s="1">
        <v>3</v>
      </c>
    </row>
    <row r="950" spans="1:19">
      <c r="A950" s="1">
        <v>2019</v>
      </c>
      <c r="B950" s="1">
        <v>81</v>
      </c>
      <c r="C950" s="1" t="s">
        <v>163</v>
      </c>
      <c r="D950" s="1" t="e">
        <f t="array" aca="1" ref="D950" ca="1">_xludf.XLOOKUP(C950,'country region mapping'!$A$2:$A$250, 'country region mapping'!$E$2:$E$250)</f>
        <v>#NAME?</v>
      </c>
      <c r="E950" s="1" t="e">
        <f t="array" aca="1" ref="E950" ca="1">_xludf.XLOOKUP(C950,'country region mapping'!$A$2:$A$267,'country region mapping'!$F$2:$F$267)</f>
        <v>#NAME?</v>
      </c>
      <c r="F950" s="1" t="e">
        <f t="array" aca="1" ref="F950" ca="1">_xludf.XLOOKUP(C950,'country region mapping'!$A$2:$A$267,'country region mapping'!$G$2:$G$267)</f>
        <v>#NAME?</v>
      </c>
      <c r="G950" s="1">
        <v>5.4560000000000004</v>
      </c>
      <c r="H950" s="1">
        <v>41</v>
      </c>
      <c r="I950" s="1">
        <v>13</v>
      </c>
      <c r="J950" s="1">
        <v>72</v>
      </c>
      <c r="K950" s="1">
        <v>94</v>
      </c>
      <c r="L950" s="1">
        <v>111</v>
      </c>
      <c r="M950" s="1">
        <v>27</v>
      </c>
      <c r="N950" s="1">
        <v>112</v>
      </c>
      <c r="O950" s="1">
        <v>110</v>
      </c>
      <c r="P950" s="1">
        <v>9</v>
      </c>
      <c r="Q950" s="1">
        <v>27</v>
      </c>
      <c r="R950" s="1">
        <v>12</v>
      </c>
      <c r="S950" s="1">
        <v>114</v>
      </c>
    </row>
    <row r="951" spans="1:19">
      <c r="A951" s="1">
        <v>2019</v>
      </c>
      <c r="B951" s="1">
        <v>82</v>
      </c>
      <c r="C951" s="1" t="s">
        <v>97</v>
      </c>
      <c r="D951" s="1" t="e">
        <f t="array" aca="1" ref="D951" ca="1">_xludf.XLOOKUP(C951,'country region mapping'!$A$2:$A$250, 'country region mapping'!$E$2:$E$250)</f>
        <v>#NAME?</v>
      </c>
      <c r="E951" s="1" t="e">
        <f t="array" aca="1" ref="E951" ca="1">_xludf.XLOOKUP(C951,'country region mapping'!$A$2:$A$267,'country region mapping'!$F$2:$F$267)</f>
        <v>#NAME?</v>
      </c>
      <c r="F951" s="1" t="e">
        <f t="array" aca="1" ref="F951" ca="1">_xludf.XLOOKUP(C951,'country region mapping'!$A$2:$A$267,'country region mapping'!$G$2:$G$267)</f>
        <v>#NAME?</v>
      </c>
      <c r="G951" s="1">
        <v>5.3840000000000003</v>
      </c>
      <c r="H951" s="1">
        <v>52</v>
      </c>
      <c r="I951" s="1">
        <v>74</v>
      </c>
      <c r="J951" s="1">
        <v>47</v>
      </c>
      <c r="K951" s="1">
        <v>67</v>
      </c>
      <c r="L951" s="1">
        <v>17</v>
      </c>
      <c r="M951" s="1">
        <v>19</v>
      </c>
      <c r="N951" s="1">
        <v>69</v>
      </c>
      <c r="O951" s="1">
        <v>36</v>
      </c>
      <c r="P951" s="1">
        <v>12</v>
      </c>
      <c r="Q951" s="1">
        <v>19</v>
      </c>
      <c r="R951" s="1">
        <v>59</v>
      </c>
      <c r="S951" s="1">
        <v>48</v>
      </c>
    </row>
    <row r="952" spans="1:19">
      <c r="A952" s="1">
        <v>2019</v>
      </c>
      <c r="B952" s="1">
        <v>83</v>
      </c>
      <c r="C952" s="1" t="s">
        <v>157</v>
      </c>
      <c r="D952" s="1" t="e">
        <f t="array" aca="1" ref="D952" ca="1">_xludf.XLOOKUP(C952,'country region mapping'!$A$2:$A$250, 'country region mapping'!$E$2:$E$250)</f>
        <v>#NAME?</v>
      </c>
      <c r="E952" s="1" t="e">
        <f t="array" aca="1" ref="E952" ca="1">_xludf.XLOOKUP(C952,'country region mapping'!$A$2:$A$267,'country region mapping'!$F$2:$F$267)</f>
        <v>#NAME?</v>
      </c>
      <c r="F952" s="1" t="e">
        <f t="array" aca="1" ref="F952" ca="1">_xludf.XLOOKUP(C952,'country region mapping'!$A$2:$A$267,'country region mapping'!$G$2:$G$267)</f>
        <v>#NAME?</v>
      </c>
      <c r="G952" s="1">
        <v>5.3529999999999998</v>
      </c>
      <c r="H952" s="1">
        <v>36</v>
      </c>
      <c r="I952" s="1">
        <v>70</v>
      </c>
      <c r="J952" s="1">
        <v>89</v>
      </c>
      <c r="K952" s="1">
        <v>70</v>
      </c>
      <c r="L952" s="1">
        <v>6</v>
      </c>
      <c r="M952" s="1">
        <v>114</v>
      </c>
      <c r="N952" s="1">
        <v>72</v>
      </c>
      <c r="O952" s="1">
        <v>79</v>
      </c>
      <c r="P952" s="1">
        <v>19</v>
      </c>
      <c r="Q952" s="1">
        <v>114</v>
      </c>
      <c r="R952" s="1">
        <v>92</v>
      </c>
      <c r="S952" s="1">
        <v>91</v>
      </c>
    </row>
    <row r="953" spans="1:19">
      <c r="A953" s="1">
        <v>2019</v>
      </c>
      <c r="B953" s="1">
        <v>84</v>
      </c>
      <c r="C953" s="1" t="s">
        <v>137</v>
      </c>
      <c r="D953" s="1" t="e">
        <f t="array" aca="1" ref="D953" ca="1">_xludf.XLOOKUP(C953,'country region mapping'!$A$2:$A$250, 'country region mapping'!$E$2:$E$250)</f>
        <v>#NAME?</v>
      </c>
      <c r="E953" s="1" t="e">
        <f t="array" aca="1" ref="E953" ca="1">_xludf.XLOOKUP(C953,'country region mapping'!$A$2:$A$267,'country region mapping'!$F$2:$F$267)</f>
        <v>#NAME?</v>
      </c>
      <c r="F953" s="1" t="e">
        <f t="array" aca="1" ref="F953" ca="1">_xludf.XLOOKUP(C953,'country region mapping'!$A$2:$A$267,'country region mapping'!$G$2:$G$267)</f>
        <v>#NAME?</v>
      </c>
      <c r="G953" s="1">
        <v>5.2859999999999996</v>
      </c>
      <c r="H953" s="1">
        <v>104</v>
      </c>
      <c r="I953" s="1">
        <v>89</v>
      </c>
      <c r="J953" s="1">
        <v>87</v>
      </c>
      <c r="K953" s="1">
        <v>90</v>
      </c>
      <c r="L953" s="1">
        <v>52</v>
      </c>
      <c r="M953" s="1">
        <v>1</v>
      </c>
      <c r="N953" s="1">
        <v>106</v>
      </c>
      <c r="O953" s="1">
        <v>5</v>
      </c>
      <c r="P953" s="1">
        <v>83</v>
      </c>
      <c r="Q953" s="1">
        <v>1</v>
      </c>
      <c r="R953" s="1">
        <v>1</v>
      </c>
      <c r="S953" s="1">
        <v>37</v>
      </c>
    </row>
    <row r="954" spans="1:19">
      <c r="A954" s="1">
        <v>2019</v>
      </c>
      <c r="B954" s="1">
        <v>85</v>
      </c>
      <c r="C954" s="1" t="s">
        <v>220</v>
      </c>
      <c r="D954" s="1" t="e">
        <f t="array" aca="1" ref="D954" ca="1">_xludf.XLOOKUP(C954,'country region mapping'!$A$2:$A$267,'country region mapping'!$E$2:$E$267)</f>
        <v>#NAME?</v>
      </c>
      <c r="E954" s="1" t="e">
        <f t="array" aca="1" ref="E954" ca="1">_xludf.XLOOKUP(C954,'country region mapping'!$A$2:$A$267,'country region mapping'!$F$2:$F$267)</f>
        <v>#NAME?</v>
      </c>
      <c r="F954" s="1" t="e">
        <f t="array" aca="1" ref="F954" ca="1">_xludf.XLOOKUP(C954,'country region mapping'!$A$2:$A$267,'country region mapping'!$G$2:$G$267)</f>
        <v>#NAME?</v>
      </c>
      <c r="G954" s="1">
        <v>5.2329999999999997</v>
      </c>
      <c r="H954" s="1">
        <v>137</v>
      </c>
      <c r="I954" s="1">
        <v>124</v>
      </c>
      <c r="J954" s="1">
        <v>112</v>
      </c>
      <c r="K954" s="1">
        <v>101</v>
      </c>
      <c r="L954" s="1"/>
      <c r="M954" s="1">
        <v>82</v>
      </c>
      <c r="N954" s="1">
        <v>79</v>
      </c>
      <c r="O954" s="1">
        <v>75</v>
      </c>
      <c r="P954" s="1">
        <v>131</v>
      </c>
      <c r="Q954" s="1">
        <v>82</v>
      </c>
      <c r="R954" s="1">
        <v>79</v>
      </c>
      <c r="S954" s="1">
        <v>11</v>
      </c>
    </row>
    <row r="955" spans="1:19">
      <c r="A955" s="1">
        <v>2019</v>
      </c>
      <c r="B955" s="1">
        <v>86</v>
      </c>
      <c r="C955" s="1" t="s">
        <v>244</v>
      </c>
      <c r="D955" s="1" t="e">
        <f t="array" aca="1" ref="D955" ca="1">_xludf.XLOOKUP(C955,'country region mapping'!$A$2:$A$250, 'country region mapping'!$E$2:$E$250)</f>
        <v>#NAME?</v>
      </c>
      <c r="E955" s="1" t="e">
        <f t="array" aca="1" ref="E955" ca="1">_xludf.XLOOKUP(C955,'country region mapping'!$A$2:$A$267,'country region mapping'!$F$2:$F$267)</f>
        <v>#NAME?</v>
      </c>
      <c r="F955" s="1" t="e">
        <f t="array" aca="1" ref="F955" ca="1">_xludf.XLOOKUP(C955,'country region mapping'!$A$2:$A$267,'country region mapping'!$G$2:$G$267)</f>
        <v>#NAME?</v>
      </c>
      <c r="G955" s="1">
        <v>5.2160000000000002</v>
      </c>
      <c r="H955" s="1">
        <v>138</v>
      </c>
      <c r="I955" s="1">
        <v>142</v>
      </c>
      <c r="J955" s="1">
        <v>125</v>
      </c>
      <c r="K955" s="1">
        <v>118</v>
      </c>
      <c r="L955" s="1">
        <v>88</v>
      </c>
      <c r="M955" s="1">
        <v>95</v>
      </c>
      <c r="N955" s="1">
        <v>40</v>
      </c>
      <c r="O955" s="1">
        <v>89</v>
      </c>
      <c r="P955" s="1">
        <v>135</v>
      </c>
      <c r="Q955" s="1">
        <v>95</v>
      </c>
      <c r="R955" s="1">
        <v>81</v>
      </c>
      <c r="S955" s="1">
        <v>80</v>
      </c>
    </row>
    <row r="956" spans="1:19">
      <c r="A956" s="1">
        <v>2019</v>
      </c>
      <c r="B956" s="1">
        <v>87</v>
      </c>
      <c r="C956" s="1" t="s">
        <v>468</v>
      </c>
      <c r="D956" s="1" t="e">
        <f t="array" aca="1" ref="D956" ca="1">_xludf.XLOOKUP(C956,'country region mapping'!$A$2:$A$250, 'country region mapping'!$E$2:$E$250)</f>
        <v>#NAME?</v>
      </c>
      <c r="E956" s="1" t="e">
        <f t="array" aca="1" ref="E956" ca="1">_xludf.XLOOKUP(C956,'country region mapping'!$A$2:$A$267,'country region mapping'!$F$2:$F$267)</f>
        <v>#NAME?</v>
      </c>
      <c r="F956" s="1" t="e">
        <f t="array" aca="1" ref="F956" ca="1">_xludf.XLOOKUP(C956,'country region mapping'!$A$2:$A$267,'country region mapping'!$G$2:$G$267)</f>
        <v>#NAME?</v>
      </c>
      <c r="G956" s="1">
        <v>5.1980000000000004</v>
      </c>
      <c r="H956" s="1"/>
      <c r="I956" s="1"/>
      <c r="J956" s="1"/>
      <c r="K956" s="1"/>
      <c r="L956" s="1"/>
      <c r="P956" s="1"/>
      <c r="Q956" s="1"/>
      <c r="R956" s="1"/>
      <c r="S956" s="1"/>
    </row>
    <row r="957" spans="1:19">
      <c r="A957" s="1">
        <v>2019</v>
      </c>
      <c r="B957" s="1">
        <v>88</v>
      </c>
      <c r="C957" s="1" t="s">
        <v>202</v>
      </c>
      <c r="D957" s="1" t="e">
        <f t="array" aca="1" ref="D957" ca="1">_xludf.XLOOKUP(C957,'country region mapping'!$A$2:$A$250, 'country region mapping'!$E$2:$E$250)</f>
        <v>#NAME?</v>
      </c>
      <c r="E957" s="1" t="e">
        <f t="array" aca="1" ref="E957" ca="1">_xludf.XLOOKUP(C957,'country region mapping'!$A$2:$A$267,'country region mapping'!$F$2:$F$267)</f>
        <v>#NAME?</v>
      </c>
      <c r="F957" s="1" t="e">
        <f t="array" aca="1" ref="F957" ca="1">_xludf.XLOOKUP(C957,'country region mapping'!$A$2:$A$267,'country region mapping'!$G$2:$G$267)</f>
        <v>#NAME?</v>
      </c>
      <c r="G957" s="1">
        <v>5.194</v>
      </c>
      <c r="H957" s="1">
        <v>139</v>
      </c>
      <c r="I957" s="1">
        <v>133</v>
      </c>
      <c r="J957" s="1">
        <v>102</v>
      </c>
      <c r="K957" s="1">
        <v>124</v>
      </c>
      <c r="L957" s="1">
        <v>119</v>
      </c>
      <c r="M957" s="1">
        <v>109</v>
      </c>
      <c r="N957" s="1">
        <v>55</v>
      </c>
      <c r="O957" s="1">
        <v>103</v>
      </c>
      <c r="P957" s="1">
        <v>125</v>
      </c>
      <c r="Q957" s="1">
        <v>109</v>
      </c>
      <c r="R957" s="1">
        <v>52</v>
      </c>
      <c r="S957" s="1">
        <v>29</v>
      </c>
    </row>
    <row r="958" spans="1:19">
      <c r="A958" s="1">
        <v>2019</v>
      </c>
      <c r="B958" s="1">
        <v>89</v>
      </c>
      <c r="C958" s="1" t="s">
        <v>140</v>
      </c>
      <c r="D958" s="1" t="e">
        <f t="array" aca="1" ref="D958" ca="1">_xludf.XLOOKUP(C958,'country region mapping'!$A$2:$A$250, 'country region mapping'!$E$2:$E$250)</f>
        <v>#NAME?</v>
      </c>
      <c r="E958" s="1" t="e">
        <f t="array" aca="1" ref="E958" ca="1">_xludf.XLOOKUP(C958,'country region mapping'!$A$2:$A$267,'country region mapping'!$F$2:$F$267)</f>
        <v>#NAME?</v>
      </c>
      <c r="F958" s="1" t="e">
        <f t="array" aca="1" ref="F958" ca="1">_xludf.XLOOKUP(C958,'country region mapping'!$A$2:$A$267,'country region mapping'!$G$2:$G$267)</f>
        <v>#NAME?</v>
      </c>
      <c r="G958" s="1">
        <v>5.165</v>
      </c>
      <c r="H958" s="1">
        <v>3</v>
      </c>
      <c r="I958" s="1">
        <v>47</v>
      </c>
      <c r="J958" s="1">
        <v>62</v>
      </c>
      <c r="K958" s="1">
        <v>54</v>
      </c>
      <c r="L958" s="1">
        <v>53</v>
      </c>
      <c r="M958" s="1">
        <v>133</v>
      </c>
      <c r="N958" s="1">
        <v>16</v>
      </c>
      <c r="O958" s="1">
        <v>107</v>
      </c>
      <c r="P958" s="1">
        <v>8</v>
      </c>
      <c r="Q958" s="1">
        <v>133</v>
      </c>
      <c r="R958" s="1">
        <v>122</v>
      </c>
      <c r="S958" s="1">
        <v>131</v>
      </c>
    </row>
    <row r="959" spans="1:19">
      <c r="A959" s="1">
        <v>2019</v>
      </c>
      <c r="B959" s="1">
        <v>90</v>
      </c>
      <c r="C959" s="1" t="s">
        <v>156</v>
      </c>
      <c r="D959" s="1" t="e">
        <f t="array" aca="1" ref="D959" ca="1">_xludf.XLOOKUP(C959,'country region mapping'!$A$2:$A$250, 'country region mapping'!$E$2:$E$250)</f>
        <v>#NAME?</v>
      </c>
      <c r="E959" s="1" t="e">
        <f t="array" aca="1" ref="E959" ca="1">_xludf.XLOOKUP(C959,'country region mapping'!$A$2:$A$267,'country region mapping'!$F$2:$F$267)</f>
        <v>#NAME?</v>
      </c>
      <c r="F959" s="1" t="e">
        <f t="array" aca="1" ref="F959" ca="1">_xludf.XLOOKUP(C959,'country region mapping'!$A$2:$A$267,'country region mapping'!$G$2:$G$267)</f>
        <v>#NAME?</v>
      </c>
      <c r="G959" s="1">
        <v>5.16</v>
      </c>
      <c r="H959" s="1">
        <v>61</v>
      </c>
      <c r="I959" s="1">
        <v>83</v>
      </c>
      <c r="J959" s="1">
        <v>57</v>
      </c>
      <c r="K959" s="1">
        <v>53</v>
      </c>
      <c r="L959" s="1">
        <v>104</v>
      </c>
      <c r="M959" s="1">
        <v>40</v>
      </c>
      <c r="N959" s="1">
        <v>129</v>
      </c>
      <c r="O959" s="1">
        <v>129</v>
      </c>
      <c r="P959" s="1">
        <v>86</v>
      </c>
      <c r="Q959" s="1">
        <v>40</v>
      </c>
      <c r="R959" s="1">
        <v>138</v>
      </c>
      <c r="S959" s="1">
        <v>108</v>
      </c>
    </row>
    <row r="960" spans="1:19">
      <c r="A960" s="1">
        <v>2019</v>
      </c>
      <c r="B960" s="1">
        <v>91</v>
      </c>
      <c r="C960" s="1" t="s">
        <v>197</v>
      </c>
      <c r="D960" s="1" t="e">
        <f t="array" aca="1" ref="D960" ca="1">_xludf.XLOOKUP(C960,'country region mapping'!$A$2:$A$250, 'country region mapping'!$E$2:$E$250)</f>
        <v>#NAME?</v>
      </c>
      <c r="E960" s="1" t="e">
        <f t="array" aca="1" ref="E960" ca="1">_xludf.XLOOKUP(C960,'country region mapping'!$A$2:$A$267,'country region mapping'!$F$2:$F$267)</f>
        <v>#NAME?</v>
      </c>
      <c r="F960" s="1" t="e">
        <f t="array" aca="1" ref="F960" ca="1">_xludf.XLOOKUP(C960,'country region mapping'!$A$2:$A$267,'country region mapping'!$G$2:$G$267)</f>
        <v>#NAME?</v>
      </c>
      <c r="G960" s="1">
        <v>5.1479999999999997</v>
      </c>
      <c r="H960" s="1">
        <v>87</v>
      </c>
      <c r="I960" s="1">
        <v>111</v>
      </c>
      <c r="J960" s="1">
        <v>107</v>
      </c>
      <c r="K960" s="1">
        <v>109</v>
      </c>
      <c r="L960" s="1">
        <v>80</v>
      </c>
      <c r="M960" s="1">
        <v>36</v>
      </c>
      <c r="N960" s="1">
        <v>103</v>
      </c>
      <c r="O960" s="1">
        <v>84</v>
      </c>
      <c r="P960" s="1">
        <v>68</v>
      </c>
      <c r="Q960" s="1">
        <v>36</v>
      </c>
      <c r="R960" s="1">
        <v>17</v>
      </c>
      <c r="S960" s="1">
        <v>20</v>
      </c>
    </row>
    <row r="961" spans="1:19">
      <c r="A961" s="1">
        <v>2019</v>
      </c>
      <c r="B961" s="1">
        <v>92</v>
      </c>
      <c r="C961" s="1" t="s">
        <v>172</v>
      </c>
      <c r="D961" s="1" t="e">
        <f t="array" aca="1" ref="D961" ca="1">_xludf.XLOOKUP(C961,'country region mapping'!$A$2:$A$250, 'country region mapping'!$E$2:$E$250)</f>
        <v>#NAME?</v>
      </c>
      <c r="E961" s="1" t="e">
        <f t="array" aca="1" ref="E961" ca="1">_xludf.XLOOKUP(C961,'country region mapping'!$A$2:$A$267,'country region mapping'!$F$2:$F$267)</f>
        <v>#NAME?</v>
      </c>
      <c r="F961" s="1" t="e">
        <f t="array" aca="1" ref="F961" ca="1">_xludf.XLOOKUP(C961,'country region mapping'!$A$2:$A$267,'country region mapping'!$G$2:$G$267)</f>
        <v>#NAME?</v>
      </c>
      <c r="G961" s="1">
        <v>5.1369999999999996</v>
      </c>
      <c r="H961" s="1">
        <v>132</v>
      </c>
      <c r="I961" s="1">
        <v>101</v>
      </c>
      <c r="J961" s="1">
        <v>117</v>
      </c>
      <c r="K961" s="1">
        <v>96</v>
      </c>
      <c r="L961" s="1">
        <v>79</v>
      </c>
      <c r="M961" s="1">
        <v>34</v>
      </c>
      <c r="N961" s="1">
        <v>44</v>
      </c>
      <c r="O961" s="1">
        <v>137</v>
      </c>
      <c r="P961" s="1">
        <v>108</v>
      </c>
      <c r="Q961" s="1">
        <v>34</v>
      </c>
      <c r="R961" s="1">
        <v>14</v>
      </c>
      <c r="S961" s="1">
        <v>77</v>
      </c>
    </row>
    <row r="962" spans="1:19">
      <c r="A962" s="1">
        <v>2019</v>
      </c>
      <c r="B962" s="1">
        <v>93</v>
      </c>
      <c r="C962" s="1" t="s">
        <v>136</v>
      </c>
      <c r="D962" s="1" t="e">
        <f t="array" aca="1" ref="D962" ca="1">_xludf.XLOOKUP(C962,'country region mapping'!$A$2:$A$250, 'country region mapping'!$E$2:$E$250)</f>
        <v>#NAME?</v>
      </c>
      <c r="E962" s="1" t="e">
        <f t="array" aca="1" ref="E962" ca="1">_xludf.XLOOKUP(C962,'country region mapping'!$A$2:$A$267,'country region mapping'!$F$2:$F$267)</f>
        <v>#NAME?</v>
      </c>
      <c r="F962" s="1" t="e">
        <f t="array" aca="1" ref="F962" ca="1">_xludf.XLOOKUP(C962,'country region mapping'!$A$2:$A$267,'country region mapping'!$G$2:$G$267)</f>
        <v>#NAME?</v>
      </c>
      <c r="G962" s="1">
        <v>5.1319999999999997</v>
      </c>
      <c r="H962" s="1">
        <v>76</v>
      </c>
      <c r="I962" s="1">
        <v>93</v>
      </c>
      <c r="J962" s="1">
        <v>50</v>
      </c>
      <c r="K962" s="1">
        <v>46</v>
      </c>
      <c r="L962" s="1">
        <v>130</v>
      </c>
      <c r="M962" s="1">
        <v>79</v>
      </c>
      <c r="N962" s="1">
        <v>64</v>
      </c>
      <c r="O962" s="1">
        <v>140</v>
      </c>
      <c r="P962" s="1">
        <v>113</v>
      </c>
      <c r="Q962" s="1">
        <v>79</v>
      </c>
      <c r="R962" s="1">
        <v>111</v>
      </c>
      <c r="S962" s="1">
        <v>23</v>
      </c>
    </row>
    <row r="963" spans="1:19">
      <c r="A963" s="1">
        <v>2019</v>
      </c>
      <c r="B963" s="1">
        <v>94</v>
      </c>
      <c r="C963" s="1" t="s">
        <v>142</v>
      </c>
      <c r="D963" s="1" t="e">
        <f t="array" aca="1" ref="D963" ca="1">_xludf.XLOOKUP(C963,'country region mapping'!$A$2:$A$250, 'country region mapping'!$E$2:$E$250)</f>
        <v>#NAME?</v>
      </c>
      <c r="E963" s="1" t="e">
        <f t="array" aca="1" ref="E963" ca="1">_xludf.XLOOKUP(C963,'country region mapping'!$A$2:$A$267,'country region mapping'!$F$2:$F$267)</f>
        <v>#NAME?</v>
      </c>
      <c r="F963" s="1" t="e">
        <f t="array" aca="1" ref="F963" ca="1">_xludf.XLOOKUP(C963,'country region mapping'!$A$2:$A$267,'country region mapping'!$G$2:$G$267)</f>
        <v>#NAME?</v>
      </c>
      <c r="G963" s="1">
        <v>5.1239999999999997</v>
      </c>
      <c r="H963" s="1">
        <v>62</v>
      </c>
      <c r="I963" s="1">
        <v>81</v>
      </c>
      <c r="J963" s="1">
        <v>64</v>
      </c>
      <c r="K963" s="1">
        <v>32</v>
      </c>
      <c r="L963" s="1">
        <v>12</v>
      </c>
      <c r="M963" s="1">
        <v>112</v>
      </c>
      <c r="N963" s="1"/>
      <c r="O963" s="1">
        <v>24</v>
      </c>
      <c r="P963" s="1">
        <v>5</v>
      </c>
      <c r="Q963" s="1">
        <v>112</v>
      </c>
      <c r="R963" s="1">
        <v>114</v>
      </c>
      <c r="S963" s="1">
        <v>134</v>
      </c>
    </row>
    <row r="964" spans="1:19">
      <c r="A964" s="1">
        <v>2019</v>
      </c>
      <c r="B964" s="1">
        <v>95</v>
      </c>
      <c r="C964" s="1" t="s">
        <v>120</v>
      </c>
      <c r="D964" s="1" t="e">
        <f t="array" aca="1" ref="D964" ca="1">_xludf.XLOOKUP(C964,'country region mapping'!$A$2:$A$250, 'country region mapping'!$E$2:$E$250)</f>
        <v>#NAME?</v>
      </c>
      <c r="E964" s="1" t="e">
        <f t="array" aca="1" ref="E964" ca="1">_xludf.XLOOKUP(C964,'country region mapping'!$A$2:$A$267,'country region mapping'!$F$2:$F$267)</f>
        <v>#NAME?</v>
      </c>
      <c r="F964" s="1" t="e">
        <f t="array" aca="1" ref="F964" ca="1">_xludf.XLOOKUP(C964,'country region mapping'!$A$2:$A$267,'country region mapping'!$G$2:$G$267)</f>
        <v>#NAME?</v>
      </c>
      <c r="G964" s="1">
        <v>5.1189999999999998</v>
      </c>
      <c r="H964" s="1">
        <v>16</v>
      </c>
      <c r="I964" s="1">
        <v>2</v>
      </c>
      <c r="J964" s="1">
        <v>76</v>
      </c>
      <c r="K964" s="1">
        <v>99</v>
      </c>
      <c r="L964" s="1">
        <v>34</v>
      </c>
      <c r="M964" s="1">
        <v>6</v>
      </c>
      <c r="N964" s="1"/>
      <c r="O964" s="1">
        <v>132</v>
      </c>
      <c r="P964" s="1">
        <v>18</v>
      </c>
      <c r="Q964" s="1">
        <v>6</v>
      </c>
      <c r="R964" s="1">
        <v>48</v>
      </c>
      <c r="S964" s="1">
        <v>5</v>
      </c>
    </row>
    <row r="965" spans="1:19">
      <c r="A965" s="1">
        <v>2019</v>
      </c>
      <c r="B965" s="1">
        <v>96</v>
      </c>
      <c r="C965" s="1" t="s">
        <v>205</v>
      </c>
      <c r="D965" s="1" t="e">
        <f t="array" aca="1" ref="D965" ca="1">_xludf.XLOOKUP(C965,'country region mapping'!$A$2:$A$250, 'country region mapping'!$E$2:$E$250)</f>
        <v>#NAME?</v>
      </c>
      <c r="E965" s="1" t="e">
        <f t="array" aca="1" ref="E965" ca="1">_xludf.XLOOKUP(C965,'country region mapping'!$A$2:$A$267,'country region mapping'!$F$2:$F$267)</f>
        <v>#NAME?</v>
      </c>
      <c r="F965" s="1" t="e">
        <f t="array" aca="1" ref="F965" ca="1">_xludf.XLOOKUP(C965,'country region mapping'!$A$2:$A$267,'country region mapping'!$G$2:$G$267)</f>
        <v>#NAME?</v>
      </c>
      <c r="G965" s="1">
        <v>5.1020000000000003</v>
      </c>
      <c r="H965" s="1">
        <v>45</v>
      </c>
      <c r="I965" s="1">
        <v>10</v>
      </c>
      <c r="J965" s="1">
        <v>51</v>
      </c>
      <c r="K965" s="1">
        <v>66</v>
      </c>
      <c r="L965" s="1">
        <v>69</v>
      </c>
      <c r="M965" s="1">
        <v>73</v>
      </c>
      <c r="N965" s="1">
        <v>133</v>
      </c>
      <c r="O965" s="1">
        <v>106</v>
      </c>
      <c r="P965" s="1">
        <v>25</v>
      </c>
      <c r="Q965" s="1">
        <v>73</v>
      </c>
      <c r="R965" s="1">
        <v>132</v>
      </c>
      <c r="S965" s="1">
        <v>104</v>
      </c>
    </row>
    <row r="966" spans="1:19">
      <c r="A966" s="1">
        <v>2019</v>
      </c>
      <c r="B966" s="1">
        <v>97</v>
      </c>
      <c r="C966" s="1" t="s">
        <v>150</v>
      </c>
      <c r="D966" s="1" t="e">
        <f t="array" aca="1" ref="D966" ca="1">_xludf.XLOOKUP(C966,'country region mapping'!$A$2:$A$250, 'country region mapping'!$E$2:$E$250)</f>
        <v>#NAME?</v>
      </c>
      <c r="E966" s="1" t="e">
        <f t="array" aca="1" ref="E966" ca="1">_xludf.XLOOKUP(C966,'country region mapping'!$A$2:$A$267,'country region mapping'!$F$2:$F$267)</f>
        <v>#NAME?</v>
      </c>
      <c r="F966" s="1" t="e">
        <f t="array" aca="1" ref="F966" ca="1">_xludf.XLOOKUP(C966,'country region mapping'!$A$2:$A$267,'country region mapping'!$G$2:$G$267)</f>
        <v>#NAME?</v>
      </c>
      <c r="G966" s="1">
        <v>5.0949999999999998</v>
      </c>
      <c r="H966" s="1">
        <v>101</v>
      </c>
      <c r="I966" s="1">
        <v>140</v>
      </c>
      <c r="J966" s="1">
        <v>98</v>
      </c>
      <c r="K966" s="1">
        <v>85</v>
      </c>
      <c r="L966" s="1">
        <v>92</v>
      </c>
      <c r="M966" s="1">
        <v>142</v>
      </c>
      <c r="N966" s="1">
        <v>63</v>
      </c>
      <c r="O966" s="1">
        <v>123</v>
      </c>
      <c r="P966" s="1">
        <v>126</v>
      </c>
      <c r="Q966" s="1">
        <v>142</v>
      </c>
      <c r="R966" s="1">
        <v>129</v>
      </c>
      <c r="S966" s="1">
        <v>16</v>
      </c>
    </row>
    <row r="967" spans="1:19">
      <c r="A967" s="1">
        <v>2019</v>
      </c>
      <c r="B967" s="1">
        <v>98</v>
      </c>
      <c r="C967" s="1" t="s">
        <v>182</v>
      </c>
      <c r="D967" s="1" t="e">
        <f t="array" aca="1" ref="D967" ca="1">_xludf.XLOOKUP(C967,'country region mapping'!$A$2:$A$250, 'country region mapping'!$E$2:$E$250)</f>
        <v>#NAME?</v>
      </c>
      <c r="E967" s="1" t="e">
        <f t="array" aca="1" ref="E967" ca="1">_xludf.XLOOKUP(C967,'country region mapping'!$A$2:$A$267,'country region mapping'!$F$2:$F$267)</f>
        <v>#NAME?</v>
      </c>
      <c r="F967" s="1" t="e">
        <f t="array" aca="1" ref="F967" ca="1">_xludf.XLOOKUP(C967,'country region mapping'!$A$2:$A$267,'country region mapping'!$G$2:$G$267)</f>
        <v>#NAME?</v>
      </c>
      <c r="G967" s="1">
        <v>5.085</v>
      </c>
      <c r="H967" s="1">
        <v>107</v>
      </c>
      <c r="I967" s="1">
        <v>116</v>
      </c>
      <c r="J967" s="1">
        <v>116</v>
      </c>
      <c r="K967" s="1">
        <v>125</v>
      </c>
      <c r="L967" s="1">
        <v>110</v>
      </c>
      <c r="M967" s="1">
        <v>90</v>
      </c>
      <c r="N967" s="1">
        <v>84</v>
      </c>
      <c r="O967" s="1">
        <v>98</v>
      </c>
      <c r="P967" s="1">
        <v>97</v>
      </c>
      <c r="Q967" s="1">
        <v>90</v>
      </c>
      <c r="R967" s="1">
        <v>74</v>
      </c>
      <c r="S967" s="1">
        <v>26</v>
      </c>
    </row>
    <row r="968" spans="1:19">
      <c r="A968" s="1">
        <v>2019</v>
      </c>
      <c r="B968" s="1">
        <v>99</v>
      </c>
      <c r="C968" s="1" t="s">
        <v>93</v>
      </c>
      <c r="D968" s="1" t="e">
        <f t="array" aca="1" ref="D968" ca="1">_xludf.XLOOKUP(C968,'country region mapping'!$A$2:$A$267,'country region mapping'!$E$2:$E$267)</f>
        <v>#NAME?</v>
      </c>
      <c r="E968" s="1" t="e">
        <f t="array" aca="1" ref="E968" ca="1">_xludf.XLOOKUP(C968,'country region mapping'!$A$2:$A$267,'country region mapping'!$F$2:$F$267)</f>
        <v>#NAME?</v>
      </c>
      <c r="F968" s="1" t="e">
        <f t="array" aca="1" ref="F968" ca="1">_xludf.XLOOKUP(C968,'country region mapping'!$A$2:$A$267,'country region mapping'!$G$2:$G$267)</f>
        <v>#NAME?</v>
      </c>
      <c r="G968" s="1">
        <v>5.0529999999999999</v>
      </c>
      <c r="H968" s="1">
        <v>123</v>
      </c>
      <c r="I968" s="1">
        <v>46</v>
      </c>
      <c r="J968" s="1">
        <v>143</v>
      </c>
      <c r="K968" s="1">
        <v>88</v>
      </c>
      <c r="L968" s="1">
        <v>132</v>
      </c>
      <c r="M968" s="1">
        <v>110</v>
      </c>
      <c r="N968" s="1">
        <v>96</v>
      </c>
      <c r="O968" s="1">
        <v>41</v>
      </c>
      <c r="P968" s="1">
        <v>106</v>
      </c>
      <c r="Q968" s="1">
        <v>110</v>
      </c>
      <c r="R968" s="1">
        <v>70</v>
      </c>
      <c r="S968" s="1">
        <v>42</v>
      </c>
    </row>
    <row r="969" spans="1:19">
      <c r="A969" s="1">
        <v>2019</v>
      </c>
      <c r="B969" s="1">
        <v>100</v>
      </c>
      <c r="C969" s="1" t="s">
        <v>85</v>
      </c>
      <c r="D969" s="1" t="e">
        <f t="array" aca="1" ref="D969" ca="1">_xludf.XLOOKUP(C969,'country region mapping'!$A$2:$A$250, 'country region mapping'!$E$2:$E$250)</f>
        <v>#NAME?</v>
      </c>
      <c r="E969" s="1" t="e">
        <f t="array" aca="1" ref="E969" ca="1">_xludf.XLOOKUP(C969,'country region mapping'!$A$2:$A$267,'country region mapping'!$F$2:$F$267)</f>
        <v>#NAME?</v>
      </c>
      <c r="F969" s="1" t="e">
        <f t="array" aca="1" ref="F969" ca="1">_xludf.XLOOKUP(C969,'country region mapping'!$A$2:$A$267,'country region mapping'!$G$2:$G$267)</f>
        <v>#NAME?</v>
      </c>
      <c r="G969" s="1">
        <v>5.0049999999999999</v>
      </c>
      <c r="H969" s="1">
        <v>32</v>
      </c>
      <c r="I969" s="1">
        <v>88</v>
      </c>
      <c r="J969" s="1">
        <v>77</v>
      </c>
      <c r="K969" s="1">
        <v>62</v>
      </c>
      <c r="L969" s="1">
        <v>142</v>
      </c>
      <c r="M969" s="1">
        <v>49</v>
      </c>
      <c r="N969" s="1">
        <v>56</v>
      </c>
      <c r="O969" s="1">
        <v>119</v>
      </c>
      <c r="P969" s="1">
        <v>36</v>
      </c>
      <c r="Q969" s="1">
        <v>49</v>
      </c>
      <c r="R969" s="1">
        <v>33</v>
      </c>
      <c r="S969" s="1">
        <v>65</v>
      </c>
    </row>
    <row r="970" spans="1:19">
      <c r="A970" s="1">
        <v>2019</v>
      </c>
      <c r="B970" s="1">
        <v>101</v>
      </c>
      <c r="C970" s="1" t="s">
        <v>204</v>
      </c>
      <c r="D970" s="1" t="e">
        <f t="array" aca="1" ref="D970" ca="1">_xludf.XLOOKUP(C970,'country region mapping'!$A$2:$A$250, 'country region mapping'!$E$2:$E$250)</f>
        <v>#NAME?</v>
      </c>
      <c r="E970" s="1" t="e">
        <f t="array" aca="1" ref="E970" ca="1">_xludf.XLOOKUP(C970,'country region mapping'!$A$2:$A$267,'country region mapping'!$F$2:$F$267)</f>
        <v>#NAME?</v>
      </c>
      <c r="F970" s="1" t="e">
        <f t="array" aca="1" ref="F970" ca="1">_xludf.XLOOKUP(C970,'country region mapping'!$A$2:$A$267,'country region mapping'!$G$2:$G$267)</f>
        <v>#NAME?</v>
      </c>
      <c r="G970" s="1">
        <v>4.9809999999999999</v>
      </c>
      <c r="H970" s="1">
        <v>119</v>
      </c>
      <c r="I970" s="1">
        <v>120</v>
      </c>
      <c r="J970" s="1">
        <v>118</v>
      </c>
      <c r="K970" s="1">
        <v>104</v>
      </c>
      <c r="L970" s="1">
        <v>91</v>
      </c>
      <c r="M970" s="1">
        <v>96</v>
      </c>
      <c r="N970" s="1">
        <v>76</v>
      </c>
      <c r="O970" s="1">
        <v>19</v>
      </c>
      <c r="P970" s="1">
        <v>99</v>
      </c>
      <c r="Q970" s="1">
        <v>96</v>
      </c>
      <c r="R970" s="1">
        <v>80</v>
      </c>
      <c r="S970" s="1">
        <v>59</v>
      </c>
    </row>
    <row r="971" spans="1:19">
      <c r="A971" s="1">
        <v>2019</v>
      </c>
      <c r="B971" s="1">
        <v>102</v>
      </c>
      <c r="C971" s="1" t="s">
        <v>240</v>
      </c>
      <c r="D971" s="1" t="e">
        <f t="array" aca="1" ref="D971" ca="1">_xludf.XLOOKUP(C971,'country region mapping'!$A$2:$A$250, 'country region mapping'!$E$2:$E$250)</f>
        <v>#NAME?</v>
      </c>
      <c r="E971" s="1" t="e">
        <f t="array" aca="1" ref="E971" ca="1">_xludf.XLOOKUP(C971,'country region mapping'!$A$2:$A$267,'country region mapping'!$F$2:$F$267)</f>
        <v>#NAME?</v>
      </c>
      <c r="F971" s="1" t="e">
        <f t="array" aca="1" ref="F971" ca="1">_xludf.XLOOKUP(C971,'country region mapping'!$A$2:$A$267,'country region mapping'!$G$2:$G$267)</f>
        <v>#NAME?</v>
      </c>
      <c r="G971" s="1">
        <v>4.9489999999999998</v>
      </c>
      <c r="H971" s="1">
        <v>134</v>
      </c>
      <c r="I971" s="1">
        <v>129</v>
      </c>
      <c r="J971" s="1">
        <v>121</v>
      </c>
      <c r="K971" s="1">
        <v>129</v>
      </c>
      <c r="L971" s="1">
        <v>118</v>
      </c>
      <c r="M971" s="1">
        <v>55</v>
      </c>
      <c r="N971" s="1">
        <v>62</v>
      </c>
      <c r="O971" s="1">
        <v>72</v>
      </c>
      <c r="P971" s="1">
        <v>140</v>
      </c>
      <c r="Q971" s="1">
        <v>55</v>
      </c>
      <c r="R971" s="1">
        <v>36</v>
      </c>
      <c r="S971" s="1">
        <v>30</v>
      </c>
    </row>
    <row r="972" spans="1:19">
      <c r="A972" s="1">
        <v>2019</v>
      </c>
      <c r="B972" s="1">
        <v>103</v>
      </c>
      <c r="C972" s="1" t="s">
        <v>224</v>
      </c>
      <c r="D972" s="1" t="e">
        <f t="array" aca="1" ref="D972" ca="1">_xludf.XLOOKUP(C972,'country region mapping'!$A$2:$A$250, 'country region mapping'!$E$2:$E$250)</f>
        <v>#NAME?</v>
      </c>
      <c r="E972" s="1" t="e">
        <f t="array" aca="1" ref="E972" ca="1">_xludf.XLOOKUP(C972,'country region mapping'!$A$2:$A$267,'country region mapping'!$F$2:$F$267)</f>
        <v>#NAME?</v>
      </c>
      <c r="F972" s="1" t="e">
        <f t="array" aca="1" ref="F972" ca="1">_xludf.XLOOKUP(C972,'country region mapping'!$A$2:$A$267,'country region mapping'!$G$2:$G$267)</f>
        <v>#NAME?</v>
      </c>
      <c r="G972" s="1">
        <v>4.91</v>
      </c>
      <c r="H972" s="1">
        <v>125</v>
      </c>
      <c r="I972" s="1">
        <v>125</v>
      </c>
      <c r="J972" s="1">
        <v>140</v>
      </c>
      <c r="K972" s="1">
        <v>130</v>
      </c>
      <c r="L972" s="1">
        <v>64</v>
      </c>
      <c r="M972" s="1">
        <v>108</v>
      </c>
      <c r="N972" s="1">
        <v>50</v>
      </c>
      <c r="O972" s="1">
        <v>7</v>
      </c>
      <c r="P972" s="1">
        <v>88</v>
      </c>
      <c r="Q972" s="1">
        <v>108</v>
      </c>
      <c r="R972" s="1">
        <v>86</v>
      </c>
      <c r="S972" s="1">
        <v>17</v>
      </c>
    </row>
    <row r="973" spans="1:19">
      <c r="A973" s="1">
        <v>2019</v>
      </c>
      <c r="B973" s="1">
        <v>104</v>
      </c>
      <c r="C973" s="1" t="s">
        <v>164</v>
      </c>
      <c r="D973" s="1" t="e">
        <f t="array" aca="1" ref="D973" ca="1">_xludf.XLOOKUP(C973,'country region mapping'!$A$2:$A$267,'country region mapping'!$E$2:$E$267)</f>
        <v>#NAME?</v>
      </c>
      <c r="E973" s="1" t="e">
        <f t="array" aca="1" ref="E973" ca="1">_xludf.XLOOKUP(C973,'country region mapping'!$A$2:$A$267,'country region mapping'!$F$2:$F$267)</f>
        <v>#NAME?</v>
      </c>
      <c r="F973" s="1" t="e">
        <f t="array" aca="1" ref="F973" ca="1">_xludf.XLOOKUP(C973,'country region mapping'!$A$2:$A$267,'country region mapping'!$G$2:$G$267)</f>
        <v>#NAME?</v>
      </c>
      <c r="G973" s="1">
        <v>4.8890000000000002</v>
      </c>
      <c r="H973" s="1">
        <v>80</v>
      </c>
      <c r="I973" s="1">
        <v>114</v>
      </c>
      <c r="J973" s="1">
        <v>100</v>
      </c>
      <c r="K973" s="1">
        <v>102</v>
      </c>
      <c r="L973" s="1">
        <v>24</v>
      </c>
      <c r="M973" s="1">
        <v>44</v>
      </c>
      <c r="N973" s="1">
        <v>28</v>
      </c>
      <c r="O973" s="1">
        <v>50</v>
      </c>
      <c r="P973" s="1">
        <v>89</v>
      </c>
      <c r="Q973" s="1">
        <v>44</v>
      </c>
      <c r="R973" s="1">
        <v>116</v>
      </c>
      <c r="S973" s="1">
        <v>137</v>
      </c>
    </row>
    <row r="974" spans="1:19">
      <c r="A974" s="1">
        <v>2019</v>
      </c>
      <c r="B974" s="1">
        <v>105</v>
      </c>
      <c r="C974" s="1" t="s">
        <v>174</v>
      </c>
      <c r="D974" s="1" t="e">
        <f t="array" aca="1" ref="D974" ca="1">_xludf.XLOOKUP(C974,'country region mapping'!$A$2:$A$250, 'country region mapping'!$E$2:$E$250)</f>
        <v>#NAME?</v>
      </c>
      <c r="E974" s="1" t="e">
        <f t="array" aca="1" ref="E974" ca="1">_xludf.XLOOKUP(C974,'country region mapping'!$A$2:$A$267,'country region mapping'!$F$2:$F$267)</f>
        <v>#NAME?</v>
      </c>
      <c r="F974" s="1" t="e">
        <f t="array" aca="1" ref="F974" ca="1">_xludf.XLOOKUP(C974,'country region mapping'!$A$2:$A$267,'country region mapping'!$G$2:$G$267)</f>
        <v>#NAME?</v>
      </c>
      <c r="G974" s="1">
        <v>4.883</v>
      </c>
      <c r="H974" s="1">
        <v>98</v>
      </c>
      <c r="I974" s="1">
        <v>122</v>
      </c>
      <c r="J974" s="1">
        <v>78</v>
      </c>
      <c r="K974" s="1">
        <v>34</v>
      </c>
      <c r="L974" s="1">
        <v>84</v>
      </c>
      <c r="M974" s="1">
        <v>87</v>
      </c>
      <c r="N974" s="1">
        <v>125</v>
      </c>
      <c r="O974" s="1">
        <v>116</v>
      </c>
      <c r="P974" s="1">
        <v>72</v>
      </c>
      <c r="Q974" s="1">
        <v>87</v>
      </c>
      <c r="R974" s="1">
        <v>142</v>
      </c>
      <c r="S974" s="1">
        <v>98</v>
      </c>
    </row>
    <row r="975" spans="1:19">
      <c r="A975" s="1">
        <v>2019</v>
      </c>
      <c r="B975" s="1">
        <v>106</v>
      </c>
      <c r="C975" s="1" t="s">
        <v>221</v>
      </c>
      <c r="D975" s="1" t="e">
        <f t="array" aca="1" ref="D975" ca="1">_xludf.XLOOKUP(C975,'country region mapping'!$A$2:$A$250, 'country region mapping'!$E$2:$E$250)</f>
        <v>#NAME?</v>
      </c>
      <c r="E975" s="1" t="e">
        <f t="array" aca="1" ref="E975" ca="1">_xludf.XLOOKUP(C975,'country region mapping'!$A$2:$A$267,'country region mapping'!$F$2:$F$267)</f>
        <v>#NAME?</v>
      </c>
      <c r="F975" s="1" t="e">
        <f t="array" aca="1" ref="F975" ca="1">_xludf.XLOOKUP(C975,'country region mapping'!$A$2:$A$267,'country region mapping'!$G$2:$G$267)</f>
        <v>#NAME?</v>
      </c>
      <c r="G975" s="1">
        <v>4.8479999999999999</v>
      </c>
      <c r="H975" s="1">
        <v>110</v>
      </c>
      <c r="I975" s="1">
        <v>106</v>
      </c>
      <c r="J975" s="1">
        <v>108</v>
      </c>
      <c r="K975" s="1">
        <v>98</v>
      </c>
      <c r="L975" s="1">
        <v>4</v>
      </c>
      <c r="M975" s="1">
        <v>71</v>
      </c>
      <c r="N975" s="1">
        <v>88</v>
      </c>
      <c r="O975" s="1">
        <v>56</v>
      </c>
      <c r="P975" s="1">
        <v>120</v>
      </c>
      <c r="Q975" s="1">
        <v>71</v>
      </c>
      <c r="R975" s="1">
        <v>140</v>
      </c>
      <c r="S975" s="1">
        <v>142</v>
      </c>
    </row>
    <row r="976" spans="1:19">
      <c r="A976" s="1">
        <v>2019</v>
      </c>
      <c r="B976" s="1">
        <v>107</v>
      </c>
      <c r="C976" s="1" t="s">
        <v>176</v>
      </c>
      <c r="D976" s="1" t="e">
        <f t="array" aca="1" ref="D976" ca="1">_xludf.XLOOKUP(C976,'country region mapping'!$A$2:$A$250, 'country region mapping'!$E$2:$E$250)</f>
        <v>#NAME?</v>
      </c>
      <c r="E976" s="1" t="e">
        <f t="array" aca="1" ref="E976" ca="1">_xludf.XLOOKUP(C976,'country region mapping'!$A$2:$A$267,'country region mapping'!$F$2:$F$267)</f>
        <v>#NAME?</v>
      </c>
      <c r="F976" s="1" t="e">
        <f t="array" aca="1" ref="F976" ca="1">_xludf.XLOOKUP(C976,'country region mapping'!$A$2:$A$267,'country region mapping'!$G$2:$G$267)</f>
        <v>#NAME?</v>
      </c>
      <c r="G976" s="1">
        <v>4.8330000000000002</v>
      </c>
      <c r="H976" s="1">
        <v>114</v>
      </c>
      <c r="I976" s="1">
        <v>128</v>
      </c>
      <c r="J976" s="1">
        <v>103</v>
      </c>
      <c r="K976" s="1">
        <v>80</v>
      </c>
      <c r="L976" s="1">
        <v>28</v>
      </c>
      <c r="M976" s="1">
        <v>98</v>
      </c>
      <c r="N976" s="1">
        <v>31</v>
      </c>
      <c r="O976" s="1">
        <v>138</v>
      </c>
      <c r="P976" s="1">
        <v>114</v>
      </c>
      <c r="Q976" s="1">
        <v>98</v>
      </c>
      <c r="R976" s="1">
        <v>84</v>
      </c>
      <c r="S976" s="1">
        <v>39</v>
      </c>
    </row>
    <row r="977" spans="1:19">
      <c r="A977" s="1">
        <v>2019</v>
      </c>
      <c r="B977" s="1">
        <v>108</v>
      </c>
      <c r="C977" s="1" t="s">
        <v>306</v>
      </c>
      <c r="D977" s="1" t="e">
        <f t="array" aca="1" ref="D977" ca="1">_xludf.XLOOKUP(C977,'country region mapping'!$A$2:$A$250, 'country region mapping'!$E$2:$E$250)</f>
        <v>#NAME?</v>
      </c>
      <c r="E977" s="1" t="e">
        <f t="array" aca="1" ref="E977" ca="1">_xludf.XLOOKUP(C977,'country region mapping'!$A$2:$A$267,'country region mapping'!$F$2:$F$267)</f>
        <v>#NAME?</v>
      </c>
      <c r="F977" s="1" t="e">
        <f t="array" aca="1" ref="F977" ca="1">_xludf.XLOOKUP(C977,'country region mapping'!$A$2:$A$267,'country region mapping'!$G$2:$G$267)</f>
        <v>#NAME?</v>
      </c>
      <c r="G977" s="1">
        <v>4.8289999999999997</v>
      </c>
      <c r="H977" s="1">
        <v>100</v>
      </c>
      <c r="I977" s="1">
        <v>104</v>
      </c>
      <c r="J977" s="1">
        <v>63</v>
      </c>
      <c r="K977" s="1">
        <v>114</v>
      </c>
      <c r="L977" s="1">
        <v>100</v>
      </c>
      <c r="M977" s="1">
        <v>130</v>
      </c>
      <c r="N977" s="1">
        <v>98</v>
      </c>
      <c r="O977" s="1">
        <v>88</v>
      </c>
      <c r="P977" s="1">
        <v>127</v>
      </c>
      <c r="Q977" s="1">
        <v>130</v>
      </c>
      <c r="R977" s="1">
        <v>117</v>
      </c>
      <c r="S977" s="1">
        <v>38</v>
      </c>
    </row>
    <row r="978" spans="1:19">
      <c r="A978" s="1">
        <v>2019</v>
      </c>
      <c r="B978" s="1">
        <v>109</v>
      </c>
      <c r="C978" s="1" t="s">
        <v>185</v>
      </c>
      <c r="D978" s="1" t="e">
        <f t="array" aca="1" ref="D978" ca="1">_xludf.XLOOKUP(C978,'country region mapping'!$A$2:$A$250, 'country region mapping'!$E$2:$E$250)</f>
        <v>#NAME?</v>
      </c>
      <c r="E978" s="1" t="e">
        <f t="array" aca="1" ref="E978" ca="1">_xludf.XLOOKUP(C978,'country region mapping'!$A$2:$A$267,'country region mapping'!$F$2:$F$267)</f>
        <v>#NAME?</v>
      </c>
      <c r="F978" s="1" t="e">
        <f t="array" aca="1" ref="F978" ca="1">_xludf.XLOOKUP(C978,'country region mapping'!$A$2:$A$267,'country region mapping'!$G$2:$G$267)</f>
        <v>#NAME?</v>
      </c>
      <c r="G978" s="1">
        <v>4.8140000000000001</v>
      </c>
      <c r="H978" s="1">
        <v>130</v>
      </c>
      <c r="I978" s="1">
        <v>69</v>
      </c>
      <c r="J978" s="1">
        <v>82</v>
      </c>
      <c r="K978" s="1">
        <v>115</v>
      </c>
      <c r="L978" s="1">
        <v>99</v>
      </c>
      <c r="M978" s="1">
        <v>105</v>
      </c>
      <c r="N978" s="1">
        <v>85</v>
      </c>
      <c r="O978" s="1">
        <v>44</v>
      </c>
      <c r="P978" s="1">
        <v>66</v>
      </c>
      <c r="Q978" s="1">
        <v>105</v>
      </c>
      <c r="R978" s="1">
        <v>50</v>
      </c>
      <c r="S978" s="1">
        <v>19</v>
      </c>
    </row>
    <row r="979" spans="1:19">
      <c r="A979" s="1">
        <v>2019</v>
      </c>
      <c r="B979" s="1">
        <v>110</v>
      </c>
      <c r="C979" s="1" t="s">
        <v>179</v>
      </c>
      <c r="D979" s="1" t="e">
        <f t="array" aca="1" ref="D979" ca="1">_xludf.XLOOKUP(C979,'country region mapping'!$A$2:$A$250, 'country region mapping'!$E$2:$E$250)</f>
        <v>#NAME?</v>
      </c>
      <c r="E979" s="1" t="e">
        <f t="array" aca="1" ref="E979" ca="1">_xludf.XLOOKUP(C979,'country region mapping'!$A$2:$A$267,'country region mapping'!$F$2:$F$267)</f>
        <v>#NAME?</v>
      </c>
      <c r="F979" s="1" t="e">
        <f t="array" aca="1" ref="F979" ca="1">_xludf.XLOOKUP(C979,'country region mapping'!$A$2:$A$267,'country region mapping'!$G$2:$G$267)</f>
        <v>#NAME?</v>
      </c>
      <c r="G979" s="1">
        <v>4.7850000000000001</v>
      </c>
      <c r="H979" s="1"/>
      <c r="I979" s="1"/>
      <c r="J979" s="1"/>
      <c r="K979" s="1"/>
      <c r="L979" s="1"/>
      <c r="M979" s="1"/>
      <c r="N979" s="1"/>
      <c r="O979" s="1"/>
      <c r="P979" s="1"/>
      <c r="Q979" s="1"/>
      <c r="S979" s="1"/>
    </row>
    <row r="980" spans="1:19">
      <c r="A980" s="1">
        <v>2019</v>
      </c>
      <c r="B980" s="1">
        <v>111</v>
      </c>
      <c r="C980" s="1" t="s">
        <v>154</v>
      </c>
      <c r="D980" s="1" t="e">
        <f t="array" aca="1" ref="D980" ca="1">_xludf.XLOOKUP(C980,'country region mapping'!$A$2:$A$250, 'country region mapping'!$E$2:$E$250)</f>
        <v>#NAME?</v>
      </c>
      <c r="E980" s="1" t="e">
        <f t="array" aca="1" ref="E980" ca="1">_xludf.XLOOKUP(C980,'country region mapping'!$A$2:$A$267,'country region mapping'!$F$2:$F$267)</f>
        <v>#NAME?</v>
      </c>
      <c r="F980" s="1" t="e">
        <f t="array" aca="1" ref="F980" ca="1">_xludf.XLOOKUP(C980,'country region mapping'!$A$2:$A$267,'country region mapping'!$G$2:$G$267)</f>
        <v>#NAME?</v>
      </c>
      <c r="G980" s="1">
        <v>4.7720000000000002</v>
      </c>
      <c r="H980" s="1">
        <v>43</v>
      </c>
      <c r="I980" s="1">
        <v>65</v>
      </c>
      <c r="J980" s="1">
        <v>73</v>
      </c>
      <c r="K980" s="1">
        <v>44</v>
      </c>
      <c r="L980" s="1">
        <v>140</v>
      </c>
      <c r="M980" s="1">
        <v>76</v>
      </c>
      <c r="N980" s="1">
        <v>124</v>
      </c>
      <c r="O980" s="1">
        <v>142</v>
      </c>
      <c r="P980" s="1">
        <v>141</v>
      </c>
      <c r="Q980" s="1">
        <v>76</v>
      </c>
      <c r="R980" s="1">
        <v>118</v>
      </c>
      <c r="S980" s="1">
        <v>128</v>
      </c>
    </row>
    <row r="981" spans="1:19">
      <c r="A981" s="1">
        <v>2019</v>
      </c>
      <c r="B981" s="1">
        <v>112</v>
      </c>
      <c r="C981" s="1" t="s">
        <v>229</v>
      </c>
      <c r="D981" s="1" t="e">
        <f t="array" aca="1" ref="D981" ca="1">_xludf.XLOOKUP(C981,'country region mapping'!$A$2:$A$250, 'country region mapping'!$E$2:$E$250)</f>
        <v>#NAME?</v>
      </c>
      <c r="E981" s="1" t="e">
        <f t="array" aca="1" ref="E981" ca="1">_xludf.XLOOKUP(C981,'country region mapping'!$A$2:$A$267,'country region mapping'!$F$2:$F$267)</f>
        <v>#NAME?</v>
      </c>
      <c r="F981" s="1" t="e">
        <f t="array" aca="1" ref="F981" ca="1">_xludf.XLOOKUP(C981,'country region mapping'!$A$2:$A$267,'country region mapping'!$G$2:$G$267)</f>
        <v>#NAME?</v>
      </c>
      <c r="G981" s="1">
        <v>4.7690000000000001</v>
      </c>
      <c r="H981" s="1">
        <v>111</v>
      </c>
      <c r="I981" s="1">
        <v>123</v>
      </c>
      <c r="J981" s="1">
        <v>135</v>
      </c>
      <c r="K981" s="1">
        <v>122</v>
      </c>
      <c r="L981" s="1">
        <v>121</v>
      </c>
      <c r="M981" s="1">
        <v>102</v>
      </c>
      <c r="N981" s="1">
        <v>51</v>
      </c>
      <c r="O981" s="1">
        <v>80</v>
      </c>
      <c r="P981" s="1">
        <v>111</v>
      </c>
      <c r="Q981" s="1">
        <v>102</v>
      </c>
      <c r="R981" s="1">
        <v>47</v>
      </c>
      <c r="S981" s="1">
        <v>58</v>
      </c>
    </row>
    <row r="982" spans="1:19">
      <c r="A982" s="1">
        <v>2019</v>
      </c>
      <c r="B982" s="1">
        <v>113</v>
      </c>
      <c r="C982" s="1" t="s">
        <v>403</v>
      </c>
      <c r="D982" s="1" t="e">
        <f t="array" aca="1" ref="D982" ca="1">_xludf.XLOOKUP(C982,'country region mapping'!$A$2:$A$250, 'country region mapping'!$E$2:$E$250)</f>
        <v>#NAME?</v>
      </c>
      <c r="E982" s="1" t="e">
        <f t="array" aca="1" ref="E982" ca="1">_xludf.XLOOKUP(C982,'country region mapping'!$A$2:$A$267,'country region mapping'!$F$2:$F$267)</f>
        <v>#NAME?</v>
      </c>
      <c r="F982" s="1" t="e">
        <f t="array" aca="1" ref="F982" ca="1">_xludf.XLOOKUP(C982,'country region mapping'!$A$2:$A$267,'country region mapping'!$G$2:$G$267)</f>
        <v>#NAME?</v>
      </c>
      <c r="G982" s="1">
        <v>4.7510000000000003</v>
      </c>
      <c r="H982" s="1">
        <v>140</v>
      </c>
      <c r="I982" s="1">
        <v>119</v>
      </c>
      <c r="J982" s="1">
        <v>129</v>
      </c>
      <c r="K982" s="1">
        <v>113</v>
      </c>
      <c r="L982" s="1">
        <v>122</v>
      </c>
      <c r="M982" s="1">
        <v>7</v>
      </c>
      <c r="N982" s="1">
        <v>77</v>
      </c>
      <c r="O982" s="1">
        <v>49</v>
      </c>
      <c r="P982" s="1">
        <v>123</v>
      </c>
      <c r="Q982" s="1">
        <v>7</v>
      </c>
      <c r="R982" s="1">
        <v>21</v>
      </c>
      <c r="S982" s="1">
        <v>7</v>
      </c>
    </row>
    <row r="983" spans="1:19">
      <c r="A983" s="1">
        <v>2019</v>
      </c>
      <c r="B983" s="1">
        <v>114</v>
      </c>
      <c r="C983" s="1" t="s">
        <v>311</v>
      </c>
      <c r="D983" s="1" t="e">
        <f t="array" aca="1" ref="D983" ca="1">_xludf.XLOOKUP(C983,'country region mapping'!$A$2:$A$250, 'country region mapping'!$E$2:$E$250)</f>
        <v>#NAME?</v>
      </c>
      <c r="E983" s="1" t="e">
        <f t="array" aca="1" ref="E983" ca="1">_xludf.XLOOKUP(C983,'country region mapping'!$A$2:$A$267,'country region mapping'!$F$2:$F$267)</f>
        <v>#NAME?</v>
      </c>
      <c r="F983" s="1" t="e">
        <f t="array" aca="1" ref="F983" ca="1">_xludf.XLOOKUP(C983,'country region mapping'!$A$2:$A$267,'country region mapping'!$G$2:$G$267)</f>
        <v>#NAME?</v>
      </c>
      <c r="G983" s="1">
        <v>4.7290000000000001</v>
      </c>
      <c r="H983" s="1">
        <v>131</v>
      </c>
      <c r="I983" s="1">
        <v>109</v>
      </c>
      <c r="J983" s="1">
        <v>133</v>
      </c>
      <c r="K983" s="1">
        <v>128</v>
      </c>
      <c r="L983" s="1">
        <v>123</v>
      </c>
      <c r="M983" s="1">
        <v>116</v>
      </c>
      <c r="N983" s="1">
        <v>99</v>
      </c>
      <c r="O983" s="1">
        <v>82</v>
      </c>
      <c r="P983" s="1">
        <v>110</v>
      </c>
      <c r="Q983" s="1">
        <v>116</v>
      </c>
      <c r="R983" s="1">
        <v>87</v>
      </c>
      <c r="S983" s="1">
        <v>64</v>
      </c>
    </row>
    <row r="984" spans="1:19">
      <c r="A984" s="1">
        <v>2019</v>
      </c>
      <c r="B984" s="1">
        <v>115</v>
      </c>
      <c r="C984" s="1" t="s">
        <v>165</v>
      </c>
      <c r="D984" s="1" t="e">
        <f t="array" aca="1" ref="D984" ca="1">_xludf.XLOOKUP(C984,'country region mapping'!$A$2:$A$250, 'country region mapping'!$E$2:$E$250)</f>
        <v>#NAME?</v>
      </c>
      <c r="E984" s="1" t="e">
        <f t="array" aca="1" ref="E984" ca="1">_xludf.XLOOKUP(C984,'country region mapping'!$A$2:$A$267,'country region mapping'!$F$2:$F$267)</f>
        <v>#NAME?</v>
      </c>
      <c r="F984" s="1" t="e">
        <f t="array" aca="1" ref="F984" ca="1">_xludf.XLOOKUP(C984,'country region mapping'!$A$2:$A$267,'country region mapping'!$G$2:$G$267)</f>
        <v>#NAME?</v>
      </c>
      <c r="G984" s="1">
        <v>4.7240000000000002</v>
      </c>
      <c r="H984" s="1">
        <v>105</v>
      </c>
      <c r="I984" s="1">
        <v>113</v>
      </c>
      <c r="J984" s="1">
        <v>113</v>
      </c>
      <c r="K984" s="1">
        <v>123</v>
      </c>
      <c r="L984" s="1">
        <v>95</v>
      </c>
      <c r="M984" s="1">
        <v>62</v>
      </c>
      <c r="N984" s="1">
        <v>111</v>
      </c>
      <c r="O984" s="1">
        <v>61</v>
      </c>
      <c r="P984" s="1">
        <v>42</v>
      </c>
      <c r="Q984" s="1">
        <v>62</v>
      </c>
      <c r="R984" s="1">
        <v>49</v>
      </c>
      <c r="S984" s="1">
        <v>33</v>
      </c>
    </row>
    <row r="985" spans="1:19">
      <c r="A985" s="1">
        <v>2019</v>
      </c>
      <c r="B985" s="1">
        <v>116</v>
      </c>
      <c r="C985" s="1" t="s">
        <v>192</v>
      </c>
      <c r="D985" s="1" t="e">
        <f t="array" aca="1" ref="D985" ca="1">_xludf.XLOOKUP(C985,'country region mapping'!$A$2:$A$250, 'country region mapping'!$E$2:$E$250)</f>
        <v>#NAME?</v>
      </c>
      <c r="E985" s="1" t="e">
        <f t="array" aca="1" ref="E985" ca="1">_xludf.XLOOKUP(C985,'country region mapping'!$A$2:$A$267,'country region mapping'!$F$2:$F$267)</f>
        <v>#NAME?</v>
      </c>
      <c r="F985" s="1" t="e">
        <f t="array" aca="1" ref="F985" ca="1">_xludf.XLOOKUP(C985,'country region mapping'!$A$2:$A$267,'country region mapping'!$G$2:$G$267)</f>
        <v>#NAME?</v>
      </c>
      <c r="G985" s="1">
        <v>4.6769999999999996</v>
      </c>
      <c r="H985" s="1">
        <v>74</v>
      </c>
      <c r="I985" s="1">
        <v>97</v>
      </c>
      <c r="J985" s="1">
        <v>71</v>
      </c>
      <c r="K985" s="1">
        <v>58</v>
      </c>
      <c r="L985" s="1">
        <v>59</v>
      </c>
      <c r="M985" s="1">
        <v>122</v>
      </c>
      <c r="N985" s="1">
        <v>24</v>
      </c>
      <c r="O985" s="1">
        <v>121</v>
      </c>
      <c r="P985" s="1">
        <v>132</v>
      </c>
      <c r="Q985" s="1">
        <v>122</v>
      </c>
      <c r="R985" s="1">
        <v>130</v>
      </c>
      <c r="S985" s="1">
        <v>62</v>
      </c>
    </row>
    <row r="986" spans="1:19">
      <c r="A986" s="1">
        <v>2019</v>
      </c>
      <c r="B986" s="1">
        <v>117</v>
      </c>
      <c r="C986" s="1" t="s">
        <v>201</v>
      </c>
      <c r="D986" s="1" t="e">
        <f t="array" aca="1" ref="D986" ca="1">_xludf.XLOOKUP(C986,'country region mapping'!$A$2:$A$250, 'country region mapping'!$E$2:$E$250)</f>
        <v>#NAME?</v>
      </c>
      <c r="E986" s="1" t="e">
        <f t="array" aca="1" ref="E986" ca="1">_xludf.XLOOKUP(C986,'country region mapping'!$A$2:$A$267,'country region mapping'!$F$2:$F$267)</f>
        <v>#NAME?</v>
      </c>
      <c r="F986" s="1" t="e">
        <f t="array" aca="1" ref="F986" ca="1">_xludf.XLOOKUP(C986,'country region mapping'!$A$2:$A$267,'country region mapping'!$G$2:$G$267)</f>
        <v>#NAME?</v>
      </c>
      <c r="G986" s="1">
        <v>4.673</v>
      </c>
      <c r="H986" s="1">
        <v>57</v>
      </c>
      <c r="I986" s="1">
        <v>127</v>
      </c>
      <c r="J986" s="1">
        <v>65</v>
      </c>
      <c r="K986" s="1">
        <v>73</v>
      </c>
      <c r="L986" s="1">
        <v>76</v>
      </c>
      <c r="M986" s="1">
        <v>141</v>
      </c>
      <c r="N986" s="1">
        <v>30</v>
      </c>
      <c r="O986" s="1">
        <v>131</v>
      </c>
      <c r="P986" s="1">
        <v>54</v>
      </c>
      <c r="Q986" s="1">
        <v>141</v>
      </c>
      <c r="R986" s="1">
        <v>72</v>
      </c>
      <c r="S986" s="1">
        <v>51</v>
      </c>
    </row>
    <row r="987" spans="1:19">
      <c r="A987" s="1">
        <v>2019</v>
      </c>
      <c r="B987" s="1">
        <v>118</v>
      </c>
      <c r="C987" s="1" t="s">
        <v>169</v>
      </c>
      <c r="D987" s="1" t="e">
        <f t="array" aca="1" ref="D987" ca="1">_xludf.XLOOKUP(C987,'country region mapping'!$A$2:$A$267,'country region mapping'!$E$2:$E$267)</f>
        <v>#NAME?</v>
      </c>
      <c r="E987" s="1" t="e">
        <f t="array" aca="1" ref="E987" ca="1">_xludf.XLOOKUP(C987,'country region mapping'!$A$2:$A$267,'country region mapping'!$F$2:$F$267)</f>
        <v>#NAME?</v>
      </c>
      <c r="F987" s="1" t="e">
        <f t="array" aca="1" ref="F987" ca="1">_xludf.XLOOKUP(C987,'country region mapping'!$A$2:$A$267,'country region mapping'!$G$2:$G$267)</f>
        <v>#NAME?</v>
      </c>
      <c r="G987" s="1">
        <v>4.6719999999999997</v>
      </c>
      <c r="H987" s="1">
        <v>88</v>
      </c>
      <c r="I987" s="1">
        <v>118</v>
      </c>
      <c r="J987" s="1">
        <v>84</v>
      </c>
      <c r="K987" s="1">
        <v>56</v>
      </c>
      <c r="L987" s="1">
        <v>133</v>
      </c>
      <c r="M987" s="1">
        <v>28</v>
      </c>
      <c r="N987" s="1">
        <v>49</v>
      </c>
      <c r="O987" s="1">
        <v>124</v>
      </c>
      <c r="P987" s="1">
        <v>137</v>
      </c>
      <c r="Q987" s="1">
        <v>28</v>
      </c>
      <c r="R987" s="1">
        <v>106</v>
      </c>
      <c r="S987" s="1">
        <v>40</v>
      </c>
    </row>
    <row r="988" spans="1:19">
      <c r="A988" s="1">
        <v>2019</v>
      </c>
      <c r="B988" s="1">
        <v>119</v>
      </c>
      <c r="C988" s="1" t="s">
        <v>138</v>
      </c>
      <c r="D988" s="1" t="e">
        <f t="array" aca="1" ref="D988" ca="1">_xludf.XLOOKUP(C988,'country region mapping'!$A$2:$A$250, 'country region mapping'!$E$2:$E$250)</f>
        <v>#NAME?</v>
      </c>
      <c r="E988" s="1" t="e">
        <f t="array" aca="1" ref="E988" ca="1">_xludf.XLOOKUP(C988,'country region mapping'!$A$2:$A$267,'country region mapping'!$F$2:$F$267)</f>
        <v>#NAME?</v>
      </c>
      <c r="F988" s="1" t="e">
        <f t="array" aca="1" ref="F988" ca="1">_xludf.XLOOKUP(C988,'country region mapping'!$A$2:$A$267,'country region mapping'!$G$2:$G$267)</f>
        <v>#NAME?</v>
      </c>
      <c r="G988" s="1">
        <v>4.633</v>
      </c>
      <c r="H988" s="1">
        <v>118</v>
      </c>
      <c r="I988" s="1">
        <v>92</v>
      </c>
      <c r="J988" s="1">
        <v>97</v>
      </c>
      <c r="K988" s="1">
        <v>37</v>
      </c>
      <c r="L988" s="1">
        <v>103</v>
      </c>
      <c r="M988" s="1">
        <v>129</v>
      </c>
      <c r="Q988" s="14">
        <v>129</v>
      </c>
      <c r="R988" s="14">
        <v>137</v>
      </c>
      <c r="S988" s="14">
        <v>45</v>
      </c>
    </row>
    <row r="989" spans="1:19">
      <c r="A989" s="1">
        <v>2019</v>
      </c>
      <c r="B989" s="1">
        <v>120</v>
      </c>
      <c r="C989" s="1" t="s">
        <v>252</v>
      </c>
      <c r="D989" s="1" t="e">
        <f t="array" aca="1" ref="D989" ca="1">_xludf.XLOOKUP(C989,'country region mapping'!$A$2:$A$250, 'country region mapping'!$E$2:$E$250)</f>
        <v>#NAME?</v>
      </c>
      <c r="E989" s="1" t="e">
        <f t="array" aca="1" ref="E989" ca="1">_xludf.XLOOKUP(C989,'country region mapping'!$A$2:$A$267,'country region mapping'!$F$2:$F$267)</f>
        <v>#NAME?</v>
      </c>
      <c r="F989" s="1" t="e">
        <f t="array" aca="1" ref="F989" ca="1">_xludf.XLOOKUP(C989,'country region mapping'!$A$2:$A$267,'country region mapping'!$G$2:$G$267)</f>
        <v>#NAME?</v>
      </c>
      <c r="G989" s="1">
        <v>4.6239999999999997</v>
      </c>
      <c r="H989" s="1">
        <v>142</v>
      </c>
      <c r="I989" s="1">
        <v>112</v>
      </c>
      <c r="J989" s="1">
        <v>142</v>
      </c>
      <c r="K989" s="1">
        <v>135</v>
      </c>
      <c r="L989" s="1">
        <v>49</v>
      </c>
      <c r="M989" s="1">
        <v>86</v>
      </c>
      <c r="N989" s="1">
        <v>36</v>
      </c>
      <c r="O989" s="1">
        <v>105</v>
      </c>
      <c r="P989" s="1">
        <v>117</v>
      </c>
      <c r="Q989" s="1">
        <v>86</v>
      </c>
      <c r="R989" s="1">
        <v>6</v>
      </c>
      <c r="S989" s="1">
        <v>50</v>
      </c>
    </row>
    <row r="990" spans="1:19">
      <c r="A990" s="1">
        <v>2019</v>
      </c>
      <c r="B990" s="1">
        <v>121</v>
      </c>
      <c r="C990" s="1" t="s">
        <v>193</v>
      </c>
      <c r="D990" s="1" t="e">
        <f t="array" aca="1" ref="D990" ca="1">_xludf.XLOOKUP(C990,'country region mapping'!$A$2:$A$250, 'country region mapping'!$E$2:$E$250)</f>
        <v>#NAME?</v>
      </c>
      <c r="E990" s="1" t="e">
        <f t="array" aca="1" ref="E990" ca="1">_xludf.XLOOKUP(C990,'country region mapping'!$A$2:$A$267,'country region mapping'!$F$2:$F$267)</f>
        <v>#NAME?</v>
      </c>
      <c r="F990" s="1" t="e">
        <f t="array" aca="1" ref="F990" ca="1">_xludf.XLOOKUP(C990,'country region mapping'!$A$2:$A$267,'country region mapping'!$G$2:$G$267)</f>
        <v>#NAME?</v>
      </c>
      <c r="G990" s="1">
        <v>4.5830000000000002</v>
      </c>
      <c r="H990" s="1">
        <v>127</v>
      </c>
      <c r="I990" s="1">
        <v>126</v>
      </c>
      <c r="J990" s="1">
        <v>115</v>
      </c>
      <c r="K990" s="1">
        <v>108</v>
      </c>
      <c r="L990" s="1">
        <v>71</v>
      </c>
      <c r="M990" s="1">
        <v>13</v>
      </c>
      <c r="N990" s="1">
        <v>75</v>
      </c>
      <c r="O990" s="1">
        <v>42</v>
      </c>
      <c r="P990" s="1">
        <v>57</v>
      </c>
      <c r="Q990" s="1">
        <v>13</v>
      </c>
      <c r="R990" s="1">
        <v>2</v>
      </c>
      <c r="S990" s="1">
        <v>4</v>
      </c>
    </row>
    <row r="991" spans="1:19">
      <c r="A991" s="1">
        <v>2019</v>
      </c>
      <c r="B991" s="1">
        <v>122</v>
      </c>
      <c r="C991" s="1" t="s">
        <v>181</v>
      </c>
      <c r="D991" s="1" t="e">
        <f t="array" aca="1" ref="D991" ca="1">_xludf.XLOOKUP(C991,'country region mapping'!$A$2:$A$250, 'country region mapping'!$E$2:$E$250)</f>
        <v>#NAME?</v>
      </c>
      <c r="E991" s="1" t="e">
        <f t="array" aca="1" ref="E991" ca="1">_xludf.XLOOKUP(C991,'country region mapping'!$A$2:$A$267,'country region mapping'!$F$2:$F$267)</f>
        <v>#NAME?</v>
      </c>
      <c r="F991" s="1" t="e">
        <f t="array" aca="1" ref="F991" ca="1">_xludf.XLOOKUP(C991,'country region mapping'!$A$2:$A$267,'country region mapping'!$G$2:$G$267)</f>
        <v>#NAME?</v>
      </c>
      <c r="G991" s="1">
        <v>4.5709999999999997</v>
      </c>
      <c r="H991" s="1">
        <v>115</v>
      </c>
      <c r="I991" s="1">
        <v>72</v>
      </c>
      <c r="J991" s="1">
        <v>91</v>
      </c>
      <c r="K991" s="1">
        <v>98</v>
      </c>
      <c r="L991" s="1">
        <v>121</v>
      </c>
      <c r="M991" s="1">
        <v>131</v>
      </c>
      <c r="N991" s="1">
        <v>116</v>
      </c>
      <c r="O991" s="1">
        <v>85</v>
      </c>
      <c r="P991" s="1">
        <v>61</v>
      </c>
      <c r="Q991" s="1">
        <v>131</v>
      </c>
      <c r="R991" s="1">
        <v>77</v>
      </c>
      <c r="S991" s="1">
        <v>71</v>
      </c>
    </row>
    <row r="992" spans="1:19">
      <c r="A992" s="1">
        <v>2019</v>
      </c>
      <c r="B992" s="1">
        <v>123</v>
      </c>
      <c r="C992" s="1" t="s">
        <v>195</v>
      </c>
      <c r="D992" s="1" t="e">
        <f t="array" aca="1" ref="D992" ca="1">_xludf.XLOOKUP(C992,'country region mapping'!$A$2:$A$250, 'country region mapping'!$E$2:$E$250)</f>
        <v>#NAME?</v>
      </c>
      <c r="E992" s="1" t="e">
        <f t="array" aca="1" ref="E992" ca="1">_xludf.XLOOKUP(C992,'country region mapping'!$A$2:$A$267,'country region mapping'!$F$2:$F$267)</f>
        <v>#NAME?</v>
      </c>
      <c r="F992" s="1" t="e">
        <f t="array" aca="1" ref="F992" ca="1">_xludf.XLOOKUP(C992,'country region mapping'!$A$2:$A$267,'country region mapping'!$G$2:$G$267)</f>
        <v>#NAME?</v>
      </c>
      <c r="G992" s="1">
        <v>4.5609999999999999</v>
      </c>
      <c r="H992" s="1">
        <v>58</v>
      </c>
      <c r="I992" s="1">
        <v>52</v>
      </c>
      <c r="J992" s="1">
        <v>68</v>
      </c>
      <c r="K992" s="1">
        <v>87</v>
      </c>
      <c r="L992" s="1">
        <v>108</v>
      </c>
      <c r="M992" s="1">
        <v>81</v>
      </c>
      <c r="N992" s="1">
        <v>121</v>
      </c>
      <c r="O992" s="1">
        <v>115</v>
      </c>
      <c r="P992" s="1">
        <v>27</v>
      </c>
      <c r="Q992" s="1">
        <v>81</v>
      </c>
      <c r="R992" s="1">
        <v>125</v>
      </c>
      <c r="S992" s="1">
        <v>135</v>
      </c>
    </row>
    <row r="993" spans="1:19">
      <c r="A993" s="1">
        <v>2019</v>
      </c>
      <c r="B993" s="1">
        <v>124</v>
      </c>
      <c r="C993" s="1" t="s">
        <v>238</v>
      </c>
      <c r="D993" s="1" t="e">
        <f t="array" aca="1" ref="D993" ca="1">_xludf.XLOOKUP(C993,'country region mapping'!$A$2:$A$250, 'country region mapping'!$E$2:$E$250)</f>
        <v>#NAME?</v>
      </c>
      <c r="E993" s="1" t="e">
        <f t="array" aca="1" ref="E993" ca="1">_xludf.XLOOKUP(C993,'country region mapping'!$A$2:$A$267,'country region mapping'!$F$2:$F$267)</f>
        <v>#NAME?</v>
      </c>
      <c r="F993" s="1" t="e">
        <f t="array" aca="1" ref="F993" ca="1">_xludf.XLOOKUP(C993,'country region mapping'!$A$2:$A$267,'country region mapping'!$G$2:$G$267)</f>
        <v>#NAME?</v>
      </c>
      <c r="G993" s="1">
        <v>4.5579999999999998</v>
      </c>
      <c r="H993" s="1">
        <v>143</v>
      </c>
      <c r="I993" s="1">
        <v>115</v>
      </c>
      <c r="J993" s="1">
        <v>141</v>
      </c>
      <c r="K993" s="1">
        <v>126</v>
      </c>
      <c r="L993" s="1">
        <v>114</v>
      </c>
      <c r="M993" s="1">
        <v>91</v>
      </c>
      <c r="N993" s="1">
        <v>89</v>
      </c>
      <c r="O993" s="1">
        <v>83</v>
      </c>
      <c r="P993" s="1">
        <v>119</v>
      </c>
      <c r="Q993" s="1">
        <v>91</v>
      </c>
      <c r="R993" s="1">
        <v>3</v>
      </c>
      <c r="S993" s="1">
        <v>1</v>
      </c>
    </row>
    <row r="994" spans="1:19">
      <c r="A994" s="1">
        <v>2019</v>
      </c>
      <c r="B994" s="1">
        <v>125</v>
      </c>
      <c r="C994" s="1" t="s">
        <v>173</v>
      </c>
      <c r="D994" s="1" t="e">
        <f t="array" aca="1" ref="D994" ca="1">_xludf.XLOOKUP(C994,'country region mapping'!$A$2:$A$267,'country region mapping'!$E$2:$E$267)</f>
        <v>#NAME?</v>
      </c>
      <c r="E994" s="1" t="e">
        <f t="array" aca="1" ref="E994" ca="1">_xludf.XLOOKUP(C994,'country region mapping'!$A$2:$A$267,'country region mapping'!$F$2:$F$267)</f>
        <v>#NAME?</v>
      </c>
      <c r="F994" s="1" t="e">
        <f t="array" aca="1" ref="F994" ca="1">_xludf.XLOOKUP(C994,'country region mapping'!$A$2:$A$267,'country region mapping'!$G$2:$G$267)</f>
        <v>#NAME?</v>
      </c>
      <c r="G994" s="1">
        <v>4.5529999999999999</v>
      </c>
      <c r="H994" s="1">
        <v>90</v>
      </c>
      <c r="I994" s="1">
        <v>78</v>
      </c>
      <c r="J994" s="1">
        <v>105</v>
      </c>
      <c r="K994" s="1"/>
      <c r="L994" s="1">
        <v>127</v>
      </c>
      <c r="M994" s="1">
        <v>128</v>
      </c>
      <c r="N994" s="1">
        <v>90</v>
      </c>
      <c r="O994" s="1">
        <v>120</v>
      </c>
      <c r="Q994" s="14">
        <v>128</v>
      </c>
      <c r="R994" s="14">
        <v>126</v>
      </c>
      <c r="S994" s="14">
        <v>90</v>
      </c>
    </row>
    <row r="995" spans="1:19">
      <c r="A995" s="1">
        <v>2019</v>
      </c>
      <c r="B995" s="1">
        <v>126</v>
      </c>
      <c r="C995" s="1" t="s">
        <v>231</v>
      </c>
      <c r="D995" s="1" t="e">
        <f t="array" aca="1" ref="D995" ca="1">_xludf.XLOOKUP(C995,'country region mapping'!$A$2:$A$250, 'country region mapping'!$E$2:$E$250)</f>
        <v>#NAME?</v>
      </c>
      <c r="E995" s="1" t="e">
        <f t="array" aca="1" ref="E995" ca="1">_xludf.XLOOKUP(C995,'country region mapping'!$A$2:$A$267,'country region mapping'!$F$2:$F$267)</f>
        <v>#NAME?</v>
      </c>
      <c r="F995" s="1" t="e">
        <f t="array" aca="1" ref="F995" ca="1">_xludf.XLOOKUP(C995,'country region mapping'!$A$2:$A$267,'country region mapping'!$G$2:$G$267)</f>
        <v>#NAME?</v>
      </c>
      <c r="G995" s="1">
        <v>4.4320000000000004</v>
      </c>
      <c r="H995" s="1">
        <v>133</v>
      </c>
      <c r="I995" s="1">
        <v>87</v>
      </c>
      <c r="J995" s="1">
        <v>130</v>
      </c>
      <c r="K995" s="1">
        <v>111</v>
      </c>
      <c r="L995" s="1">
        <v>115</v>
      </c>
      <c r="M995" s="1">
        <v>45</v>
      </c>
      <c r="N995" s="1">
        <v>87</v>
      </c>
      <c r="O995" s="1">
        <v>64</v>
      </c>
      <c r="P995" s="1">
        <v>118</v>
      </c>
      <c r="Q995" s="1">
        <v>45</v>
      </c>
      <c r="R995" s="1">
        <v>29</v>
      </c>
      <c r="S995" s="1">
        <v>12</v>
      </c>
    </row>
    <row r="996" spans="1:19">
      <c r="A996" s="1">
        <v>2019</v>
      </c>
      <c r="B996" s="1">
        <v>127</v>
      </c>
      <c r="C996" s="1" t="s">
        <v>227</v>
      </c>
      <c r="D996" s="1" t="e">
        <f t="array" aca="1" ref="D996" ca="1">_xludf.XLOOKUP(C996,'country region mapping'!$A$2:$A$250, 'country region mapping'!$E$2:$E$250)</f>
        <v>#NAME?</v>
      </c>
      <c r="E996" s="1" t="e">
        <f t="array" aca="1" ref="E996" ca="1">_xludf.XLOOKUP(C996,'country region mapping'!$A$2:$A$267,'country region mapping'!$F$2:$F$267)</f>
        <v>#NAME?</v>
      </c>
      <c r="F996" s="1" t="e">
        <f t="array" aca="1" ref="F996" ca="1">_xludf.XLOOKUP(C996,'country region mapping'!$A$2:$A$267,'country region mapping'!$G$2:$G$267)</f>
        <v>#NAME?</v>
      </c>
      <c r="G996" s="1">
        <v>4.423</v>
      </c>
      <c r="H996" s="1">
        <v>128</v>
      </c>
      <c r="I996" s="1">
        <v>130</v>
      </c>
      <c r="J996" s="1">
        <v>137</v>
      </c>
      <c r="K996" s="1">
        <v>134</v>
      </c>
      <c r="L996" s="1">
        <v>139</v>
      </c>
      <c r="M996" s="1">
        <v>88</v>
      </c>
      <c r="N996" s="1">
        <v>94</v>
      </c>
      <c r="O996" s="1">
        <v>114</v>
      </c>
      <c r="P996" s="1">
        <v>138</v>
      </c>
      <c r="Q996" s="1">
        <v>88</v>
      </c>
      <c r="R996" s="1">
        <v>51</v>
      </c>
      <c r="S996" s="1">
        <v>14</v>
      </c>
    </row>
    <row r="997" spans="1:19">
      <c r="A997" s="1">
        <v>2019</v>
      </c>
      <c r="B997" s="1">
        <v>128</v>
      </c>
      <c r="C997" s="1" t="s">
        <v>159</v>
      </c>
      <c r="D997" s="1" t="e">
        <f t="array" aca="1" ref="D997" ca="1">_xludf.XLOOKUP(C997,'country region mapping'!$A$2:$A$250, 'country region mapping'!$E$2:$E$250)</f>
        <v>#NAME?</v>
      </c>
      <c r="E997" s="1" t="e">
        <f t="array" aca="1" ref="E997" ca="1">_xludf.XLOOKUP(C997,'country region mapping'!$A$2:$A$267,'country region mapping'!$F$2:$F$267)</f>
        <v>#NAME?</v>
      </c>
      <c r="F997" s="1" t="e">
        <f t="array" aca="1" ref="F997" ca="1">_xludf.XLOOKUP(C997,'country region mapping'!$A$2:$A$267,'country region mapping'!$G$2:$G$267)</f>
        <v>#NAME?</v>
      </c>
      <c r="G997" s="1">
        <v>4.3920000000000003</v>
      </c>
      <c r="H997" s="1">
        <v>103</v>
      </c>
      <c r="I997" s="1">
        <v>136</v>
      </c>
      <c r="J997" s="1">
        <v>86</v>
      </c>
      <c r="K997" s="1">
        <v>52</v>
      </c>
      <c r="L997" s="1">
        <v>124</v>
      </c>
      <c r="M997" s="1">
        <v>136</v>
      </c>
      <c r="N997" s="1">
        <v>123</v>
      </c>
      <c r="O997" s="1">
        <v>136</v>
      </c>
      <c r="P997" s="1">
        <v>133</v>
      </c>
      <c r="Q997" s="1">
        <v>136</v>
      </c>
      <c r="R997" s="1">
        <v>123</v>
      </c>
      <c r="S997" s="1">
        <v>52</v>
      </c>
    </row>
    <row r="998" spans="1:19">
      <c r="A998" s="1">
        <v>2019</v>
      </c>
      <c r="B998" s="1">
        <v>129</v>
      </c>
      <c r="C998" s="1" t="s">
        <v>206</v>
      </c>
      <c r="D998" s="1" t="e">
        <f t="array" aca="1" ref="D998" ca="1">_xludf.XLOOKUP(C998,'country region mapping'!$A$2:$A$250, 'country region mapping'!$E$2:$E$250)</f>
        <v>#NAME?</v>
      </c>
      <c r="E998" s="1" t="e">
        <f t="array" aca="1" ref="E998" ca="1">_xludf.XLOOKUP(C998,'country region mapping'!$A$2:$A$267,'country region mapping'!$F$2:$F$267)</f>
        <v>#NAME?</v>
      </c>
      <c r="F998" s="1" t="e">
        <f t="array" aca="1" ref="F998" ca="1">_xludf.XLOOKUP(C998,'country region mapping'!$A$2:$A$267,'country region mapping'!$G$2:$G$267)</f>
        <v>#NAME?</v>
      </c>
      <c r="G998" s="1">
        <v>4.375</v>
      </c>
      <c r="H998" s="1">
        <v>92</v>
      </c>
      <c r="I998" s="1">
        <v>90</v>
      </c>
      <c r="J998" s="1">
        <v>110</v>
      </c>
      <c r="K998" s="1">
        <v>95</v>
      </c>
      <c r="L998" s="1">
        <v>131</v>
      </c>
      <c r="M998" s="1">
        <v>121</v>
      </c>
      <c r="N998" s="1">
        <v>58</v>
      </c>
      <c r="O998" s="1">
        <v>65</v>
      </c>
      <c r="P998" s="1">
        <v>62</v>
      </c>
      <c r="Q998" s="1">
        <v>121</v>
      </c>
      <c r="R998" s="1">
        <v>94</v>
      </c>
      <c r="S998" s="1">
        <v>41</v>
      </c>
    </row>
    <row r="999" spans="1:19">
      <c r="A999" s="1">
        <v>2019</v>
      </c>
      <c r="B999" s="1">
        <v>130</v>
      </c>
      <c r="C999" s="1" t="s">
        <v>187</v>
      </c>
      <c r="D999" s="1" t="e">
        <f t="array" aca="1" ref="D999" ca="1">_xludf.XLOOKUP(C999,'country region mapping'!$A$2:$A$250, 'country region mapping'!$E$2:$E$250)</f>
        <v>#NAME?</v>
      </c>
      <c r="E999" s="1" t="e">
        <f t="array" aca="1" ref="E999" ca="1">_xludf.XLOOKUP(C999,'country region mapping'!$A$2:$A$267,'country region mapping'!$F$2:$F$267)</f>
        <v>#NAME?</v>
      </c>
      <c r="F999" s="1" t="e">
        <f t="array" aca="1" ref="F999" ca="1">_xludf.XLOOKUP(C999,'country region mapping'!$A$2:$A$267,'country region mapping'!$G$2:$G$267)</f>
        <v>#NAME?</v>
      </c>
      <c r="G999" s="1">
        <v>4.327</v>
      </c>
      <c r="H999" s="1">
        <v>85</v>
      </c>
      <c r="I999" s="1">
        <v>82</v>
      </c>
      <c r="J999" s="1">
        <v>80</v>
      </c>
      <c r="K999" s="1">
        <v>48</v>
      </c>
      <c r="L999" s="1">
        <v>68</v>
      </c>
      <c r="M999" s="1">
        <v>37</v>
      </c>
      <c r="N999" s="1">
        <v>107</v>
      </c>
      <c r="O999" s="1">
        <v>27</v>
      </c>
      <c r="P999" s="1">
        <v>92</v>
      </c>
      <c r="Q999" s="1">
        <v>37</v>
      </c>
      <c r="R999" s="1">
        <v>7</v>
      </c>
      <c r="S999" s="1">
        <v>68</v>
      </c>
    </row>
    <row r="1000" spans="1:19">
      <c r="A1000" s="1">
        <v>2019</v>
      </c>
      <c r="B1000" s="1">
        <v>131</v>
      </c>
      <c r="C1000" s="1" t="s">
        <v>199</v>
      </c>
      <c r="D1000" s="1" t="e">
        <f t="array" aca="1" ref="D1000" ca="1">_xludf.XLOOKUP(C1000,'country region mapping'!$A$2:$A$267,'country region mapping'!$E$2:$E$267)</f>
        <v>#NAME?</v>
      </c>
      <c r="E1000" s="1" t="e">
        <f t="array" aca="1" ref="E1000" ca="1">_xludf.XLOOKUP(C1000,'country region mapping'!$A$2:$A$267,'country region mapping'!$F$2:$F$267)</f>
        <v>#NAME?</v>
      </c>
      <c r="F1000" s="1" t="e">
        <f t="array" aca="1" ref="F1000" ca="1">_xludf.XLOOKUP(C1000,'country region mapping'!$A$2:$A$267,'country region mapping'!$G$2:$G$267)</f>
        <v>#NAME?</v>
      </c>
      <c r="G1000" s="1">
        <v>4.3109999999999999</v>
      </c>
      <c r="H1000" s="1"/>
      <c r="I1000" s="1"/>
      <c r="J1000" s="1"/>
      <c r="K1000" s="1"/>
      <c r="L1000" s="1"/>
      <c r="P1000" s="1"/>
      <c r="Q1000" s="1"/>
      <c r="R1000" s="1"/>
      <c r="S1000" s="1"/>
    </row>
    <row r="1001" spans="1:19">
      <c r="A1001" s="1">
        <v>2019</v>
      </c>
      <c r="B1001" s="1">
        <v>132</v>
      </c>
      <c r="C1001" s="1" t="s">
        <v>453</v>
      </c>
      <c r="D1001" s="1" t="e">
        <f t="array" aca="1" ref="D1001" ca="1">_xludf.XLOOKUP(C1001,'country region mapping'!$A$2:$A$250, 'country region mapping'!$E$2:$E$250)</f>
        <v>#NAME?</v>
      </c>
      <c r="E1001" s="1" t="e">
        <f t="array" aca="1" ref="E1001" ca="1">_xludf.XLOOKUP(C1001,'country region mapping'!$A$2:$A$267,'country region mapping'!$F$2:$F$267)</f>
        <v>#NAME?</v>
      </c>
      <c r="F1001" s="1" t="e">
        <f t="array" aca="1" ref="F1001" ca="1">_xludf.XLOOKUP(C1001,'country region mapping'!$A$2:$A$267,'country region mapping'!$G$2:$G$267)</f>
        <v>#NAME?</v>
      </c>
      <c r="G1001" s="1">
        <v>4.3079999999999998</v>
      </c>
      <c r="H1001" s="1">
        <v>109</v>
      </c>
      <c r="I1001" s="1">
        <v>108</v>
      </c>
      <c r="J1001" s="1">
        <v>94</v>
      </c>
      <c r="K1001" s="1">
        <v>136</v>
      </c>
      <c r="L1001" s="1">
        <v>136</v>
      </c>
      <c r="M1001" s="1">
        <v>135</v>
      </c>
      <c r="N1001" s="1">
        <v>48</v>
      </c>
      <c r="O1001" s="1">
        <v>47</v>
      </c>
      <c r="P1001" s="1">
        <v>76</v>
      </c>
      <c r="Q1001" s="1">
        <v>135</v>
      </c>
      <c r="R1001" s="1">
        <v>75</v>
      </c>
      <c r="S1001" s="1">
        <v>36</v>
      </c>
    </row>
    <row r="1002" spans="1:19">
      <c r="A1002" s="1">
        <v>2019</v>
      </c>
      <c r="B1002" s="1">
        <v>133</v>
      </c>
      <c r="C1002" s="1" t="s">
        <v>190</v>
      </c>
      <c r="D1002" s="1" t="e">
        <f t="array" aca="1" ref="D1002" ca="1">_xludf.XLOOKUP(C1002,'country region mapping'!$A$2:$A$250, 'country region mapping'!$E$2:$E$250)</f>
        <v>#NAME?</v>
      </c>
      <c r="E1002" s="1" t="e">
        <f t="array" aca="1" ref="E1002" ca="1">_xludf.XLOOKUP(C1002,'country region mapping'!$A$2:$A$267,'country region mapping'!$F$2:$F$267)</f>
        <v>#NAME?</v>
      </c>
      <c r="F1002" s="1" t="e">
        <f t="array" aca="1" ref="F1002" ca="1">_xludf.XLOOKUP(C1002,'country region mapping'!$A$2:$A$267,'country region mapping'!$G$2:$G$267)</f>
        <v>#NAME?</v>
      </c>
      <c r="G1002" s="1">
        <v>4.3079999999999998</v>
      </c>
      <c r="H1002" s="1">
        <v>71</v>
      </c>
      <c r="I1002" s="1">
        <v>105</v>
      </c>
      <c r="J1002" s="1">
        <v>106</v>
      </c>
      <c r="K1002" s="1">
        <v>101</v>
      </c>
      <c r="L1002" s="1">
        <v>30</v>
      </c>
      <c r="M1002" s="1">
        <v>2</v>
      </c>
      <c r="N1002" s="1">
        <v>35</v>
      </c>
      <c r="O1002" s="1">
        <v>90</v>
      </c>
      <c r="P1002" s="1">
        <v>80</v>
      </c>
      <c r="Q1002" s="1">
        <v>2</v>
      </c>
      <c r="R1002" s="1">
        <v>43</v>
      </c>
      <c r="S1002" s="1">
        <v>119</v>
      </c>
    </row>
    <row r="1003" spans="1:19">
      <c r="A1003" s="1">
        <v>2019</v>
      </c>
      <c r="B1003" s="1">
        <v>134</v>
      </c>
      <c r="C1003" s="1" t="s">
        <v>219</v>
      </c>
      <c r="D1003" s="1" t="e">
        <f t="array" aca="1" ref="D1003" ca="1">_xludf.XLOOKUP(C1003,'country region mapping'!$A$2:$A$250, 'country region mapping'!$E$2:$E$250)</f>
        <v>#NAME?</v>
      </c>
      <c r="E1003" s="1" t="e">
        <f t="array" aca="1" ref="E1003" ca="1">_xludf.XLOOKUP(C1003,'country region mapping'!$A$2:$A$267,'country region mapping'!$F$2:$F$267)</f>
        <v>#NAME?</v>
      </c>
      <c r="F1003" s="1" t="e">
        <f t="array" aca="1" ref="F1003" ca="1">_xludf.XLOOKUP(C1003,'country region mapping'!$A$2:$A$267,'country region mapping'!$G$2:$G$267)</f>
        <v>#NAME?</v>
      </c>
      <c r="G1003" s="1">
        <v>4.2889999999999997</v>
      </c>
      <c r="H1003" s="1">
        <v>136</v>
      </c>
      <c r="I1003" s="1">
        <v>132</v>
      </c>
      <c r="J1003" s="1">
        <v>122</v>
      </c>
      <c r="K1003" s="1">
        <v>105</v>
      </c>
      <c r="L1003" s="1">
        <v>138</v>
      </c>
      <c r="M1003" s="1">
        <v>58</v>
      </c>
      <c r="N1003" s="1">
        <v>66</v>
      </c>
      <c r="O1003" s="1">
        <v>73</v>
      </c>
      <c r="P1003" s="1">
        <v>100</v>
      </c>
      <c r="Q1003" s="1">
        <v>58</v>
      </c>
      <c r="R1003" s="1">
        <v>4</v>
      </c>
      <c r="S1003" s="1">
        <v>9</v>
      </c>
    </row>
    <row r="1004" spans="1:19">
      <c r="A1004" s="1">
        <v>2019</v>
      </c>
      <c r="B1004" s="1">
        <v>135</v>
      </c>
      <c r="C1004" s="1" t="s">
        <v>247</v>
      </c>
      <c r="D1004" s="1" t="e">
        <f t="array" aca="1" ref="D1004" ca="1">_xludf.XLOOKUP(C1004,'country region mapping'!$A$2:$A$250, 'country region mapping'!$E$2:$E$250)</f>
        <v>#NAME?</v>
      </c>
      <c r="E1004" s="1" t="e">
        <f t="array" aca="1" ref="E1004" ca="1">_xludf.XLOOKUP(C1004,'country region mapping'!$A$2:$A$267,'country region mapping'!$F$2:$F$267)</f>
        <v>#NAME?</v>
      </c>
      <c r="F1004" s="1" t="e">
        <f t="array" aca="1" ref="F1004" ca="1">_xludf.XLOOKUP(C1004,'country region mapping'!$A$2:$A$267,'country region mapping'!$G$2:$G$267)</f>
        <v>#NAME?</v>
      </c>
      <c r="G1004" s="1">
        <v>4.1870000000000003</v>
      </c>
      <c r="H1004" s="1">
        <v>122</v>
      </c>
      <c r="I1004" s="1">
        <v>139</v>
      </c>
      <c r="J1004" s="1">
        <v>132</v>
      </c>
      <c r="K1004" s="1">
        <v>119</v>
      </c>
      <c r="L1004" s="1">
        <v>134</v>
      </c>
      <c r="M1004" s="1">
        <v>83</v>
      </c>
      <c r="N1004" s="1">
        <v>54</v>
      </c>
      <c r="O1004" s="1">
        <v>99</v>
      </c>
      <c r="P1004" s="1">
        <v>136</v>
      </c>
      <c r="Q1004" s="1">
        <v>83</v>
      </c>
      <c r="R1004" s="1">
        <v>46</v>
      </c>
      <c r="S1004" s="1">
        <v>53</v>
      </c>
    </row>
    <row r="1005" spans="1:19">
      <c r="A1005" s="1">
        <v>2019</v>
      </c>
      <c r="B1005" s="1">
        <v>136</v>
      </c>
      <c r="C1005" s="1" t="s">
        <v>183</v>
      </c>
      <c r="D1005" s="1" t="e">
        <f t="array" aca="1" ref="D1005" ca="1">_xludf.XLOOKUP(C1005,'country region mapping'!$A$2:$A$250, 'country region mapping'!$E$2:$E$250)</f>
        <v>#NAME?</v>
      </c>
      <c r="E1005" s="1" t="e">
        <f t="array" aca="1" ref="E1005" ca="1">_xludf.XLOOKUP(C1005,'country region mapping'!$A$2:$A$267,'country region mapping'!$F$2:$F$267)</f>
        <v>#NAME?</v>
      </c>
      <c r="F1005" s="1" t="e">
        <f t="array" aca="1" ref="F1005" ca="1">_xludf.XLOOKUP(C1005,'country region mapping'!$A$2:$A$267,'country region mapping'!$G$2:$G$267)</f>
        <v>#NAME?</v>
      </c>
      <c r="G1005" s="1">
        <v>4.1859999999999999</v>
      </c>
      <c r="H1005" s="1">
        <v>70</v>
      </c>
      <c r="I1005" s="1">
        <v>110</v>
      </c>
      <c r="J1005" s="1">
        <v>134</v>
      </c>
      <c r="K1005" s="1">
        <v>103</v>
      </c>
      <c r="L1005" s="1">
        <v>93</v>
      </c>
      <c r="M1005" s="1">
        <v>78</v>
      </c>
      <c r="N1005" s="1">
        <v>53</v>
      </c>
      <c r="O1005" s="1">
        <v>127</v>
      </c>
      <c r="P1005" s="1">
        <v>77</v>
      </c>
      <c r="Q1005" s="1">
        <v>78</v>
      </c>
      <c r="R1005" s="1">
        <v>35</v>
      </c>
      <c r="S1005" s="1">
        <v>102</v>
      </c>
    </row>
    <row r="1006" spans="1:19">
      <c r="A1006" s="1">
        <v>2019</v>
      </c>
      <c r="B1006" s="1">
        <v>137</v>
      </c>
      <c r="C1006" s="1" t="s">
        <v>235</v>
      </c>
      <c r="D1006" s="1" t="e">
        <f t="array" aca="1" ref="D1006" ca="1">_xludf.XLOOKUP(C1006,'country region mapping'!$A$2:$A$250, 'country region mapping'!$E$2:$E$250)</f>
        <v>#NAME?</v>
      </c>
      <c r="E1006" s="1" t="e">
        <f t="array" aca="1" ref="E1006" ca="1">_xludf.XLOOKUP(C1006,'country region mapping'!$A$2:$A$267,'country region mapping'!$F$2:$F$267)</f>
        <v>#NAME?</v>
      </c>
      <c r="F1006" s="1" t="e">
        <f t="array" aca="1" ref="F1006" ca="1">_xludf.XLOOKUP(C1006,'country region mapping'!$A$2:$A$267,'country region mapping'!$G$2:$G$267)</f>
        <v>#NAME?</v>
      </c>
      <c r="G1006" s="1">
        <v>4.1660000000000004</v>
      </c>
      <c r="H1006" s="1">
        <v>73</v>
      </c>
      <c r="I1006" s="1">
        <v>117</v>
      </c>
      <c r="J1006" s="1">
        <v>138</v>
      </c>
      <c r="K1006" s="1">
        <v>116</v>
      </c>
      <c r="L1006" s="1">
        <v>137</v>
      </c>
      <c r="M1006" s="1">
        <v>115</v>
      </c>
      <c r="N1006" s="1">
        <v>47</v>
      </c>
      <c r="O1006" s="1">
        <v>59</v>
      </c>
      <c r="P1006" s="1">
        <v>87</v>
      </c>
      <c r="Q1006" s="1">
        <v>115</v>
      </c>
      <c r="R1006" s="1">
        <v>20</v>
      </c>
      <c r="S1006" s="1">
        <v>107</v>
      </c>
    </row>
    <row r="1007" spans="1:19">
      <c r="A1007" s="1">
        <v>2019</v>
      </c>
      <c r="B1007" s="1">
        <v>138</v>
      </c>
      <c r="C1007" s="1" t="s">
        <v>191</v>
      </c>
      <c r="D1007" s="1" t="e">
        <f t="array" aca="1" ref="D1007" ca="1">_xludf.XLOOKUP(C1007,'country region mapping'!$A$2:$A$250, 'country region mapping'!$E$2:$E$250)</f>
        <v>#NAME?</v>
      </c>
      <c r="E1007" s="1" t="e">
        <f t="array" aca="1" ref="E1007" ca="1">_xludf.XLOOKUP(C1007,'country region mapping'!$A$2:$A$267,'country region mapping'!$F$2:$F$267)</f>
        <v>#NAME?</v>
      </c>
      <c r="F1007" s="1" t="e">
        <f t="array" aca="1" ref="F1007" ca="1">_xludf.XLOOKUP(C1007,'country region mapping'!$A$2:$A$267,'country region mapping'!$G$2:$G$267)</f>
        <v>#NAME?</v>
      </c>
      <c r="G1007" s="1">
        <v>4.1509999999999998</v>
      </c>
      <c r="H1007" s="1">
        <v>40</v>
      </c>
      <c r="I1007" s="1">
        <v>102</v>
      </c>
      <c r="J1007" s="1">
        <v>79</v>
      </c>
      <c r="K1007" s="1">
        <v>92</v>
      </c>
      <c r="L1007" s="1">
        <v>86</v>
      </c>
      <c r="M1007" s="1">
        <v>132</v>
      </c>
      <c r="N1007" s="1"/>
      <c r="O1007" s="1">
        <v>139</v>
      </c>
      <c r="P1007" s="1">
        <v>91</v>
      </c>
      <c r="Q1007" s="1">
        <v>132</v>
      </c>
      <c r="R1007" s="1">
        <v>141</v>
      </c>
      <c r="S1007" s="1">
        <v>60</v>
      </c>
    </row>
    <row r="1008" spans="1:19">
      <c r="A1008" s="1">
        <v>2019</v>
      </c>
      <c r="B1008" s="1">
        <v>139</v>
      </c>
      <c r="C1008" s="1" t="s">
        <v>178</v>
      </c>
      <c r="D1008" s="1" t="e">
        <f t="array" aca="1" ref="D1008" ca="1">_xludf.XLOOKUP(C1008,'country region mapping'!$A$2:$A$250, 'country region mapping'!$E$2:$E$250)</f>
        <v>#NAME?</v>
      </c>
      <c r="E1008" s="1" t="e">
        <f t="array" aca="1" ref="E1008" ca="1">_xludf.XLOOKUP(C1008,'country region mapping'!$A$2:$A$267,'country region mapping'!$F$2:$F$267)</f>
        <v>#NAME?</v>
      </c>
      <c r="F1008" s="1" t="e">
        <f t="array" aca="1" ref="F1008" ca="1">_xludf.XLOOKUP(C1008,'country region mapping'!$A$2:$A$267,'country region mapping'!$G$2:$G$267)</f>
        <v>#NAME?</v>
      </c>
      <c r="G1008" s="1">
        <v>3.9260000000000002</v>
      </c>
      <c r="H1008" s="1">
        <v>96</v>
      </c>
      <c r="I1008" s="1">
        <v>135</v>
      </c>
      <c r="J1008" s="1">
        <v>127</v>
      </c>
      <c r="K1008" s="1">
        <v>131</v>
      </c>
      <c r="L1008" s="1">
        <v>106</v>
      </c>
      <c r="M1008" s="1">
        <v>75</v>
      </c>
      <c r="N1008" s="1">
        <v>114</v>
      </c>
      <c r="O1008" s="1">
        <v>125</v>
      </c>
      <c r="P1008" s="1">
        <v>134</v>
      </c>
      <c r="Q1008" s="1">
        <v>75</v>
      </c>
      <c r="R1008" s="1">
        <v>18</v>
      </c>
      <c r="S1008" s="1">
        <v>2</v>
      </c>
    </row>
    <row r="1009" spans="1:19">
      <c r="A1009" s="1">
        <v>2019</v>
      </c>
      <c r="B1009" s="1">
        <v>140</v>
      </c>
      <c r="C1009" s="1" t="s">
        <v>250</v>
      </c>
      <c r="D1009" s="1" t="e">
        <f t="array" aca="1" ref="D1009" ca="1">_xludf.XLOOKUP(C1009,'country region mapping'!$A$2:$A$250, 'country region mapping'!$E$2:$E$250)</f>
        <v>#NAME?</v>
      </c>
      <c r="E1009" s="1" t="e">
        <f t="array" aca="1" ref="E1009" ca="1">_xludf.XLOOKUP(C1009,'country region mapping'!$A$2:$A$267,'country region mapping'!$F$2:$F$267)</f>
        <v>#NAME?</v>
      </c>
      <c r="F1009" s="1" t="e">
        <f t="array" aca="1" ref="F1009" ca="1">_xludf.XLOOKUP(C1009,'country region mapping'!$A$2:$A$267,'country region mapping'!$G$2:$G$267)</f>
        <v>#NAME?</v>
      </c>
      <c r="G1009" s="1">
        <v>3.7749999999999999</v>
      </c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S1009" s="1"/>
    </row>
    <row r="1010" spans="1:19">
      <c r="A1010" s="1">
        <v>2019</v>
      </c>
      <c r="B1010" s="1">
        <v>141</v>
      </c>
      <c r="C1010" s="1" t="s">
        <v>170</v>
      </c>
      <c r="D1010" s="1" t="e">
        <f t="array" aca="1" ref="D1010" ca="1">_xludf.XLOOKUP(C1010,'country region mapping'!$A$2:$A$250, 'country region mapping'!$E$2:$E$250)</f>
        <v>#NAME?</v>
      </c>
      <c r="E1010" s="1" t="e">
        <f t="array" aca="1" ref="E1010" ca="1">_xludf.XLOOKUP(C1010,'country region mapping'!$A$2:$A$267,'country region mapping'!$F$2:$F$267)</f>
        <v>#NAME?</v>
      </c>
      <c r="F1010" s="1" t="e">
        <f t="array" aca="1" ref="F1010" ca="1">_xludf.XLOOKUP(C1010,'country region mapping'!$A$2:$A$267,'country region mapping'!$G$2:$G$267)</f>
        <v>#NAME?</v>
      </c>
      <c r="G1010" s="1">
        <v>3.7589999999999999</v>
      </c>
      <c r="H1010" s="1">
        <v>113</v>
      </c>
      <c r="I1010" s="1">
        <v>131</v>
      </c>
      <c r="J1010" s="1">
        <v>120</v>
      </c>
      <c r="K1010" s="1">
        <v>127</v>
      </c>
      <c r="L1010" s="1">
        <v>75</v>
      </c>
      <c r="M1010" s="1">
        <v>54</v>
      </c>
      <c r="N1010" s="1">
        <v>93</v>
      </c>
      <c r="O1010" s="1">
        <v>69</v>
      </c>
      <c r="P1010" s="1">
        <v>121</v>
      </c>
      <c r="Q1010" s="1">
        <v>54</v>
      </c>
      <c r="R1010" s="1">
        <v>23</v>
      </c>
      <c r="S1010" s="1">
        <v>6</v>
      </c>
    </row>
    <row r="1011" spans="1:19">
      <c r="A1011" s="1">
        <v>2019</v>
      </c>
      <c r="B1011" s="1">
        <v>142</v>
      </c>
      <c r="C1011" s="1" t="s">
        <v>216</v>
      </c>
      <c r="D1011" s="1" t="e">
        <f t="array" aca="1" ref="D1011" ca="1">_xludf.XLOOKUP(C1011,'country region mapping'!$A$2:$A$250, 'country region mapping'!$E$2:$E$250)</f>
        <v>#NAME?</v>
      </c>
      <c r="E1011" s="1" t="e">
        <f t="array" aca="1" ref="E1011" ca="1">_xludf.XLOOKUP(C1011,'country region mapping'!$A$2:$A$267,'country region mapping'!$F$2:$F$267)</f>
        <v>#NAME?</v>
      </c>
      <c r="F1011" s="1" t="e">
        <f t="array" aca="1" ref="F1011" ca="1">_xludf.XLOOKUP(C1011,'country region mapping'!$A$2:$A$267,'country region mapping'!$G$2:$G$267)</f>
        <v>#NAME?</v>
      </c>
      <c r="G1011" s="1">
        <v>3.7210000000000001</v>
      </c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S1011" s="1"/>
    </row>
    <row r="1012" spans="1:19">
      <c r="A1012" s="1">
        <v>2019</v>
      </c>
      <c r="B1012" s="1">
        <v>143</v>
      </c>
      <c r="C1012" s="1" t="s">
        <v>321</v>
      </c>
      <c r="D1012" s="1" t="e">
        <f t="array" aca="1" ref="D1012" ca="1">_xludf.XLOOKUP(C1012,'country region mapping'!$A$2:$A$250, 'country region mapping'!$E$2:$E$250)</f>
        <v>#NAME?</v>
      </c>
      <c r="E1012" s="1" t="e">
        <f t="array" aca="1" ref="E1012" ca="1">_xludf.XLOOKUP(C1012,'country region mapping'!$A$2:$A$267,'country region mapping'!$F$2:$F$267)</f>
        <v>#NAME?</v>
      </c>
      <c r="F1012" s="1" t="e">
        <f t="array" aca="1" ref="F1012" ca="1">_xludf.XLOOKUP(C1012,'country region mapping'!$A$2:$A$267,'country region mapping'!$G$2:$G$267)</f>
        <v>#NAME?</v>
      </c>
      <c r="G1012" s="1">
        <v>3.653</v>
      </c>
      <c r="H1012" s="1">
        <v>124</v>
      </c>
      <c r="I1012" s="1">
        <v>94</v>
      </c>
      <c r="J1012" s="1">
        <v>128</v>
      </c>
      <c r="K1012" s="1">
        <v>137</v>
      </c>
      <c r="L1012" s="1">
        <v>107</v>
      </c>
      <c r="M1012" s="1">
        <v>139</v>
      </c>
      <c r="N1012" s="1">
        <v>126</v>
      </c>
      <c r="O1012" s="1">
        <v>55</v>
      </c>
      <c r="P1012" s="1">
        <v>71</v>
      </c>
      <c r="Q1012" s="1">
        <v>139</v>
      </c>
      <c r="R1012" s="1">
        <v>39</v>
      </c>
      <c r="S1012" s="1">
        <v>8</v>
      </c>
    </row>
    <row r="1013" spans="1:19">
      <c r="A1013" s="1">
        <v>2019</v>
      </c>
      <c r="B1013" s="1">
        <v>144</v>
      </c>
      <c r="C1013" s="1" t="s">
        <v>188</v>
      </c>
      <c r="D1013" s="1" t="e">
        <f t="array" aca="1" ref="D1013" ca="1">_xludf.XLOOKUP(C1013,'country region mapping'!$A$2:$A$250, 'country region mapping'!$E$2:$E$250)</f>
        <v>#NAME?</v>
      </c>
      <c r="E1013" s="1" t="e">
        <f t="array" aca="1" ref="E1013" ca="1">_xludf.XLOOKUP(C1013,'country region mapping'!$A$2:$A$267,'country region mapping'!$F$2:$F$267)</f>
        <v>#NAME?</v>
      </c>
      <c r="F1013" s="1" t="e">
        <f t="array" aca="1" ref="F1013" ca="1">_xludf.XLOOKUP(C1013,'country region mapping'!$A$2:$A$267,'country region mapping'!$G$2:$G$267)</f>
        <v>#NAME?</v>
      </c>
      <c r="G1013" s="1">
        <v>3.573</v>
      </c>
      <c r="H1013" s="1">
        <v>120</v>
      </c>
      <c r="I1013" s="1">
        <v>137</v>
      </c>
      <c r="J1013" s="1">
        <v>101</v>
      </c>
      <c r="K1013" s="1">
        <v>100</v>
      </c>
      <c r="L1013" s="1">
        <v>48</v>
      </c>
      <c r="M1013" s="1">
        <v>35</v>
      </c>
      <c r="N1013" s="1">
        <v>61</v>
      </c>
      <c r="O1013" s="1">
        <v>111</v>
      </c>
      <c r="P1013" s="1">
        <v>139</v>
      </c>
      <c r="Q1013" s="1">
        <v>35</v>
      </c>
      <c r="R1013" s="1">
        <v>13</v>
      </c>
      <c r="S1013" s="1">
        <v>28</v>
      </c>
    </row>
    <row r="1014" spans="1:19">
      <c r="A1014" s="1">
        <v>2019</v>
      </c>
      <c r="B1014" s="1">
        <v>145</v>
      </c>
      <c r="C1014" s="1" t="s">
        <v>210</v>
      </c>
      <c r="D1014" s="1" t="e">
        <f t="array" aca="1" ref="D1014" ca="1">_xludf.XLOOKUP(C1014,'country region mapping'!$A$2:$A$250, 'country region mapping'!$E$2:$E$250)</f>
        <v>#NAME?</v>
      </c>
      <c r="E1014" s="1" t="e">
        <f t="array" aca="1" ref="E1014" ca="1">_xludf.XLOOKUP(C1014,'country region mapping'!$A$2:$A$267,'country region mapping'!$F$2:$F$267)</f>
        <v>#NAME?</v>
      </c>
      <c r="F1014" s="1" t="e">
        <f t="array" aca="1" ref="F1014" ca="1">_xludf.XLOOKUP(C1014,'country region mapping'!$A$2:$A$267,'country region mapping'!$G$2:$G$267)</f>
        <v>#NAME?</v>
      </c>
      <c r="G1014" s="1">
        <v>3.5379999999999998</v>
      </c>
      <c r="H1014" s="1">
        <v>141</v>
      </c>
      <c r="I1014" s="1">
        <v>138</v>
      </c>
      <c r="J1014" s="1">
        <v>139</v>
      </c>
      <c r="K1014" s="1">
        <v>120</v>
      </c>
      <c r="L1014" s="1">
        <v>89</v>
      </c>
      <c r="M1014" s="1">
        <v>126</v>
      </c>
      <c r="N1014" s="1">
        <v>33</v>
      </c>
      <c r="O1014" s="1">
        <v>128</v>
      </c>
      <c r="P1014" s="1">
        <v>105</v>
      </c>
      <c r="Q1014" s="1">
        <v>126</v>
      </c>
      <c r="R1014" s="1">
        <v>58</v>
      </c>
      <c r="S1014" s="1">
        <v>27</v>
      </c>
    </row>
    <row r="1015" spans="1:19">
      <c r="A1015" s="1">
        <v>2019</v>
      </c>
      <c r="B1015" s="1">
        <v>146</v>
      </c>
      <c r="C1015" s="1" t="s">
        <v>233</v>
      </c>
      <c r="D1015" s="1" t="e">
        <f t="array" aca="1" ref="D1015" ca="1">_xludf.XLOOKUP(C1015,'country region mapping'!$A$2:$A$250, 'country region mapping'!$E$2:$E$250)</f>
        <v>#NAME?</v>
      </c>
      <c r="E1015" s="1" t="e">
        <f t="array" aca="1" ref="E1015" ca="1">_xludf.XLOOKUP(C1015,'country region mapping'!$A$2:$A$267,'country region mapping'!$F$2:$F$267)</f>
        <v>#NAME?</v>
      </c>
      <c r="F1015" s="1" t="e">
        <f t="array" aca="1" ref="F1015" ca="1">_xludf.XLOOKUP(C1015,'country region mapping'!$A$2:$A$267,'country region mapping'!$G$2:$G$267)</f>
        <v>#NAME?</v>
      </c>
      <c r="G1015" s="1">
        <v>3.5270000000000001</v>
      </c>
      <c r="H1015" s="1">
        <v>91</v>
      </c>
      <c r="I1015" s="1">
        <v>63</v>
      </c>
      <c r="J1015" s="1">
        <v>136</v>
      </c>
      <c r="K1015" s="1">
        <v>112</v>
      </c>
      <c r="L1015" s="1">
        <v>128</v>
      </c>
      <c r="M1015" s="1">
        <v>140</v>
      </c>
      <c r="N1015" s="1">
        <v>78</v>
      </c>
      <c r="O1015" s="1">
        <v>134</v>
      </c>
      <c r="P1015" s="1">
        <v>35</v>
      </c>
      <c r="Q1015" s="1">
        <v>140</v>
      </c>
      <c r="R1015" s="1">
        <v>136</v>
      </c>
      <c r="S1015" s="1">
        <v>93</v>
      </c>
    </row>
    <row r="1016" spans="1:19">
      <c r="A1016" s="1">
        <v>2019</v>
      </c>
      <c r="B1016" s="1">
        <v>147</v>
      </c>
      <c r="C1016" s="1" t="s">
        <v>218</v>
      </c>
      <c r="D1016" s="1" t="e">
        <f t="array" aca="1" ref="D1016" ca="1">_xludf.XLOOKUP(C1016,'country region mapping'!$A$2:$A$250, 'country region mapping'!$E$2:$E$250)</f>
        <v>#NAME?</v>
      </c>
      <c r="E1016" s="1" t="e">
        <f t="array" aca="1" ref="E1016" ca="1">_xludf.XLOOKUP(C1016,'country region mapping'!$A$2:$A$267,'country region mapping'!$F$2:$F$267)</f>
        <v>#NAME?</v>
      </c>
      <c r="F1016" s="1" t="e">
        <f t="array" aca="1" ref="F1016" ca="1">_xludf.XLOOKUP(C1016,'country region mapping'!$A$2:$A$267,'country region mapping'!$G$2:$G$267)</f>
        <v>#NAME?</v>
      </c>
      <c r="G1016" s="1">
        <v>3.4790000000000001</v>
      </c>
      <c r="H1016" s="1">
        <v>99</v>
      </c>
      <c r="I1016" s="1">
        <v>100</v>
      </c>
      <c r="J1016" s="1">
        <v>66</v>
      </c>
      <c r="K1016" s="1">
        <v>117</v>
      </c>
      <c r="L1016" s="1">
        <v>63</v>
      </c>
      <c r="M1016" s="1">
        <v>134</v>
      </c>
      <c r="N1016" s="1">
        <v>74</v>
      </c>
      <c r="O1016" s="1">
        <v>74</v>
      </c>
      <c r="P1016" s="1">
        <v>70</v>
      </c>
      <c r="Q1016" s="1">
        <v>134</v>
      </c>
      <c r="R1016" s="1">
        <v>85</v>
      </c>
      <c r="S1016" s="1">
        <v>22</v>
      </c>
    </row>
    <row r="1017" spans="1:19">
      <c r="A1017" s="1">
        <v>2019</v>
      </c>
      <c r="B1017" s="1">
        <v>148</v>
      </c>
      <c r="C1017" s="1" t="s">
        <v>236</v>
      </c>
      <c r="D1017" s="1" t="e">
        <f t="array" aca="1" ref="D1017" ca="1">_xludf.XLOOKUP(C1017,'country region mapping'!$A$2:$A$267,'country region mapping'!$E$2:$E$267)</f>
        <v>#NAME?</v>
      </c>
      <c r="E1017" s="1" t="e">
        <f t="array" aca="1" ref="E1017" ca="1">_xludf.XLOOKUP(C1017,'country region mapping'!$A$2:$A$267,'country region mapping'!$F$2:$F$267)</f>
        <v>#NAME?</v>
      </c>
      <c r="F1017" s="1" t="e">
        <f t="array" aca="1" ref="F1017" ca="1">_xludf.XLOOKUP(C1017,'country region mapping'!$A$2:$A$267,'country region mapping'!$G$2:$G$267)</f>
        <v>#NAME?</v>
      </c>
      <c r="G1017" s="1">
        <v>3.476</v>
      </c>
      <c r="H1017" s="1">
        <v>121</v>
      </c>
      <c r="I1017" s="1">
        <v>121</v>
      </c>
      <c r="J1017" s="1">
        <v>123</v>
      </c>
      <c r="K1017" s="1">
        <v>107</v>
      </c>
      <c r="L1017" s="1">
        <v>56</v>
      </c>
      <c r="M1017" s="1">
        <v>52</v>
      </c>
      <c r="N1017" s="1">
        <v>25</v>
      </c>
      <c r="O1017" s="1">
        <v>66</v>
      </c>
      <c r="P1017" s="1">
        <v>50</v>
      </c>
      <c r="Q1017" s="1">
        <v>52</v>
      </c>
      <c r="R1017" s="1">
        <v>108</v>
      </c>
      <c r="S1017" s="1">
        <v>113</v>
      </c>
    </row>
    <row r="1018" spans="1:19">
      <c r="A1018" s="1">
        <v>2019</v>
      </c>
      <c r="B1018" s="1">
        <v>149</v>
      </c>
      <c r="C1018" s="1" t="s">
        <v>332</v>
      </c>
      <c r="D1018" s="1" t="e">
        <f t="array" aca="1" ref="D1018" ca="1">_xludf.XLOOKUP(C1018,'country region mapping'!$A$2:$A$250, 'country region mapping'!$E$2:$E$250)</f>
        <v>#NAME?</v>
      </c>
      <c r="E1018" s="1" t="e">
        <f t="array" aca="1" ref="E1018" ca="1">_xludf.XLOOKUP(C1018,'country region mapping'!$A$2:$A$267,'country region mapping'!$F$2:$F$267)</f>
        <v>#NAME?</v>
      </c>
      <c r="F1018" s="1" t="e">
        <f t="array" aca="1" ref="F1018" ca="1">_xludf.XLOOKUP(C1018,'country region mapping'!$A$2:$A$267,'country region mapping'!$G$2:$G$267)</f>
        <v>#NAME?</v>
      </c>
      <c r="G1018" s="1">
        <v>3.476</v>
      </c>
      <c r="H1018" s="1"/>
      <c r="I1018" s="1"/>
      <c r="J1018" s="1"/>
      <c r="K1018" s="1"/>
      <c r="L1018" s="1"/>
      <c r="P1018" s="1"/>
      <c r="Q1018" s="1"/>
      <c r="R1018" s="1"/>
      <c r="S1018" s="1"/>
    </row>
    <row r="1019" spans="1:19">
      <c r="A1019" s="1">
        <v>2019</v>
      </c>
      <c r="B1019" s="1">
        <v>150</v>
      </c>
      <c r="C1019" s="1" t="s">
        <v>242</v>
      </c>
      <c r="D1019" s="1" t="e">
        <f t="array" aca="1" ref="D1019" ca="1">_xludf.XLOOKUP(C1019,'country region mapping'!$A$2:$A$250, 'country region mapping'!$E$2:$E$250)</f>
        <v>#NAME?</v>
      </c>
      <c r="E1019" s="1" t="e">
        <f t="array" aca="1" ref="E1019" ca="1">_xludf.XLOOKUP(C1019,'country region mapping'!$A$2:$A$267,'country region mapping'!$F$2:$F$267)</f>
        <v>#NAME?</v>
      </c>
      <c r="F1019" s="1" t="e">
        <f t="array" aca="1" ref="F1019" ca="1">_xludf.XLOOKUP(C1019,'country region mapping'!$A$2:$A$267,'country region mapping'!$G$2:$G$267)</f>
        <v>#NAME?</v>
      </c>
      <c r="G1019" s="1">
        <v>3.3119999999999998</v>
      </c>
      <c r="H1019" s="1">
        <v>97</v>
      </c>
      <c r="I1019" s="1">
        <v>141</v>
      </c>
      <c r="J1019" s="1">
        <v>131</v>
      </c>
      <c r="K1019" s="1">
        <v>106</v>
      </c>
      <c r="L1019" s="1">
        <v>50</v>
      </c>
      <c r="M1019" s="1">
        <v>68</v>
      </c>
      <c r="N1019" s="1">
        <v>2</v>
      </c>
      <c r="O1019" s="1">
        <v>51</v>
      </c>
      <c r="P1019" s="1">
        <v>128</v>
      </c>
      <c r="Q1019" s="1">
        <v>68</v>
      </c>
      <c r="R1019" s="1">
        <v>45</v>
      </c>
      <c r="S1019" s="1">
        <v>100</v>
      </c>
    </row>
    <row r="1020" spans="1:19">
      <c r="A1020" s="1">
        <v>2019</v>
      </c>
      <c r="B1020" s="1">
        <v>151</v>
      </c>
      <c r="C1020" s="1" t="s">
        <v>208</v>
      </c>
      <c r="D1020" s="1" t="e">
        <f t="array" aca="1" ref="D1020" ca="1">_xludf.XLOOKUP(C1020,'country region mapping'!$A$2:$A$250, 'country region mapping'!$E$2:$E$250)</f>
        <v>#NAME?</v>
      </c>
      <c r="E1020" s="1" t="e">
        <f t="array" aca="1" ref="E1020" ca="1">_xludf.XLOOKUP(C1020,'country region mapping'!$A$2:$A$267,'country region mapping'!$F$2:$F$267)</f>
        <v>#NAME?</v>
      </c>
      <c r="F1020" s="1" t="e">
        <f t="array" aca="1" ref="F1020" ca="1">_xludf.XLOOKUP(C1020,'country region mapping'!$A$2:$A$267,'country region mapping'!$G$2:$G$267)</f>
        <v>#NAME?</v>
      </c>
      <c r="G1020" s="1">
        <v>3.2989999999999999</v>
      </c>
      <c r="H1020" s="1">
        <v>102</v>
      </c>
      <c r="I1020" s="1">
        <v>107</v>
      </c>
      <c r="J1020" s="1">
        <v>124</v>
      </c>
      <c r="K1020" s="1">
        <v>133</v>
      </c>
      <c r="L1020" s="1">
        <v>129</v>
      </c>
      <c r="M1020" s="1">
        <v>124</v>
      </c>
      <c r="N1020" s="1">
        <v>92</v>
      </c>
      <c r="O1020" s="1">
        <v>78</v>
      </c>
      <c r="P1020" s="1">
        <v>44</v>
      </c>
      <c r="Q1020" s="1">
        <v>124</v>
      </c>
      <c r="R1020" s="1">
        <v>60</v>
      </c>
      <c r="S1020" s="1">
        <v>35</v>
      </c>
    </row>
    <row r="1021" spans="1:19">
      <c r="A1021" s="1">
        <v>2019</v>
      </c>
      <c r="B1021" s="1">
        <v>152</v>
      </c>
      <c r="C1021" s="1" t="s">
        <v>226</v>
      </c>
      <c r="D1021" s="1" t="e">
        <f t="array" aca="1" ref="D1021" ca="1">_xludf.XLOOKUP(C1021,'country region mapping'!$A$2:$A$250, 'country region mapping'!$E$2:$E$250)</f>
        <v>#NAME?</v>
      </c>
      <c r="E1021" s="1" t="e">
        <f t="array" aca="1" ref="E1021" ca="1">_xludf.XLOOKUP(C1021,'country region mapping'!$A$2:$A$267,'country region mapping'!$F$2:$F$267)</f>
        <v>#NAME?</v>
      </c>
      <c r="F1021" s="1" t="e">
        <f t="array" aca="1" ref="F1021" ca="1">_xludf.XLOOKUP(C1021,'country region mapping'!$A$2:$A$267,'country region mapping'!$G$2:$G$267)</f>
        <v>#NAME?</v>
      </c>
      <c r="G1021" s="1">
        <v>2.8170000000000002</v>
      </c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S1021" s="1"/>
    </row>
    <row r="1022" spans="1:19">
      <c r="A1022" s="1">
        <v>2019</v>
      </c>
      <c r="B1022" s="1">
        <v>153</v>
      </c>
      <c r="C1022" s="1" t="s">
        <v>245</v>
      </c>
      <c r="D1022" s="1" t="e">
        <f t="array" aca="1" ref="D1022" ca="1">_xludf.XLOOKUP(C1022,'country region mapping'!$A$2:$A$250, 'country region mapping'!$E$2:$E$250)</f>
        <v>#NAME?</v>
      </c>
      <c r="E1022" s="1" t="e">
        <f t="array" aca="1" ref="E1022" ca="1">_xludf.XLOOKUP(C1022,'country region mapping'!$A$2:$A$267,'country region mapping'!$F$2:$F$267)</f>
        <v>#NAME?</v>
      </c>
      <c r="F1022" s="1" t="e">
        <f t="array" aca="1" ref="F1022" ca="1">_xludf.XLOOKUP(C1022,'country region mapping'!$A$2:$A$267,'country region mapping'!$G$2:$G$267)</f>
        <v>#NAME?</v>
      </c>
      <c r="G1022" s="1">
        <v>2.5670000000000002</v>
      </c>
      <c r="H1022" s="1">
        <v>4</v>
      </c>
      <c r="I1022" s="1">
        <v>143</v>
      </c>
      <c r="J1022" s="1">
        <v>126</v>
      </c>
      <c r="K1022" s="1">
        <v>132</v>
      </c>
      <c r="L1022" s="1">
        <v>141</v>
      </c>
      <c r="M1022" s="1">
        <v>138</v>
      </c>
      <c r="N1022" s="1">
        <v>130</v>
      </c>
      <c r="O1022" s="1">
        <v>141</v>
      </c>
      <c r="P1022" s="1">
        <v>142</v>
      </c>
      <c r="Q1022" s="1">
        <v>138</v>
      </c>
      <c r="R1022" s="1">
        <v>124</v>
      </c>
      <c r="S1022" s="1">
        <v>88</v>
      </c>
    </row>
    <row r="1023" spans="1:19">
      <c r="A1023" s="1">
        <v>2018</v>
      </c>
      <c r="B1023" s="1"/>
      <c r="C1023" s="1" t="s">
        <v>468</v>
      </c>
      <c r="D1023" s="1" t="e">
        <f t="array" aca="1" ref="D1023" ca="1">_xludf.XLOOKUP(C1023,'country region mapping'!$A$2:$A$250, 'country region mapping'!$E$2:$E$250)</f>
        <v>#NAME?</v>
      </c>
      <c r="E1023" s="1" t="e">
        <f t="array" aca="1" ref="E1023" ca="1">_xludf.XLOOKUP(C1023,'country region mapping'!$A$2:$A$267,'country region mapping'!$F$2:$F$267)</f>
        <v>#NAME?</v>
      </c>
      <c r="F1023" s="1" t="e">
        <f t="array" aca="1" ref="F1023" ca="1">_xludf.XLOOKUP(C1023,'country region mapping'!$A$2:$A$267,'country region mapping'!$G$2:$G$267)</f>
        <v>#NAME?</v>
      </c>
      <c r="G1023" s="1"/>
      <c r="H1023" s="1">
        <v>52</v>
      </c>
      <c r="I1023" s="1">
        <v>28</v>
      </c>
      <c r="J1023" s="1">
        <v>55</v>
      </c>
      <c r="K1023" s="1">
        <v>30</v>
      </c>
      <c r="L1023" s="1">
        <v>50</v>
      </c>
      <c r="M1023" s="1">
        <v>36</v>
      </c>
      <c r="N1023" s="1"/>
      <c r="O1023" s="1"/>
      <c r="P1023" s="1"/>
      <c r="Q1023" s="1">
        <v>36</v>
      </c>
      <c r="R1023" s="1">
        <v>41</v>
      </c>
      <c r="S1023" s="1">
        <v>56</v>
      </c>
    </row>
    <row r="1024" spans="1:19">
      <c r="A1024" s="1">
        <v>2018</v>
      </c>
      <c r="B1024" s="1">
        <v>1</v>
      </c>
      <c r="C1024" s="1" t="s">
        <v>37</v>
      </c>
      <c r="D1024" s="1" t="e">
        <f t="array" aca="1" ref="D1024" ca="1">_xludf.XLOOKUP(C1024,'country region mapping'!$A$2:$A$250, 'country region mapping'!$E$2:$E$250)</f>
        <v>#NAME?</v>
      </c>
      <c r="E1024" s="1" t="e">
        <f t="array" aca="1" ref="E1024" ca="1">_xludf.XLOOKUP(C1024,'country region mapping'!$A$2:$A$267,'country region mapping'!$F$2:$F$267)</f>
        <v>#NAME?</v>
      </c>
      <c r="F1024" s="1" t="e">
        <f t="array" aca="1" ref="F1024" ca="1">_xludf.XLOOKUP(C1024,'country region mapping'!$A$2:$A$267,'country region mapping'!$G$2:$G$267)</f>
        <v>#NAME?</v>
      </c>
      <c r="G1024" s="1">
        <v>7.7690000000000001</v>
      </c>
      <c r="H1024" s="1">
        <v>5</v>
      </c>
      <c r="I1024" s="1">
        <v>3</v>
      </c>
      <c r="J1024" s="1">
        <v>16</v>
      </c>
      <c r="K1024" s="1">
        <v>18</v>
      </c>
      <c r="L1024" s="1">
        <v>11</v>
      </c>
      <c r="M1024" s="1">
        <v>53</v>
      </c>
      <c r="N1024" s="1">
        <v>4</v>
      </c>
      <c r="O1024" s="1">
        <v>27</v>
      </c>
      <c r="P1024" s="1">
        <v>11</v>
      </c>
      <c r="Q1024" s="1">
        <v>53</v>
      </c>
      <c r="R1024" s="1">
        <v>47</v>
      </c>
      <c r="S1024" s="1">
        <v>105</v>
      </c>
    </row>
    <row r="1025" spans="1:19">
      <c r="A1025" s="1">
        <v>2018</v>
      </c>
      <c r="B1025" s="1">
        <v>2</v>
      </c>
      <c r="C1025" s="1" t="s">
        <v>30</v>
      </c>
      <c r="D1025" s="1" t="e">
        <f t="array" aca="1" ref="D1025" ca="1">_xludf.XLOOKUP(C1025,'country region mapping'!$A$2:$A$250, 'country region mapping'!$E$2:$E$250)</f>
        <v>#NAME?</v>
      </c>
      <c r="E1025" s="1" t="e">
        <f t="array" aca="1" ref="E1025" ca="1">_xludf.XLOOKUP(C1025,'country region mapping'!$A$2:$A$267,'country region mapping'!$F$2:$F$267)</f>
        <v>#NAME?</v>
      </c>
      <c r="F1025" s="1" t="e">
        <f t="array" aca="1" ref="F1025" ca="1">_xludf.XLOOKUP(C1025,'country region mapping'!$A$2:$A$267,'country region mapping'!$G$2:$G$267)</f>
        <v>#NAME?</v>
      </c>
      <c r="G1025" s="1">
        <v>7.6</v>
      </c>
      <c r="H1025" s="1">
        <v>17</v>
      </c>
      <c r="I1025" s="1">
        <v>4</v>
      </c>
      <c r="J1025" s="1">
        <v>9</v>
      </c>
      <c r="K1025" s="1">
        <v>20</v>
      </c>
      <c r="L1025" s="1">
        <v>12</v>
      </c>
      <c r="M1025" s="1">
        <v>29</v>
      </c>
      <c r="N1025" s="1">
        <v>2</v>
      </c>
      <c r="O1025" s="1">
        <v>17</v>
      </c>
      <c r="P1025" s="1">
        <v>29</v>
      </c>
      <c r="Q1025" s="1">
        <v>29</v>
      </c>
      <c r="R1025" s="1">
        <v>68</v>
      </c>
      <c r="S1025" s="1">
        <v>96</v>
      </c>
    </row>
    <row r="1026" spans="1:19">
      <c r="A1026" s="1">
        <v>2018</v>
      </c>
      <c r="B1026" s="1">
        <v>3</v>
      </c>
      <c r="C1026" s="1" t="s">
        <v>35</v>
      </c>
      <c r="D1026" s="1" t="e">
        <f t="array" aca="1" ref="D1026" ca="1">_xludf.XLOOKUP(C1026,'country region mapping'!$A$2:$A$250, 'country region mapping'!$E$2:$E$250)</f>
        <v>#NAME?</v>
      </c>
      <c r="E1026" s="1" t="e">
        <f t="array" aca="1" ref="E1026" ca="1">_xludf.XLOOKUP(C1026,'country region mapping'!$A$2:$A$267,'country region mapping'!$F$2:$F$267)</f>
        <v>#NAME?</v>
      </c>
      <c r="F1026" s="1" t="e">
        <f t="array" aca="1" ref="F1026" ca="1">_xludf.XLOOKUP(C1026,'country region mapping'!$A$2:$A$267,'country region mapping'!$G$2:$G$267)</f>
        <v>#NAME?</v>
      </c>
      <c r="G1026" s="1">
        <v>7.5540000000000003</v>
      </c>
      <c r="H1026" s="1">
        <v>6</v>
      </c>
      <c r="I1026" s="1">
        <v>2</v>
      </c>
      <c r="J1026" s="1">
        <v>4</v>
      </c>
      <c r="K1026" s="1">
        <v>10</v>
      </c>
      <c r="L1026" s="1">
        <v>2</v>
      </c>
      <c r="M1026" s="1">
        <v>17</v>
      </c>
      <c r="N1026" s="1">
        <v>7</v>
      </c>
      <c r="O1026" s="1">
        <v>9</v>
      </c>
      <c r="P1026" s="1">
        <v>32</v>
      </c>
      <c r="Q1026" s="1">
        <v>17</v>
      </c>
      <c r="R1026" s="1">
        <v>23</v>
      </c>
      <c r="S1026" s="1">
        <v>103</v>
      </c>
    </row>
    <row r="1027" spans="1:19">
      <c r="A1027" s="1">
        <v>2018</v>
      </c>
      <c r="B1027" s="1">
        <v>4</v>
      </c>
      <c r="C1027" s="1" t="s">
        <v>34</v>
      </c>
      <c r="D1027" s="1" t="e">
        <f t="array" aca="1" ref="D1027" ca="1">_xludf.XLOOKUP(C1027,'country region mapping'!$A$2:$A$250, 'country region mapping'!$E$2:$E$250)</f>
        <v>#NAME?</v>
      </c>
      <c r="E1027" s="1" t="e">
        <f t="array" aca="1" ref="E1027" ca="1">_xludf.XLOOKUP(C1027,'country region mapping'!$A$2:$A$267,'country region mapping'!$F$2:$F$267)</f>
        <v>#NAME?</v>
      </c>
      <c r="F1027" s="1" t="e">
        <f t="array" aca="1" ref="F1027" ca="1">_xludf.XLOOKUP(C1027,'country region mapping'!$A$2:$A$267,'country region mapping'!$G$2:$G$267)</f>
        <v>#NAME?</v>
      </c>
      <c r="G1027" s="1">
        <v>7.4939999999999998</v>
      </c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</row>
    <row r="1028" spans="1:19">
      <c r="A1028" s="1">
        <v>2018</v>
      </c>
      <c r="B1028" s="1">
        <v>5</v>
      </c>
      <c r="C1028" s="1" t="s">
        <v>40</v>
      </c>
      <c r="D1028" s="1" t="e">
        <f t="array" aca="1" ref="D1028" ca="1">_xludf.XLOOKUP(C1028,'country region mapping'!$A$2:$A$267,'country region mapping'!$E$2:$E$267)</f>
        <v>#NAME?</v>
      </c>
      <c r="E1028" s="1" t="e">
        <f t="array" aca="1" ref="E1028" ca="1">_xludf.XLOOKUP(C1028,'country region mapping'!$A$2:$A$267,'country region mapping'!$F$2:$F$267)</f>
        <v>#NAME?</v>
      </c>
      <c r="F1028" s="1" t="e">
        <f t="array" aca="1" ref="F1028" ca="1">_xludf.XLOOKUP(C1028,'country region mapping'!$A$2:$A$267,'country region mapping'!$G$2:$G$267)</f>
        <v>#NAME?</v>
      </c>
      <c r="G1028" s="1">
        <v>7.4880000000000004</v>
      </c>
      <c r="H1028" s="1">
        <v>2</v>
      </c>
      <c r="I1028" s="1">
        <v>10</v>
      </c>
      <c r="J1028" s="1">
        <v>8</v>
      </c>
      <c r="K1028" s="1"/>
      <c r="L1028" s="1">
        <v>16</v>
      </c>
      <c r="M1028" s="1">
        <v>10</v>
      </c>
      <c r="N1028" s="1">
        <v>10</v>
      </c>
      <c r="O1028" s="1">
        <v>28</v>
      </c>
      <c r="P1028" s="1">
        <v>28</v>
      </c>
      <c r="Q1028" s="1">
        <v>10</v>
      </c>
      <c r="R1028" s="1">
        <v>28</v>
      </c>
      <c r="S1028" s="1"/>
    </row>
    <row r="1029" spans="1:19">
      <c r="A1029" s="1">
        <v>2018</v>
      </c>
      <c r="B1029" s="1">
        <v>6</v>
      </c>
      <c r="C1029" s="1" t="s">
        <v>32</v>
      </c>
      <c r="D1029" s="1" t="e">
        <f t="array" aca="1" ref="D1029" ca="1">_xludf.XLOOKUP(C1029,'country region mapping'!$A$2:$A$250, 'country region mapping'!$E$2:$E$250)</f>
        <v>#NAME?</v>
      </c>
      <c r="E1029" s="1" t="e">
        <f t="array" aca="1" ref="E1029" ca="1">_xludf.XLOOKUP(C1029,'country region mapping'!$A$2:$A$267,'country region mapping'!$F$2:$F$267)</f>
        <v>#NAME?</v>
      </c>
      <c r="F1029" s="1" t="e">
        <f t="array" aca="1" ref="F1029" ca="1">_xludf.XLOOKUP(C1029,'country region mapping'!$A$2:$A$267,'country region mapping'!$G$2:$G$267)</f>
        <v>#NAME?</v>
      </c>
      <c r="G1029" s="1">
        <v>7.48</v>
      </c>
      <c r="H1029" s="1">
        <v>15</v>
      </c>
      <c r="I1029" s="1">
        <v>16</v>
      </c>
      <c r="J1029" s="1">
        <v>5</v>
      </c>
      <c r="K1029" s="1">
        <v>7</v>
      </c>
      <c r="L1029" s="1">
        <v>14</v>
      </c>
      <c r="M1029" s="1">
        <v>15</v>
      </c>
      <c r="N1029" s="1">
        <v>8</v>
      </c>
      <c r="O1029" s="1">
        <v>24</v>
      </c>
      <c r="P1029" s="1">
        <v>19</v>
      </c>
      <c r="Q1029" s="1">
        <v>15</v>
      </c>
      <c r="R1029" s="1">
        <v>14</v>
      </c>
      <c r="S1029" s="1">
        <v>109</v>
      </c>
    </row>
    <row r="1030" spans="1:19">
      <c r="A1030" s="1">
        <v>2018</v>
      </c>
      <c r="B1030" s="1">
        <v>7</v>
      </c>
      <c r="C1030" s="1" t="s">
        <v>45</v>
      </c>
      <c r="D1030" s="1" t="e">
        <f t="array" aca="1" ref="D1030" ca="1">_xludf.XLOOKUP(C1030,'country region mapping'!$A$2:$A$250, 'country region mapping'!$E$2:$E$250)</f>
        <v>#NAME?</v>
      </c>
      <c r="E1030" s="1" t="e">
        <f t="array" aca="1" ref="E1030" ca="1">_xludf.XLOOKUP(C1030,'country region mapping'!$A$2:$A$267,'country region mapping'!$F$2:$F$267)</f>
        <v>#NAME?</v>
      </c>
      <c r="F1030" s="1" t="e">
        <f t="array" aca="1" ref="F1030" ca="1">_xludf.XLOOKUP(C1030,'country region mapping'!$A$2:$A$267,'country region mapping'!$G$2:$G$267)</f>
        <v>#NAME?</v>
      </c>
      <c r="G1030" s="1">
        <v>7.343</v>
      </c>
      <c r="H1030" s="1">
        <v>13</v>
      </c>
      <c r="I1030" s="1">
        <v>15</v>
      </c>
      <c r="J1030" s="1">
        <v>12</v>
      </c>
      <c r="K1030" s="1">
        <v>11</v>
      </c>
      <c r="L1030" s="1">
        <v>10</v>
      </c>
      <c r="M1030" s="1">
        <v>22</v>
      </c>
      <c r="N1030" s="1">
        <v>6</v>
      </c>
      <c r="O1030" s="1">
        <v>30</v>
      </c>
      <c r="P1030" s="1">
        <v>4</v>
      </c>
      <c r="Q1030" s="1">
        <v>22</v>
      </c>
      <c r="R1030" s="1">
        <v>109</v>
      </c>
      <c r="S1030" s="1">
        <v>100</v>
      </c>
    </row>
    <row r="1031" spans="1:19">
      <c r="A1031" s="1">
        <v>2018</v>
      </c>
      <c r="B1031" s="1">
        <v>8</v>
      </c>
      <c r="C1031" s="1" t="s">
        <v>42</v>
      </c>
      <c r="D1031" s="1" t="e">
        <f t="array" aca="1" ref="D1031" ca="1">_xludf.XLOOKUP(C1031,'country region mapping'!$A$2:$A$250, 'country region mapping'!$E$2:$E$250)</f>
        <v>#NAME?</v>
      </c>
      <c r="E1031" s="1" t="e">
        <f t="array" aca="1" ref="E1031" ca="1">_xludf.XLOOKUP(C1031,'country region mapping'!$A$2:$A$267,'country region mapping'!$F$2:$F$267)</f>
        <v>#NAME?</v>
      </c>
      <c r="F1031" s="1" t="e">
        <f t="array" aca="1" ref="F1031" ca="1">_xludf.XLOOKUP(C1031,'country region mapping'!$A$2:$A$267,'country region mapping'!$G$2:$G$267)</f>
        <v>#NAME?</v>
      </c>
      <c r="G1031" s="1">
        <v>7.3070000000000004</v>
      </c>
      <c r="H1031" s="1">
        <v>10</v>
      </c>
      <c r="I1031" s="1">
        <v>5</v>
      </c>
      <c r="J1031" s="1">
        <v>23</v>
      </c>
      <c r="K1031" s="1">
        <v>24</v>
      </c>
      <c r="L1031" s="1">
        <v>4</v>
      </c>
      <c r="M1031" s="1">
        <v>18</v>
      </c>
      <c r="N1031" s="1">
        <v>5</v>
      </c>
      <c r="O1031" s="1">
        <v>10</v>
      </c>
      <c r="P1031" s="1">
        <v>7</v>
      </c>
      <c r="Q1031" s="1">
        <v>18</v>
      </c>
      <c r="R1031" s="1">
        <v>10</v>
      </c>
      <c r="S1031" s="1">
        <v>82</v>
      </c>
    </row>
    <row r="1032" spans="1:19">
      <c r="A1032" s="1">
        <v>2018</v>
      </c>
      <c r="B1032" s="1">
        <v>9</v>
      </c>
      <c r="C1032" s="1" t="s">
        <v>38</v>
      </c>
      <c r="D1032" s="1" t="e">
        <f t="array" aca="1" ref="D1032" ca="1">_xludf.XLOOKUP(C1032,'country region mapping'!$A$2:$A$250, 'country region mapping'!$E$2:$E$250)</f>
        <v>#NAME?</v>
      </c>
      <c r="E1032" s="1" t="e">
        <f t="array" aca="1" ref="E1032" ca="1">_xludf.XLOOKUP(C1032,'country region mapping'!$A$2:$A$267,'country region mapping'!$F$2:$F$267)</f>
        <v>#NAME?</v>
      </c>
      <c r="F1032" s="1" t="e">
        <f t="array" aca="1" ref="F1032" ca="1">_xludf.XLOOKUP(C1032,'country region mapping'!$A$2:$A$267,'country region mapping'!$G$2:$G$267)</f>
        <v>#NAME?</v>
      </c>
      <c r="G1032" s="1">
        <v>7.2779999999999996</v>
      </c>
      <c r="H1032" s="1">
        <v>30</v>
      </c>
      <c r="I1032" s="1">
        <v>22</v>
      </c>
      <c r="J1032" s="1">
        <v>15</v>
      </c>
      <c r="K1032" s="1">
        <v>17</v>
      </c>
      <c r="L1032" s="1">
        <v>5</v>
      </c>
      <c r="M1032" s="1">
        <v>19</v>
      </c>
      <c r="N1032" s="1">
        <v>11</v>
      </c>
      <c r="O1032" s="1">
        <v>16</v>
      </c>
      <c r="P1032" s="1">
        <v>55</v>
      </c>
      <c r="Q1032" s="1">
        <v>19</v>
      </c>
      <c r="R1032" s="1">
        <v>25</v>
      </c>
      <c r="S1032" s="1">
        <v>54</v>
      </c>
    </row>
    <row r="1033" spans="1:19">
      <c r="A1033" s="1">
        <v>2018</v>
      </c>
      <c r="B1033" s="1">
        <v>10</v>
      </c>
      <c r="C1033" s="1" t="s">
        <v>49</v>
      </c>
      <c r="D1033" s="1" t="e">
        <f t="array" aca="1" ref="D1033" ca="1">_xludf.XLOOKUP(C1033,'country region mapping'!$A$2:$A$250, 'country region mapping'!$E$2:$E$250)</f>
        <v>#NAME?</v>
      </c>
      <c r="E1033" s="1" t="e">
        <f t="array" aca="1" ref="E1033" ca="1">_xludf.XLOOKUP(C1033,'country region mapping'!$A$2:$A$267,'country region mapping'!$F$2:$F$267)</f>
        <v>#NAME?</v>
      </c>
      <c r="F1033" s="1" t="e">
        <f t="array" aca="1" ref="F1033" ca="1">_xludf.XLOOKUP(C1033,'country region mapping'!$A$2:$A$267,'country region mapping'!$G$2:$G$267)</f>
        <v>#NAME?</v>
      </c>
      <c r="G1033" s="1">
        <v>7.2460000000000004</v>
      </c>
      <c r="H1033" s="1">
        <v>9</v>
      </c>
      <c r="I1033" s="1">
        <v>31</v>
      </c>
      <c r="J1033" s="1">
        <v>10</v>
      </c>
      <c r="K1033" s="1">
        <v>16</v>
      </c>
      <c r="L1033" s="1">
        <v>25</v>
      </c>
      <c r="M1033" s="1">
        <v>24</v>
      </c>
      <c r="N1033" s="1">
        <v>17</v>
      </c>
      <c r="O1033" s="1">
        <v>60</v>
      </c>
      <c r="P1033" s="1">
        <v>41</v>
      </c>
      <c r="Q1033" s="1">
        <v>24</v>
      </c>
      <c r="R1033" s="1">
        <v>31</v>
      </c>
      <c r="S1033" s="1">
        <v>65</v>
      </c>
    </row>
    <row r="1034" spans="1:19">
      <c r="A1034" s="1">
        <v>2018</v>
      </c>
      <c r="B1034" s="1">
        <v>11</v>
      </c>
      <c r="C1034" s="1" t="s">
        <v>43</v>
      </c>
      <c r="D1034" s="1" t="e">
        <f t="array" aca="1" ref="D1034" ca="1">_xludf.XLOOKUP(C1034,'country region mapping'!$A$2:$A$250, 'country region mapping'!$E$2:$E$250)</f>
        <v>#NAME?</v>
      </c>
      <c r="E1034" s="1" t="e">
        <f t="array" aca="1" ref="E1034" ca="1">_xludf.XLOOKUP(C1034,'country region mapping'!$A$2:$A$267,'country region mapping'!$F$2:$F$267)</f>
        <v>#NAME?</v>
      </c>
      <c r="F1034" s="1" t="e">
        <f t="array" aca="1" ref="F1034" ca="1">_xludf.XLOOKUP(C1034,'country region mapping'!$A$2:$A$267,'country region mapping'!$G$2:$G$267)</f>
        <v>#NAME?</v>
      </c>
      <c r="G1034" s="1">
        <v>7.2279999999999998</v>
      </c>
      <c r="H1034" s="1">
        <v>28</v>
      </c>
      <c r="I1034" s="1">
        <v>9</v>
      </c>
      <c r="J1034" s="1">
        <v>14</v>
      </c>
      <c r="K1034" s="1">
        <v>14</v>
      </c>
      <c r="L1034" s="1">
        <v>19</v>
      </c>
      <c r="M1034" s="1">
        <v>13</v>
      </c>
      <c r="N1034" s="1">
        <v>14</v>
      </c>
      <c r="O1034" s="1">
        <v>54</v>
      </c>
      <c r="P1034" s="1">
        <v>13</v>
      </c>
      <c r="Q1034" s="1">
        <v>13</v>
      </c>
      <c r="R1034" s="1">
        <v>13</v>
      </c>
      <c r="S1034" s="1">
        <v>83</v>
      </c>
    </row>
    <row r="1035" spans="1:19">
      <c r="A1035" s="1">
        <v>2018</v>
      </c>
      <c r="B1035" s="1">
        <v>12</v>
      </c>
      <c r="C1035" s="1" t="s">
        <v>52</v>
      </c>
      <c r="D1035" s="1" t="e">
        <f t="array" aca="1" ref="D1035" ca="1">_xludf.XLOOKUP(C1035,'country region mapping'!$A$2:$A$250, 'country region mapping'!$E$2:$E$250)</f>
        <v>#NAME?</v>
      </c>
      <c r="E1035" s="1" t="e">
        <f t="array" aca="1" ref="E1035" ca="1">_xludf.XLOOKUP(C1035,'country region mapping'!$A$2:$A$267,'country region mapping'!$F$2:$F$267)</f>
        <v>#NAME?</v>
      </c>
      <c r="F1035" s="1" t="e">
        <f t="array" aca="1" ref="F1035" ca="1">_xludf.XLOOKUP(C1035,'country region mapping'!$A$2:$A$267,'country region mapping'!$G$2:$G$267)</f>
        <v>#NAME?</v>
      </c>
      <c r="G1035" s="1">
        <v>7.1669999999999998</v>
      </c>
      <c r="H1035" s="1">
        <v>61</v>
      </c>
      <c r="I1035" s="1">
        <v>52</v>
      </c>
      <c r="J1035" s="1">
        <v>53</v>
      </c>
      <c r="K1035" s="1">
        <v>29</v>
      </c>
      <c r="L1035" s="1">
        <v>9</v>
      </c>
      <c r="M1035" s="1">
        <v>73</v>
      </c>
      <c r="N1035" s="1">
        <v>61</v>
      </c>
      <c r="O1035" s="1">
        <v>7</v>
      </c>
      <c r="P1035" s="1">
        <v>92</v>
      </c>
      <c r="Q1035" s="1">
        <v>73</v>
      </c>
      <c r="R1035" s="1">
        <v>78</v>
      </c>
      <c r="S1035" s="1">
        <v>51</v>
      </c>
    </row>
    <row r="1036" spans="1:19">
      <c r="A1036" s="1">
        <v>2018</v>
      </c>
      <c r="B1036" s="1">
        <v>13</v>
      </c>
      <c r="C1036" s="1" t="s">
        <v>47</v>
      </c>
      <c r="D1036" s="1" t="e">
        <f t="array" aca="1" ref="D1036" ca="1">_xludf.XLOOKUP(C1036,'country region mapping'!$A$2:$A$250, 'country region mapping'!$E$2:$E$250)</f>
        <v>#NAME?</v>
      </c>
      <c r="E1036" s="1" t="e">
        <f t="array" aca="1" ref="E1036" ca="1">_xludf.XLOOKUP(C1036,'country region mapping'!$A$2:$A$267,'country region mapping'!$F$2:$F$267)</f>
        <v>#NAME?</v>
      </c>
      <c r="F1036" s="1" t="e">
        <f t="array" aca="1" ref="F1036" ca="1">_xludf.XLOOKUP(C1036,'country region mapping'!$A$2:$A$267,'country region mapping'!$G$2:$G$267)</f>
        <v>#NAME?</v>
      </c>
      <c r="G1036" s="1">
        <v>7.1390000000000002</v>
      </c>
      <c r="H1036" s="1">
        <v>26</v>
      </c>
      <c r="I1036" s="1">
        <v>34</v>
      </c>
      <c r="J1036" s="1">
        <v>29</v>
      </c>
      <c r="K1036" s="1">
        <v>4</v>
      </c>
      <c r="L1036" s="1">
        <v>99</v>
      </c>
      <c r="M1036" s="1">
        <v>26</v>
      </c>
      <c r="N1036" s="1">
        <v>58</v>
      </c>
      <c r="O1036" s="1">
        <v>94</v>
      </c>
      <c r="P1036" s="1">
        <v>67</v>
      </c>
      <c r="Q1036" s="1">
        <v>26</v>
      </c>
      <c r="R1036" s="1">
        <v>54</v>
      </c>
      <c r="S1036" s="1">
        <v>85</v>
      </c>
    </row>
    <row r="1037" spans="1:19">
      <c r="A1037" s="1">
        <v>2018</v>
      </c>
      <c r="B1037" s="1">
        <v>14</v>
      </c>
      <c r="C1037" s="1" t="s">
        <v>59</v>
      </c>
      <c r="D1037" s="1" t="e">
        <f t="array" aca="1" ref="D1037" ca="1">_xludf.XLOOKUP(C1037,'country region mapping'!$A$2:$A$250, 'country region mapping'!$E$2:$E$250)</f>
        <v>#NAME?</v>
      </c>
      <c r="E1037" s="1" t="e">
        <f t="array" aca="1" ref="E1037" ca="1">_xludf.XLOOKUP(C1037,'country region mapping'!$A$2:$A$267,'country region mapping'!$F$2:$F$267)</f>
        <v>#NAME?</v>
      </c>
      <c r="F1037" s="1" t="e">
        <f t="array" aca="1" ref="F1037" ca="1">_xludf.XLOOKUP(C1037,'country region mapping'!$A$2:$A$267,'country region mapping'!$G$2:$G$267)</f>
        <v>#NAME?</v>
      </c>
      <c r="G1037" s="1">
        <v>7.09</v>
      </c>
      <c r="H1037" s="1">
        <v>3</v>
      </c>
      <c r="I1037" s="1">
        <v>41</v>
      </c>
      <c r="J1037" s="1">
        <v>1</v>
      </c>
      <c r="K1037" s="1">
        <v>5</v>
      </c>
      <c r="L1037" s="1">
        <v>32</v>
      </c>
      <c r="M1037" s="1">
        <v>27</v>
      </c>
      <c r="N1037" s="1">
        <v>12</v>
      </c>
      <c r="O1037" s="1">
        <v>51</v>
      </c>
      <c r="P1037" s="1">
        <v>26</v>
      </c>
      <c r="Q1037" s="1">
        <v>27</v>
      </c>
      <c r="R1037" s="1">
        <v>18</v>
      </c>
      <c r="S1037" s="1">
        <v>122</v>
      </c>
    </row>
    <row r="1038" spans="1:19">
      <c r="A1038" s="1">
        <v>2018</v>
      </c>
      <c r="B1038" s="1">
        <v>15</v>
      </c>
      <c r="C1038" s="1" t="s">
        <v>64</v>
      </c>
      <c r="D1038" s="1" t="e">
        <f t="array" aca="1" ref="D1038" ca="1">_xludf.XLOOKUP(C1038,'country region mapping'!$A$2:$A$267,'country region mapping'!$E$2:$E$267)</f>
        <v>#NAME?</v>
      </c>
      <c r="E1038" s="1" t="e">
        <f t="array" aca="1" ref="E1038" ca="1">_xludf.XLOOKUP(C1038,'country region mapping'!$A$2:$A$267,'country region mapping'!$F$2:$F$267)</f>
        <v>#NAME?</v>
      </c>
      <c r="F1038" s="1" t="e">
        <f t="array" aca="1" ref="F1038" ca="1">_xludf.XLOOKUP(C1038,'country region mapping'!$A$2:$A$267,'country region mapping'!$G$2:$G$267)</f>
        <v>#NAME?</v>
      </c>
      <c r="G1038" s="1">
        <v>7.0540000000000003</v>
      </c>
      <c r="H1038" s="1">
        <v>23</v>
      </c>
      <c r="I1038" s="1">
        <v>20</v>
      </c>
      <c r="J1038" s="1">
        <v>21</v>
      </c>
      <c r="K1038" s="1">
        <v>27</v>
      </c>
      <c r="L1038" s="1">
        <v>55</v>
      </c>
      <c r="M1038" s="1">
        <v>3</v>
      </c>
      <c r="N1038" s="1">
        <v>13</v>
      </c>
      <c r="O1038" s="1">
        <v>37</v>
      </c>
      <c r="P1038" s="1">
        <v>42</v>
      </c>
      <c r="Q1038" s="1">
        <v>3</v>
      </c>
      <c r="R1038" s="1">
        <v>19</v>
      </c>
      <c r="S1038" s="1">
        <v>31</v>
      </c>
    </row>
    <row r="1039" spans="1:19">
      <c r="A1039" s="1">
        <v>2018</v>
      </c>
      <c r="B1039" s="1">
        <v>16</v>
      </c>
      <c r="C1039" s="1" t="s">
        <v>57</v>
      </c>
      <c r="D1039" s="1" t="e">
        <f t="array" aca="1" ref="D1039" ca="1">_xludf.XLOOKUP(C1039,'country region mapping'!$A$2:$A$250, 'country region mapping'!$E$2:$E$250)</f>
        <v>#NAME?</v>
      </c>
      <c r="E1039" s="1" t="e">
        <f t="array" aca="1" ref="E1039" ca="1">_xludf.XLOOKUP(C1039,'country region mapping'!$A$2:$A$267,'country region mapping'!$F$2:$F$267)</f>
        <v>#NAME?</v>
      </c>
      <c r="F1039" s="1" t="e">
        <f t="array" aca="1" ref="F1039" ca="1">_xludf.XLOOKUP(C1039,'country region mapping'!$A$2:$A$267,'country region mapping'!$G$2:$G$267)</f>
        <v>#NAME?</v>
      </c>
      <c r="G1039" s="1">
        <v>7.0209999999999999</v>
      </c>
      <c r="H1039" s="1">
        <v>35</v>
      </c>
      <c r="I1039" s="1">
        <v>11</v>
      </c>
      <c r="J1039" s="1">
        <v>3</v>
      </c>
      <c r="K1039" s="1">
        <v>15</v>
      </c>
      <c r="L1039" s="1">
        <v>45</v>
      </c>
      <c r="M1039" s="1">
        <v>7</v>
      </c>
      <c r="N1039" s="1">
        <v>9</v>
      </c>
      <c r="O1039" s="1">
        <v>26</v>
      </c>
      <c r="P1039" s="1">
        <v>33</v>
      </c>
      <c r="Q1039" s="1">
        <v>7</v>
      </c>
      <c r="R1039" s="1">
        <v>12</v>
      </c>
      <c r="S1039" s="1">
        <v>35</v>
      </c>
    </row>
    <row r="1040" spans="1:19">
      <c r="A1040" s="1">
        <v>2018</v>
      </c>
      <c r="B1040" s="1">
        <v>17</v>
      </c>
      <c r="C1040" s="1" t="s">
        <v>539</v>
      </c>
      <c r="D1040" s="1" t="e">
        <f t="array" aca="1" ref="D1040" ca="1">_xludf.XLOOKUP(C1040,'country region mapping'!$A$2:$A$250, 'country region mapping'!$E$2:$E$250)</f>
        <v>#NAME?</v>
      </c>
      <c r="E1040" s="1" t="e">
        <f t="array" aca="1" ref="E1040" ca="1">_xludf.XLOOKUP(C1040,'country region mapping'!$A$2:$A$267,'country region mapping'!$F$2:$F$267)</f>
        <v>#NAME?</v>
      </c>
      <c r="F1040" s="1" t="e">
        <f t="array" aca="1" ref="F1040" ca="1">_xludf.XLOOKUP(C1040,'country region mapping'!$A$2:$A$267,'country region mapping'!$G$2:$G$267)</f>
        <v>#NAME?</v>
      </c>
      <c r="G1040" s="1">
        <v>6.9850000000000003</v>
      </c>
      <c r="H1040" s="1">
        <v>14</v>
      </c>
      <c r="I1040" s="1">
        <v>26</v>
      </c>
      <c r="J1040" s="1">
        <v>11</v>
      </c>
      <c r="K1040" s="1">
        <v>28</v>
      </c>
      <c r="L1040" s="1">
        <v>35</v>
      </c>
      <c r="M1040" s="1">
        <v>25</v>
      </c>
      <c r="N1040" s="1">
        <v>15</v>
      </c>
      <c r="O1040" s="1">
        <v>34</v>
      </c>
      <c r="P1040" s="1">
        <v>46</v>
      </c>
      <c r="Q1040" s="1">
        <v>25</v>
      </c>
      <c r="R1040" s="1">
        <v>50</v>
      </c>
      <c r="S1040" s="1">
        <v>6</v>
      </c>
    </row>
    <row r="1041" spans="1:19">
      <c r="A1041" s="1">
        <v>2018</v>
      </c>
      <c r="B1041" s="1">
        <v>18</v>
      </c>
      <c r="C1041" s="1" t="s">
        <v>415</v>
      </c>
      <c r="D1041" s="1" t="e">
        <f t="array" aca="1" ref="D1041" ca="1">_xludf.XLOOKUP(C1041,'country region mapping'!$A$2:$A$250, 'country region mapping'!$E$2:$E$250)</f>
        <v>#NAME?</v>
      </c>
      <c r="E1041" s="1" t="e">
        <f t="array" aca="1" ref="E1041" ca="1">_xludf.XLOOKUP(C1041,'country region mapping'!$A$2:$A$267,'country region mapping'!$F$2:$F$267)</f>
        <v>#NAME?</v>
      </c>
      <c r="F1041" s="1" t="e">
        <f t="array" aca="1" ref="F1041" ca="1">_xludf.XLOOKUP(C1041,'country region mapping'!$A$2:$A$267,'country region mapping'!$G$2:$G$267)</f>
        <v>#NAME?</v>
      </c>
      <c r="G1041" s="1">
        <v>6.923</v>
      </c>
      <c r="H1041" s="1">
        <v>8</v>
      </c>
      <c r="I1041" s="1">
        <v>17</v>
      </c>
      <c r="J1041" s="1">
        <v>13</v>
      </c>
      <c r="K1041" s="1">
        <v>22</v>
      </c>
      <c r="L1041" s="1">
        <v>66</v>
      </c>
      <c r="M1041" s="1">
        <v>51</v>
      </c>
      <c r="N1041" s="1">
        <v>25</v>
      </c>
      <c r="O1041" s="1">
        <v>65</v>
      </c>
      <c r="P1041" s="1">
        <v>50</v>
      </c>
      <c r="Q1041" s="1">
        <v>51</v>
      </c>
      <c r="R1041" s="1">
        <v>48</v>
      </c>
      <c r="S1041" s="1">
        <v>129</v>
      </c>
    </row>
    <row r="1042" spans="1:19">
      <c r="A1042" s="1">
        <v>2018</v>
      </c>
      <c r="B1042" s="1">
        <v>19</v>
      </c>
      <c r="C1042" s="1" t="s">
        <v>51</v>
      </c>
      <c r="D1042" s="1" t="e">
        <f t="array" aca="1" ref="D1042" ca="1">_xludf.XLOOKUP(C1042,'country region mapping'!$A$2:$A$267,'country region mapping'!$E$2:$E$267)</f>
        <v>#NAME?</v>
      </c>
      <c r="E1042" s="1" t="e">
        <f t="array" aca="1" ref="E1042" ca="1">_xludf.XLOOKUP(C1042,'country region mapping'!$A$2:$A$267,'country region mapping'!$F$2:$F$267)</f>
        <v>#NAME?</v>
      </c>
      <c r="F1042" s="1" t="e">
        <f t="array" aca="1" ref="F1042" ca="1">_xludf.XLOOKUP(C1042,'country region mapping'!$A$2:$A$267,'country region mapping'!$G$2:$G$267)</f>
        <v>#NAME?</v>
      </c>
      <c r="G1042" s="1">
        <v>6.8920000000000003</v>
      </c>
      <c r="H1042" s="1">
        <v>58</v>
      </c>
      <c r="I1042" s="1">
        <v>39</v>
      </c>
      <c r="J1042" s="1">
        <v>7</v>
      </c>
      <c r="K1042" s="1">
        <v>61</v>
      </c>
      <c r="L1042" s="1">
        <v>57</v>
      </c>
      <c r="M1042" s="1">
        <v>14</v>
      </c>
      <c r="N1042" s="1">
        <v>38</v>
      </c>
      <c r="O1042" s="1">
        <v>22</v>
      </c>
      <c r="P1042" s="1">
        <v>75</v>
      </c>
      <c r="Q1042" s="1">
        <v>14</v>
      </c>
      <c r="R1042" s="1">
        <v>11</v>
      </c>
      <c r="S1042" s="1">
        <v>16</v>
      </c>
    </row>
    <row r="1043" spans="1:19">
      <c r="A1043" s="1">
        <v>2018</v>
      </c>
      <c r="B1043" s="1">
        <v>20</v>
      </c>
      <c r="C1043" s="1" t="s">
        <v>70</v>
      </c>
      <c r="D1043" s="1" t="e">
        <f t="array" aca="1" ref="D1043" ca="1">_xludf.XLOOKUP(C1043,'country region mapping'!$A$2:$A$250, 'country region mapping'!$E$2:$E$250)</f>
        <v>#NAME?</v>
      </c>
      <c r="E1043" s="1" t="e">
        <f t="array" aca="1" ref="E1043" ca="1">_xludf.XLOOKUP(C1043,'country region mapping'!$A$2:$A$267,'country region mapping'!$F$2:$F$267)</f>
        <v>#NAME?</v>
      </c>
      <c r="F1043" s="1" t="e">
        <f t="array" aca="1" ref="F1043" ca="1">_xludf.XLOOKUP(C1043,'country region mapping'!$A$2:$A$267,'country region mapping'!$G$2:$G$267)</f>
        <v>#NAME?</v>
      </c>
      <c r="G1043" s="1">
        <v>6.8520000000000003</v>
      </c>
      <c r="H1043" s="1">
        <v>19</v>
      </c>
      <c r="I1043" s="1">
        <v>19</v>
      </c>
      <c r="J1043" s="1">
        <v>25</v>
      </c>
      <c r="K1043" s="1">
        <v>34</v>
      </c>
      <c r="L1043" s="1">
        <v>74</v>
      </c>
      <c r="M1043" s="1">
        <v>132</v>
      </c>
      <c r="N1043" s="1">
        <v>99</v>
      </c>
      <c r="O1043" s="1">
        <v>67</v>
      </c>
      <c r="P1043" s="1">
        <v>10</v>
      </c>
      <c r="Q1043" s="1">
        <v>132</v>
      </c>
      <c r="R1043" s="1">
        <v>108</v>
      </c>
      <c r="S1043" s="1">
        <v>139</v>
      </c>
    </row>
    <row r="1044" spans="1:19">
      <c r="A1044" s="1">
        <v>2018</v>
      </c>
      <c r="B1044" s="1">
        <v>21</v>
      </c>
      <c r="C1044" s="1" t="s">
        <v>71</v>
      </c>
      <c r="D1044" s="1" t="e">
        <f t="array" aca="1" ref="D1044" ca="1">_xludf.XLOOKUP(C1044,'country region mapping'!$A$2:$A$250, 'country region mapping'!$E$2:$E$250)</f>
        <v>#NAME?</v>
      </c>
      <c r="E1044" s="1" t="e">
        <f t="array" aca="1" ref="E1044" ca="1">_xludf.XLOOKUP(C1044,'country region mapping'!$A$2:$A$267,'country region mapping'!$F$2:$F$267)</f>
        <v>#NAME?</v>
      </c>
      <c r="F1044" s="1" t="e">
        <f t="array" aca="1" ref="F1044" ca="1">_xludf.XLOOKUP(C1044,'country region mapping'!$A$2:$A$267,'country region mapping'!$G$2:$G$267)</f>
        <v>#NAME?</v>
      </c>
      <c r="G1044" s="1">
        <v>6.8250000000000002</v>
      </c>
      <c r="H1044" s="1">
        <v>74</v>
      </c>
      <c r="I1044" s="1">
        <v>65</v>
      </c>
      <c r="J1044" s="1">
        <v>6</v>
      </c>
      <c r="K1044" s="1">
        <v>25</v>
      </c>
      <c r="L1044" s="1">
        <v>7</v>
      </c>
      <c r="M1044" s="1">
        <v>23</v>
      </c>
      <c r="O1044" s="14">
        <v>43</v>
      </c>
      <c r="P1044" s="14">
        <v>86</v>
      </c>
      <c r="Q1044" s="14">
        <v>23</v>
      </c>
      <c r="R1044" s="14">
        <v>44</v>
      </c>
      <c r="S1044" s="14">
        <v>23</v>
      </c>
    </row>
    <row r="1045" spans="1:19">
      <c r="A1045" s="1">
        <v>2018</v>
      </c>
      <c r="B1045" s="1">
        <v>22</v>
      </c>
      <c r="C1045" s="1" t="s">
        <v>74</v>
      </c>
      <c r="D1045" s="1" t="e">
        <f t="array" aca="1" ref="D1045" ca="1">_xludf.XLOOKUP(C1045,'country region mapping'!$A$2:$A$250, 'country region mapping'!$E$2:$E$250)</f>
        <v>#NAME?</v>
      </c>
      <c r="E1045" s="1" t="e">
        <f t="array" aca="1" ref="E1045" ca="1">_xludf.XLOOKUP(C1045,'country region mapping'!$A$2:$A$267,'country region mapping'!$F$2:$F$267)</f>
        <v>#NAME?</v>
      </c>
      <c r="F1045" s="1" t="e">
        <f t="array" aca="1" ref="F1045" ca="1">_xludf.XLOOKUP(C1045,'country region mapping'!$A$2:$A$267,'country region mapping'!$G$2:$G$267)</f>
        <v>#NAME?</v>
      </c>
      <c r="G1045" s="1">
        <v>6.726</v>
      </c>
      <c r="H1045" s="1">
        <v>33</v>
      </c>
      <c r="I1045" s="1">
        <v>14</v>
      </c>
      <c r="J1045" s="1">
        <v>18</v>
      </c>
      <c r="K1045" s="1">
        <v>8</v>
      </c>
      <c r="L1045" s="1">
        <v>13</v>
      </c>
      <c r="M1045" s="1">
        <v>11</v>
      </c>
      <c r="N1045" s="1">
        <v>21</v>
      </c>
      <c r="O1045" s="1">
        <v>69</v>
      </c>
      <c r="P1045" s="1">
        <v>77</v>
      </c>
      <c r="Q1045" s="1">
        <v>11</v>
      </c>
      <c r="R1045" s="1">
        <v>42</v>
      </c>
      <c r="S1045" s="1">
        <v>123</v>
      </c>
    </row>
    <row r="1046" spans="1:19">
      <c r="A1046" s="1">
        <v>2018</v>
      </c>
      <c r="B1046" s="1">
        <v>23</v>
      </c>
      <c r="C1046" s="1" t="s">
        <v>61</v>
      </c>
      <c r="D1046" s="1" t="e">
        <f t="array" aca="1" ref="D1046" ca="1">_xludf.XLOOKUP(C1046,'country region mapping'!$A$2:$A$250, 'country region mapping'!$E$2:$E$250)</f>
        <v>#NAME?</v>
      </c>
      <c r="E1046" s="1" t="e">
        <f t="array" aca="1" ref="E1046" ca="1">_xludf.XLOOKUP(C1046,'country region mapping'!$A$2:$A$267,'country region mapping'!$F$2:$F$267)</f>
        <v>#NAME?</v>
      </c>
      <c r="F1046" s="1" t="e">
        <f t="array" aca="1" ref="F1046" ca="1">_xludf.XLOOKUP(C1046,'country region mapping'!$A$2:$A$267,'country region mapping'!$G$2:$G$267)</f>
        <v>#NAME?</v>
      </c>
      <c r="G1046" s="1">
        <v>6.5949999999999998</v>
      </c>
      <c r="H1046" s="1">
        <v>82</v>
      </c>
      <c r="I1046" s="1">
        <v>60</v>
      </c>
      <c r="J1046" s="1">
        <v>54</v>
      </c>
      <c r="K1046" s="1">
        <v>66</v>
      </c>
      <c r="L1046" s="1">
        <v>65</v>
      </c>
      <c r="M1046" s="1">
        <v>105</v>
      </c>
      <c r="N1046" s="1">
        <v>80</v>
      </c>
      <c r="O1046" s="1">
        <v>6</v>
      </c>
      <c r="P1046" s="1">
        <v>34</v>
      </c>
      <c r="Q1046" s="1">
        <v>105</v>
      </c>
      <c r="R1046" s="1">
        <v>93</v>
      </c>
      <c r="S1046" s="1">
        <v>91</v>
      </c>
    </row>
    <row r="1047" spans="1:19">
      <c r="A1047" s="1">
        <v>2018</v>
      </c>
      <c r="B1047" s="1">
        <v>24</v>
      </c>
      <c r="C1047" s="1" t="s">
        <v>76</v>
      </c>
      <c r="D1047" s="1" t="e">
        <f t="array" aca="1" ref="D1047" ca="1">_xludf.XLOOKUP(C1047,'country region mapping'!$A$2:$A$250, 'country region mapping'!$E$2:$E$250)</f>
        <v>#NAME?</v>
      </c>
      <c r="E1047" s="1" t="e">
        <f t="array" aca="1" ref="E1047" ca="1">_xludf.XLOOKUP(C1047,'country region mapping'!$A$2:$A$267,'country region mapping'!$F$2:$F$267)</f>
        <v>#NAME?</v>
      </c>
      <c r="F1047" s="1" t="e">
        <f t="array" aca="1" ref="F1047" ca="1">_xludf.XLOOKUP(C1047,'country region mapping'!$A$2:$A$267,'country region mapping'!$G$2:$G$267)</f>
        <v>#NAME?</v>
      </c>
      <c r="G1047" s="1">
        <v>6.5919999999999996</v>
      </c>
      <c r="H1047" s="1">
        <v>12</v>
      </c>
      <c r="I1047" s="1">
        <v>24</v>
      </c>
      <c r="J1047" s="1">
        <v>20</v>
      </c>
      <c r="K1047" s="1">
        <v>13</v>
      </c>
      <c r="L1047" s="1">
        <v>63</v>
      </c>
      <c r="M1047" s="1">
        <v>59</v>
      </c>
      <c r="N1047" s="1">
        <v>20</v>
      </c>
      <c r="O1047" s="1">
        <v>56</v>
      </c>
      <c r="P1047" s="1">
        <v>68</v>
      </c>
      <c r="Q1047" s="1">
        <v>59</v>
      </c>
      <c r="R1047" s="1">
        <v>27</v>
      </c>
      <c r="S1047" s="1">
        <v>128</v>
      </c>
    </row>
    <row r="1048" spans="1:19">
      <c r="A1048" s="1">
        <v>2018</v>
      </c>
      <c r="B1048" s="1">
        <v>25</v>
      </c>
      <c r="C1048" s="1" t="s">
        <v>81</v>
      </c>
      <c r="D1048" s="1" t="e">
        <f t="array" aca="1" ref="D1048" ca="1">_xludf.XLOOKUP(C1048,'country region mapping'!$A$2:$A$267,'country region mapping'!$E$2:$E$267)</f>
        <v>#NAME?</v>
      </c>
      <c r="E1048" s="1" t="e">
        <f t="array" aca="1" ref="E1048" ca="1">_xludf.XLOOKUP(C1048,'country region mapping'!$A$2:$A$267,'country region mapping'!$F$2:$F$267)</f>
        <v>#NAME?</v>
      </c>
      <c r="F1048" s="1" t="e">
        <f t="array" aca="1" ref="F1048" ca="1">_xludf.XLOOKUP(C1048,'country region mapping'!$A$2:$A$267,'country region mapping'!$G$2:$G$267)</f>
        <v>#NAME?</v>
      </c>
      <c r="G1048" s="1">
        <v>6.4459999999999997</v>
      </c>
      <c r="H1048" s="1">
        <v>22</v>
      </c>
      <c r="I1048" s="1">
        <v>45</v>
      </c>
      <c r="J1048" s="1">
        <v>19</v>
      </c>
      <c r="K1048" s="1"/>
      <c r="L1048" s="1">
        <v>92</v>
      </c>
      <c r="M1048" s="1">
        <v>76</v>
      </c>
      <c r="N1048" s="1">
        <v>45</v>
      </c>
      <c r="O1048" s="1">
        <v>32</v>
      </c>
      <c r="P1048" s="1">
        <v>1</v>
      </c>
      <c r="Q1048" s="1">
        <v>76</v>
      </c>
      <c r="R1048" s="1">
        <v>101</v>
      </c>
      <c r="S1048" s="1">
        <v>116</v>
      </c>
    </row>
    <row r="1049" spans="1:19">
      <c r="A1049" s="1">
        <v>2018</v>
      </c>
      <c r="B1049" s="1">
        <v>26</v>
      </c>
      <c r="C1049" s="1" t="s">
        <v>66</v>
      </c>
      <c r="D1049" s="1" t="e">
        <f t="array" aca="1" ref="D1049" ca="1">_xludf.XLOOKUP(C1049,'country region mapping'!$A$2:$A$250, 'country region mapping'!$E$2:$E$250)</f>
        <v>#NAME?</v>
      </c>
      <c r="E1049" s="1" t="e">
        <f t="array" aca="1" ref="E1049" ca="1">_xludf.XLOOKUP(C1049,'country region mapping'!$A$2:$A$267,'country region mapping'!$F$2:$F$267)</f>
        <v>#NAME?</v>
      </c>
      <c r="F1049" s="1" t="e">
        <f t="array" aca="1" ref="F1049" ca="1">_xludf.XLOOKUP(C1049,'country region mapping'!$A$2:$A$267,'country region mapping'!$G$2:$G$267)</f>
        <v>#NAME?</v>
      </c>
      <c r="G1049" s="1">
        <v>6.444</v>
      </c>
      <c r="H1049" s="1">
        <v>65</v>
      </c>
      <c r="I1049" s="1">
        <v>47</v>
      </c>
      <c r="J1049" s="1">
        <v>46</v>
      </c>
      <c r="K1049" s="1">
        <v>26</v>
      </c>
      <c r="L1049" s="1">
        <v>76</v>
      </c>
      <c r="M1049" s="1">
        <v>47</v>
      </c>
      <c r="N1049" s="1">
        <v>83</v>
      </c>
      <c r="O1049" s="1">
        <v>25</v>
      </c>
      <c r="P1049" s="1">
        <v>65</v>
      </c>
      <c r="Q1049" s="1">
        <v>47</v>
      </c>
      <c r="R1049" s="1">
        <v>86</v>
      </c>
      <c r="S1049" s="1">
        <v>28</v>
      </c>
    </row>
    <row r="1050" spans="1:19">
      <c r="A1050" s="1">
        <v>2018</v>
      </c>
      <c r="B1050" s="1">
        <v>27</v>
      </c>
      <c r="C1050" s="1" t="s">
        <v>86</v>
      </c>
      <c r="D1050" s="1" t="e">
        <f t="array" aca="1" ref="D1050" ca="1">_xludf.XLOOKUP(C1050,'country region mapping'!$A$2:$A$250, 'country region mapping'!$E$2:$E$250)</f>
        <v>#NAME?</v>
      </c>
      <c r="E1050" s="1" t="e">
        <f t="array" aca="1" ref="E1050" ca="1">_xludf.XLOOKUP(C1050,'country region mapping'!$A$2:$A$267,'country region mapping'!$F$2:$F$267)</f>
        <v>#NAME?</v>
      </c>
      <c r="F1050" s="1" t="e">
        <f t="array" aca="1" ref="F1050" ca="1">_xludf.XLOOKUP(C1050,'country region mapping'!$A$2:$A$267,'country region mapping'!$G$2:$G$267)</f>
        <v>#NAME?</v>
      </c>
      <c r="G1050" s="1">
        <v>6.4359999999999999</v>
      </c>
      <c r="H1050" s="1">
        <v>121</v>
      </c>
      <c r="I1050" s="1">
        <v>71</v>
      </c>
      <c r="J1050" s="1">
        <v>87</v>
      </c>
      <c r="K1050" s="1">
        <v>88</v>
      </c>
      <c r="L1050" s="1">
        <v>20</v>
      </c>
      <c r="M1050" s="1">
        <v>55</v>
      </c>
      <c r="N1050" s="1">
        <v>55</v>
      </c>
      <c r="O1050" s="1">
        <v>2</v>
      </c>
      <c r="P1050" s="1">
        <v>56</v>
      </c>
      <c r="Q1050" s="1">
        <v>55</v>
      </c>
      <c r="R1050" s="1">
        <v>38</v>
      </c>
      <c r="S1050" s="1">
        <v>60</v>
      </c>
    </row>
    <row r="1051" spans="1:19">
      <c r="A1051" s="1">
        <v>2018</v>
      </c>
      <c r="B1051" s="1">
        <v>28</v>
      </c>
      <c r="C1051" s="1" t="s">
        <v>79</v>
      </c>
      <c r="D1051" s="1" t="e">
        <f t="array" aca="1" ref="D1051" ca="1">_xludf.XLOOKUP(C1051,'country region mapping'!$A$2:$A$250, 'country region mapping'!$E$2:$E$250)</f>
        <v>#NAME?</v>
      </c>
      <c r="E1051" s="1" t="e">
        <f t="array" aca="1" ref="E1051" ca="1">_xludf.XLOOKUP(C1051,'country region mapping'!$A$2:$A$267,'country region mapping'!$F$2:$F$267)</f>
        <v>#NAME?</v>
      </c>
      <c r="F1051" s="1" t="e">
        <f t="array" aca="1" ref="F1051" ca="1">_xludf.XLOOKUP(C1051,'country region mapping'!$A$2:$A$267,'country region mapping'!$G$2:$G$267)</f>
        <v>#NAME?</v>
      </c>
      <c r="G1051" s="1">
        <v>6.375</v>
      </c>
      <c r="H1051" s="1">
        <v>81</v>
      </c>
      <c r="I1051" s="1">
        <v>56</v>
      </c>
      <c r="J1051" s="1">
        <v>17</v>
      </c>
      <c r="K1051" s="1">
        <v>59</v>
      </c>
      <c r="L1051" s="1">
        <v>49</v>
      </c>
      <c r="M1051" s="1">
        <v>84</v>
      </c>
      <c r="O1051" s="14">
        <v>58</v>
      </c>
      <c r="P1051" s="14">
        <v>72</v>
      </c>
      <c r="Q1051" s="14">
        <v>84</v>
      </c>
      <c r="R1051" s="14">
        <v>103</v>
      </c>
      <c r="S1051" s="14">
        <v>22</v>
      </c>
    </row>
    <row r="1052" spans="1:19">
      <c r="A1052" s="1">
        <v>2018</v>
      </c>
      <c r="B1052" s="1">
        <v>29</v>
      </c>
      <c r="C1052" s="1" t="s">
        <v>349</v>
      </c>
      <c r="D1052" s="1" t="e">
        <f t="array" aca="1" ref="D1052" ca="1">_xludf.XLOOKUP(C1052,'country region mapping'!$A$2:$A$250, 'country region mapping'!$E$2:$E$250)</f>
        <v>#NAME?</v>
      </c>
      <c r="E1052" s="1" t="e">
        <f t="array" aca="1" ref="E1052" ca="1">_xludf.XLOOKUP(C1052,'country region mapping'!$A$2:$A$267,'country region mapping'!$F$2:$F$267)</f>
        <v>#NAME?</v>
      </c>
      <c r="F1052" s="1" t="e">
        <f t="array" aca="1" ref="F1052" ca="1">_xludf.XLOOKUP(C1052,'country region mapping'!$A$2:$A$267,'country region mapping'!$G$2:$G$267)</f>
        <v>#NAME?</v>
      </c>
      <c r="G1052" s="1">
        <v>6.3739999999999997</v>
      </c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</row>
    <row r="1053" spans="1:19">
      <c r="A1053" s="1">
        <v>2018</v>
      </c>
      <c r="B1053" s="1">
        <v>30</v>
      </c>
      <c r="C1053" s="1" t="s">
        <v>274</v>
      </c>
      <c r="D1053" s="1" t="e">
        <f t="array" aca="1" ref="D1053" ca="1">_xludf.XLOOKUP(C1053,'country region mapping'!$A$2:$A$250, 'country region mapping'!$E$2:$E$250)</f>
        <v>#NAME?</v>
      </c>
      <c r="E1053" s="1" t="e">
        <f t="array" aca="1" ref="E1053" ca="1">_xludf.XLOOKUP(C1053,'country region mapping'!$A$2:$A$267,'country region mapping'!$F$2:$F$267)</f>
        <v>#NAME?</v>
      </c>
      <c r="F1053" s="1" t="e">
        <f t="array" aca="1" ref="F1053" ca="1">_xludf.XLOOKUP(C1053,'country region mapping'!$A$2:$A$267,'country region mapping'!$G$2:$G$267)</f>
        <v>#NAME?</v>
      </c>
      <c r="G1053" s="1">
        <v>6.3540000000000001</v>
      </c>
      <c r="H1053" s="1">
        <v>18</v>
      </c>
      <c r="I1053" s="1">
        <v>32</v>
      </c>
      <c r="J1053" s="1">
        <v>24</v>
      </c>
      <c r="K1053" s="1">
        <v>6</v>
      </c>
      <c r="L1053" s="1">
        <v>101</v>
      </c>
      <c r="M1053" s="1">
        <v>43</v>
      </c>
      <c r="N1053" s="1">
        <v>59</v>
      </c>
      <c r="O1053" s="1">
        <v>82</v>
      </c>
      <c r="P1053" s="1">
        <v>102</v>
      </c>
      <c r="Q1053" s="1">
        <v>43</v>
      </c>
      <c r="R1053" s="1">
        <v>77</v>
      </c>
      <c r="S1053" s="1">
        <v>41</v>
      </c>
    </row>
    <row r="1054" spans="1:19">
      <c r="A1054" s="1">
        <v>2018</v>
      </c>
      <c r="B1054" s="1">
        <v>31</v>
      </c>
      <c r="C1054" s="1" t="s">
        <v>67</v>
      </c>
      <c r="D1054" s="1" t="e">
        <f t="array" aca="1" ref="D1054" ca="1">_xludf.XLOOKUP(C1054,'country region mapping'!$A$2:$A$250, 'country region mapping'!$E$2:$E$250)</f>
        <v>#NAME?</v>
      </c>
      <c r="E1054" s="1" t="e">
        <f t="array" aca="1" ref="E1054" ca="1">_xludf.XLOOKUP(C1054,'country region mapping'!$A$2:$A$267,'country region mapping'!$F$2:$F$267)</f>
        <v>#NAME?</v>
      </c>
      <c r="F1054" s="1" t="e">
        <f t="array" aca="1" ref="F1054" ca="1">_xludf.XLOOKUP(C1054,'country region mapping'!$A$2:$A$267,'country region mapping'!$G$2:$G$267)</f>
        <v>#NAME?</v>
      </c>
      <c r="G1054" s="1">
        <v>6.3209999999999997</v>
      </c>
      <c r="H1054" s="1">
        <v>96</v>
      </c>
      <c r="I1054" s="1">
        <v>38</v>
      </c>
      <c r="J1054" s="1">
        <v>42</v>
      </c>
      <c r="K1054" s="1">
        <v>37</v>
      </c>
      <c r="L1054" s="1">
        <v>46</v>
      </c>
      <c r="M1054" s="1">
        <v>68</v>
      </c>
      <c r="N1054" s="1">
        <v>88</v>
      </c>
      <c r="O1054" s="1">
        <v>1</v>
      </c>
      <c r="P1054" s="1">
        <v>40</v>
      </c>
      <c r="Q1054" s="1">
        <v>68</v>
      </c>
      <c r="R1054" s="1">
        <v>66</v>
      </c>
      <c r="S1054" s="1">
        <v>81</v>
      </c>
    </row>
    <row r="1055" spans="1:19">
      <c r="A1055" s="1">
        <v>2018</v>
      </c>
      <c r="B1055" s="1">
        <v>32</v>
      </c>
      <c r="C1055" s="1" t="s">
        <v>54</v>
      </c>
      <c r="D1055" s="1" t="e">
        <f t="array" aca="1" ref="D1055" ca="1">_xludf.XLOOKUP(C1055,'country region mapping'!$A$2:$A$250, 'country region mapping'!$E$2:$E$250)</f>
        <v>#NAME?</v>
      </c>
      <c r="E1055" s="1" t="e">
        <f t="array" aca="1" ref="E1055" ca="1">_xludf.XLOOKUP(C1055,'country region mapping'!$A$2:$A$267,'country region mapping'!$F$2:$F$267)</f>
        <v>#NAME?</v>
      </c>
      <c r="F1055" s="1" t="e">
        <f t="array" aca="1" ref="F1055" ca="1">_xludf.XLOOKUP(C1055,'country region mapping'!$A$2:$A$267,'country region mapping'!$G$2:$G$267)</f>
        <v>#NAME?</v>
      </c>
      <c r="G1055" s="1">
        <v>6.3</v>
      </c>
      <c r="H1055" s="1">
        <v>104</v>
      </c>
      <c r="I1055" s="1">
        <v>51</v>
      </c>
      <c r="J1055" s="1">
        <v>62</v>
      </c>
      <c r="K1055" s="1">
        <v>74</v>
      </c>
      <c r="L1055" s="1">
        <v>90</v>
      </c>
      <c r="M1055" s="1">
        <v>89</v>
      </c>
      <c r="N1055" s="1">
        <v>54</v>
      </c>
      <c r="O1055" s="1">
        <v>66</v>
      </c>
      <c r="P1055" s="1">
        <v>97</v>
      </c>
      <c r="Q1055" s="1">
        <v>89</v>
      </c>
      <c r="R1055" s="1">
        <v>89</v>
      </c>
      <c r="S1055" s="1">
        <v>78</v>
      </c>
    </row>
    <row r="1056" spans="1:19">
      <c r="A1056" s="1">
        <v>2018</v>
      </c>
      <c r="B1056" s="1">
        <v>33</v>
      </c>
      <c r="C1056" s="1" t="s">
        <v>73</v>
      </c>
      <c r="D1056" s="1" t="e">
        <f t="array" aca="1" ref="D1056" ca="1">_xludf.XLOOKUP(C1056,'country region mapping'!$A$2:$A$250, 'country region mapping'!$E$2:$E$250)</f>
        <v>#NAME?</v>
      </c>
      <c r="E1056" s="1" t="e">
        <f t="array" aca="1" ref="E1056" ca="1">_xludf.XLOOKUP(C1056,'country region mapping'!$A$2:$A$267,'country region mapping'!$F$2:$F$267)</f>
        <v>#NAME?</v>
      </c>
      <c r="F1056" s="1" t="e">
        <f t="array" aca="1" ref="F1056" ca="1">_xludf.XLOOKUP(C1056,'country region mapping'!$A$2:$A$267,'country region mapping'!$G$2:$G$267)</f>
        <v>#NAME?</v>
      </c>
      <c r="G1056" s="1">
        <v>6.2930000000000001</v>
      </c>
      <c r="H1056" s="1">
        <v>75</v>
      </c>
      <c r="I1056" s="1">
        <v>27</v>
      </c>
      <c r="J1056" s="1">
        <v>45</v>
      </c>
      <c r="K1056" s="1">
        <v>50</v>
      </c>
      <c r="L1056" s="1">
        <v>36</v>
      </c>
      <c r="M1056" s="1">
        <v>67</v>
      </c>
      <c r="N1056" s="1">
        <v>31</v>
      </c>
      <c r="O1056" s="1">
        <v>14</v>
      </c>
      <c r="P1056" s="1">
        <v>62</v>
      </c>
      <c r="Q1056" s="1">
        <v>67</v>
      </c>
      <c r="R1056" s="1">
        <v>75</v>
      </c>
      <c r="S1056" s="1">
        <v>73</v>
      </c>
    </row>
    <row r="1057" spans="1:19">
      <c r="A1057" s="1">
        <v>2018</v>
      </c>
      <c r="B1057" s="1">
        <v>34</v>
      </c>
      <c r="C1057" s="1" t="s">
        <v>63</v>
      </c>
      <c r="D1057" s="1" t="e">
        <f t="array" aca="1" ref="D1057" ca="1">_xludf.XLOOKUP(C1057,'country region mapping'!$A$2:$A$250, 'country region mapping'!$E$2:$E$250)</f>
        <v>#NAME?</v>
      </c>
      <c r="E1057" s="1" t="e">
        <f t="array" aca="1" ref="E1057" ca="1">_xludf.XLOOKUP(C1057,'country region mapping'!$A$2:$A$267,'country region mapping'!$F$2:$F$267)</f>
        <v>#NAME?</v>
      </c>
      <c r="F1057" s="1" t="e">
        <f t="array" aca="1" ref="F1057" ca="1">_xludf.XLOOKUP(C1057,'country region mapping'!$A$2:$A$267,'country region mapping'!$G$2:$G$267)</f>
        <v>#NAME?</v>
      </c>
      <c r="G1057" s="1">
        <v>6.2619999999999996</v>
      </c>
      <c r="H1057" s="1">
        <v>11</v>
      </c>
      <c r="I1057" s="1">
        <v>40</v>
      </c>
      <c r="J1057" s="1">
        <v>2</v>
      </c>
      <c r="K1057" s="1">
        <v>1</v>
      </c>
      <c r="L1057" s="1">
        <v>18</v>
      </c>
      <c r="M1057" s="1">
        <v>33</v>
      </c>
      <c r="N1057" s="1">
        <v>1</v>
      </c>
      <c r="O1057" s="1">
        <v>39</v>
      </c>
      <c r="P1057" s="1">
        <v>2</v>
      </c>
      <c r="Q1057" s="1">
        <v>33</v>
      </c>
      <c r="R1057" s="1">
        <v>80</v>
      </c>
      <c r="S1057" s="1">
        <v>118</v>
      </c>
    </row>
    <row r="1058" spans="1:19">
      <c r="A1058" s="1">
        <v>2018</v>
      </c>
      <c r="B1058" s="1">
        <v>35</v>
      </c>
      <c r="C1058" s="1" t="s">
        <v>96</v>
      </c>
      <c r="D1058" s="1" t="e">
        <f t="array" aca="1" ref="D1058" ca="1">_xludf.XLOOKUP(C1058,'country region mapping'!$A$2:$A$250, 'country region mapping'!$E$2:$E$250)</f>
        <v>#NAME?</v>
      </c>
      <c r="E1058" s="1" t="e">
        <f t="array" aca="1" ref="E1058" ca="1">_xludf.XLOOKUP(C1058,'country region mapping'!$A$2:$A$267,'country region mapping'!$F$2:$F$267)</f>
        <v>#NAME?</v>
      </c>
      <c r="F1058" s="1" t="e">
        <f t="array" aca="1" ref="F1058" ca="1">_xludf.XLOOKUP(C1058,'country region mapping'!$A$2:$A$267,'country region mapping'!$G$2:$G$267)</f>
        <v>#NAME?</v>
      </c>
      <c r="G1058" s="1">
        <v>6.2530000000000001</v>
      </c>
      <c r="H1058" s="1">
        <v>109</v>
      </c>
      <c r="I1058" s="1">
        <v>81</v>
      </c>
      <c r="J1058" s="1">
        <v>90</v>
      </c>
      <c r="K1058" s="1">
        <v>72</v>
      </c>
      <c r="L1058" s="1">
        <v>43</v>
      </c>
      <c r="M1058" s="1">
        <v>95</v>
      </c>
      <c r="N1058" s="1">
        <v>72</v>
      </c>
      <c r="O1058" s="1">
        <v>5</v>
      </c>
      <c r="P1058" s="1">
        <v>58</v>
      </c>
      <c r="Q1058" s="1">
        <v>95</v>
      </c>
      <c r="R1058" s="1">
        <v>55</v>
      </c>
      <c r="S1058" s="1">
        <v>88</v>
      </c>
    </row>
    <row r="1059" spans="1:19">
      <c r="A1059" s="1">
        <v>2018</v>
      </c>
      <c r="B1059" s="1">
        <v>36</v>
      </c>
      <c r="C1059" s="1" t="s">
        <v>100</v>
      </c>
      <c r="D1059" s="1" t="e">
        <f t="array" aca="1" ref="D1059" ca="1">_xludf.XLOOKUP(C1059,'country region mapping'!$A$2:$A$250, 'country region mapping'!$E$2:$E$250)</f>
        <v>#NAME?</v>
      </c>
      <c r="E1059" s="1" t="e">
        <f t="array" aca="1" ref="E1059" ca="1">_xludf.XLOOKUP(C1059,'country region mapping'!$A$2:$A$267,'country region mapping'!$F$2:$F$267)</f>
        <v>#NAME?</v>
      </c>
      <c r="F1059" s="1" t="e">
        <f t="array" aca="1" ref="F1059" ca="1">_xludf.XLOOKUP(C1059,'country region mapping'!$A$2:$A$267,'country region mapping'!$G$2:$G$267)</f>
        <v>#NAME?</v>
      </c>
      <c r="G1059" s="1">
        <v>6.2229999999999999</v>
      </c>
      <c r="H1059" s="1">
        <v>7</v>
      </c>
      <c r="I1059" s="1">
        <v>30</v>
      </c>
      <c r="J1059" s="1">
        <v>22</v>
      </c>
      <c r="K1059" s="1">
        <v>9</v>
      </c>
      <c r="L1059" s="1">
        <v>119</v>
      </c>
      <c r="M1059" s="1">
        <v>34</v>
      </c>
      <c r="N1059" s="1">
        <v>115</v>
      </c>
      <c r="O1059" s="1">
        <v>98</v>
      </c>
      <c r="P1059" s="1">
        <v>122</v>
      </c>
      <c r="Q1059" s="1">
        <v>34</v>
      </c>
      <c r="R1059" s="1">
        <v>81</v>
      </c>
      <c r="S1059" s="1">
        <v>98</v>
      </c>
    </row>
    <row r="1060" spans="1:19">
      <c r="A1060" s="1">
        <v>2018</v>
      </c>
      <c r="B1060" s="1">
        <v>37</v>
      </c>
      <c r="C1060" s="1" t="s">
        <v>90</v>
      </c>
      <c r="D1060" s="1" t="e">
        <f t="array" aca="1" ref="D1060" ca="1">_xludf.XLOOKUP(C1060,'country region mapping'!$A$2:$A$250, 'country region mapping'!$E$2:$E$250)</f>
        <v>#NAME?</v>
      </c>
      <c r="E1060" s="1" t="e">
        <f t="array" aca="1" ref="E1060" ca="1">_xludf.XLOOKUP(C1060,'country region mapping'!$A$2:$A$267,'country region mapping'!$F$2:$F$267)</f>
        <v>#NAME?</v>
      </c>
      <c r="F1060" s="1" t="e">
        <f t="array" aca="1" ref="F1060" ca="1">_xludf.XLOOKUP(C1060,'country region mapping'!$A$2:$A$267,'country region mapping'!$G$2:$G$267)</f>
        <v>#NAME?</v>
      </c>
      <c r="G1060" s="1">
        <v>6.1989999999999998</v>
      </c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</row>
    <row r="1061" spans="1:19">
      <c r="A1061" s="1">
        <v>2018</v>
      </c>
      <c r="B1061" s="1">
        <v>38</v>
      </c>
      <c r="C1061" s="1" t="s">
        <v>95</v>
      </c>
      <c r="D1061" s="1" t="e">
        <f t="array" aca="1" ref="D1061" ca="1">_xludf.XLOOKUP(C1061,'country region mapping'!$A$2:$A$250, 'country region mapping'!$E$2:$E$250)</f>
        <v>#NAME?</v>
      </c>
      <c r="E1061" s="1" t="e">
        <f t="array" aca="1" ref="E1061" ca="1">_xludf.XLOOKUP(C1061,'country region mapping'!$A$2:$A$267,'country region mapping'!$F$2:$F$267)</f>
        <v>#NAME?</v>
      </c>
      <c r="F1061" s="1" t="e">
        <f t="array" aca="1" ref="F1061" ca="1">_xludf.XLOOKUP(C1061,'country region mapping'!$A$2:$A$267,'country region mapping'!$G$2:$G$267)</f>
        <v>#NAME?</v>
      </c>
      <c r="G1061" s="1">
        <v>6.1980000000000004</v>
      </c>
      <c r="H1061" s="1">
        <v>31</v>
      </c>
      <c r="I1061" s="1">
        <v>23</v>
      </c>
      <c r="J1061" s="1">
        <v>36</v>
      </c>
      <c r="K1061" s="1">
        <v>46</v>
      </c>
      <c r="L1061" s="1">
        <v>87</v>
      </c>
      <c r="M1061" s="1">
        <v>85</v>
      </c>
      <c r="N1061" s="1">
        <v>124</v>
      </c>
      <c r="O1061" s="1">
        <v>68</v>
      </c>
      <c r="P1061" s="1">
        <v>52</v>
      </c>
      <c r="Q1061" s="1">
        <v>85</v>
      </c>
      <c r="R1061" s="1">
        <v>82</v>
      </c>
      <c r="S1061" s="1">
        <v>124</v>
      </c>
    </row>
    <row r="1062" spans="1:19">
      <c r="A1062" s="1">
        <v>2018</v>
      </c>
      <c r="B1062" s="1">
        <v>39</v>
      </c>
      <c r="C1062" s="1" t="s">
        <v>91</v>
      </c>
      <c r="D1062" s="1" t="e">
        <f t="array" aca="1" ref="D1062" ca="1">_xludf.XLOOKUP(C1062,'country region mapping'!$A$2:$A$250, 'country region mapping'!$E$2:$E$250)</f>
        <v>#NAME?</v>
      </c>
      <c r="E1062" s="1" t="e">
        <f t="array" aca="1" ref="E1062" ca="1">_xludf.XLOOKUP(C1062,'country region mapping'!$A$2:$A$267,'country region mapping'!$F$2:$F$267)</f>
        <v>#NAME?</v>
      </c>
      <c r="F1062" s="1" t="e">
        <f t="array" aca="1" ref="F1062" ca="1">_xludf.XLOOKUP(C1062,'country region mapping'!$A$2:$A$267,'country region mapping'!$G$2:$G$267)</f>
        <v>#NAME?</v>
      </c>
      <c r="G1062" s="1">
        <v>6.1920000000000002</v>
      </c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</row>
    <row r="1063" spans="1:19">
      <c r="A1063" s="1">
        <v>2018</v>
      </c>
      <c r="B1063" s="1">
        <v>40</v>
      </c>
      <c r="C1063" s="1" t="s">
        <v>109</v>
      </c>
      <c r="D1063" s="1" t="e">
        <f t="array" aca="1" ref="D1063" ca="1">_xludf.XLOOKUP(C1063,'country region mapping'!$A$2:$A$250, 'country region mapping'!$E$2:$E$250)</f>
        <v>#NAME?</v>
      </c>
      <c r="E1063" s="1" t="e">
        <f t="array" aca="1" ref="E1063" ca="1">_xludf.XLOOKUP(C1063,'country region mapping'!$A$2:$A$267,'country region mapping'!$F$2:$F$267)</f>
        <v>#NAME?</v>
      </c>
      <c r="F1063" s="1" t="e">
        <f t="array" aca="1" ref="F1063" ca="1">_xludf.XLOOKUP(C1063,'country region mapping'!$A$2:$A$267,'country region mapping'!$G$2:$G$267)</f>
        <v>#NAME?</v>
      </c>
      <c r="G1063" s="1">
        <v>6.1820000000000004</v>
      </c>
      <c r="H1063" s="1">
        <v>27</v>
      </c>
      <c r="I1063" s="1">
        <v>58</v>
      </c>
      <c r="J1063" s="1">
        <v>35</v>
      </c>
      <c r="K1063" s="1">
        <v>42</v>
      </c>
      <c r="L1063" s="1">
        <v>39</v>
      </c>
      <c r="M1063" s="1">
        <v>126</v>
      </c>
      <c r="N1063" s="1">
        <v>43</v>
      </c>
      <c r="O1063" s="1">
        <v>88</v>
      </c>
      <c r="P1063" s="1">
        <v>9</v>
      </c>
      <c r="Q1063" s="1">
        <v>126</v>
      </c>
      <c r="R1063" s="1">
        <v>133</v>
      </c>
      <c r="S1063" s="1">
        <v>137</v>
      </c>
    </row>
    <row r="1064" spans="1:19">
      <c r="A1064" s="1">
        <v>2018</v>
      </c>
      <c r="B1064" s="1">
        <v>41</v>
      </c>
      <c r="C1064" s="1" t="s">
        <v>99</v>
      </c>
      <c r="D1064" s="1" t="e">
        <f t="array" aca="1" ref="D1064" ca="1">_xludf.XLOOKUP(C1064,'country region mapping'!$A$2:$A$250, 'country region mapping'!$E$2:$E$250)</f>
        <v>#NAME?</v>
      </c>
      <c r="E1064" s="1" t="e">
        <f t="array" aca="1" ref="E1064" ca="1">_xludf.XLOOKUP(C1064,'country region mapping'!$A$2:$A$267,'country region mapping'!$F$2:$F$267)</f>
        <v>#NAME?</v>
      </c>
      <c r="F1064" s="1" t="e">
        <f t="array" aca="1" ref="F1064" ca="1">_xludf.XLOOKUP(C1064,'country region mapping'!$A$2:$A$267,'country region mapping'!$G$2:$G$267)</f>
        <v>#NAME?</v>
      </c>
      <c r="G1064" s="1">
        <v>6.1740000000000004</v>
      </c>
      <c r="H1064" s="1">
        <v>89</v>
      </c>
      <c r="I1064" s="1">
        <v>25</v>
      </c>
      <c r="J1064" s="1">
        <v>96</v>
      </c>
      <c r="K1064" s="1">
        <v>87</v>
      </c>
      <c r="L1064" s="1">
        <v>1</v>
      </c>
      <c r="M1064" s="1">
        <v>8</v>
      </c>
      <c r="N1064" s="1">
        <v>16</v>
      </c>
      <c r="O1064" s="1">
        <v>31</v>
      </c>
      <c r="P1064" s="1">
        <v>30</v>
      </c>
      <c r="Q1064" s="1">
        <v>8</v>
      </c>
      <c r="R1064" s="1">
        <v>96</v>
      </c>
      <c r="S1064" s="1">
        <v>32</v>
      </c>
    </row>
    <row r="1065" spans="1:19">
      <c r="A1065" s="1">
        <v>2018</v>
      </c>
      <c r="B1065" s="1">
        <v>42</v>
      </c>
      <c r="C1065" s="1" t="s">
        <v>114</v>
      </c>
      <c r="D1065" s="1" t="e">
        <f t="array" aca="1" ref="D1065" ca="1">_xludf.XLOOKUP(C1065,'country region mapping'!$A$2:$A$250, 'country region mapping'!$E$2:$E$250)</f>
        <v>#NAME?</v>
      </c>
      <c r="E1065" s="1" t="e">
        <f t="array" aca="1" ref="E1065" ca="1">_xludf.XLOOKUP(C1065,'country region mapping'!$A$2:$A$267,'country region mapping'!$F$2:$F$267)</f>
        <v>#NAME?</v>
      </c>
      <c r="F1065" s="1" t="e">
        <f t="array" aca="1" ref="F1065" ca="1">_xludf.XLOOKUP(C1065,'country region mapping'!$A$2:$A$267,'country region mapping'!$G$2:$G$267)</f>
        <v>#NAME?</v>
      </c>
      <c r="G1065" s="1">
        <v>6.149</v>
      </c>
      <c r="H1065" s="1">
        <v>41</v>
      </c>
      <c r="I1065" s="1">
        <v>18</v>
      </c>
      <c r="J1065" s="1">
        <v>31</v>
      </c>
      <c r="K1065" s="1">
        <v>63</v>
      </c>
      <c r="L1065" s="1">
        <v>109</v>
      </c>
      <c r="M1065" s="1">
        <v>114</v>
      </c>
      <c r="N1065" s="1">
        <v>100</v>
      </c>
      <c r="O1065" s="1">
        <v>126</v>
      </c>
      <c r="P1065" s="1">
        <v>35</v>
      </c>
      <c r="Q1065" s="1">
        <v>114</v>
      </c>
      <c r="R1065" s="1">
        <v>102</v>
      </c>
      <c r="S1065" s="1">
        <v>108</v>
      </c>
    </row>
    <row r="1066" spans="1:19">
      <c r="A1066" s="1">
        <v>2018</v>
      </c>
      <c r="B1066" s="1">
        <v>43</v>
      </c>
      <c r="C1066" s="1" t="s">
        <v>75</v>
      </c>
      <c r="D1066" s="1" t="e">
        <f t="array" aca="1" ref="D1066" ca="1">_xludf.XLOOKUP(C1066,'country region mapping'!$A$2:$A$250, 'country region mapping'!$E$2:$E$250)</f>
        <v>#NAME?</v>
      </c>
      <c r="E1066" s="1" t="e">
        <f t="array" aca="1" ref="E1066" ca="1">_xludf.XLOOKUP(C1066,'country region mapping'!$A$2:$A$267,'country region mapping'!$F$2:$F$267)</f>
        <v>#NAME?</v>
      </c>
      <c r="F1066" s="1" t="e">
        <f t="array" aca="1" ref="F1066" ca="1">_xludf.XLOOKUP(C1066,'country region mapping'!$A$2:$A$267,'country region mapping'!$G$2:$G$267)</f>
        <v>#NAME?</v>
      </c>
      <c r="G1066" s="1">
        <v>6.125</v>
      </c>
      <c r="H1066" s="1">
        <v>111</v>
      </c>
      <c r="I1066" s="1">
        <v>55</v>
      </c>
      <c r="J1066" s="1">
        <v>66</v>
      </c>
      <c r="K1066" s="1">
        <v>39</v>
      </c>
      <c r="L1066" s="1">
        <v>51</v>
      </c>
      <c r="M1066" s="1">
        <v>100</v>
      </c>
      <c r="N1066" s="1">
        <v>101</v>
      </c>
      <c r="O1066" s="1">
        <v>13</v>
      </c>
      <c r="P1066" s="1">
        <v>84</v>
      </c>
      <c r="Q1066" s="1">
        <v>100</v>
      </c>
      <c r="R1066" s="1">
        <v>73</v>
      </c>
      <c r="S1066" s="1">
        <v>67</v>
      </c>
    </row>
    <row r="1067" spans="1:19">
      <c r="A1067" s="1">
        <v>2018</v>
      </c>
      <c r="B1067" s="1">
        <v>44</v>
      </c>
      <c r="C1067" s="1" t="s">
        <v>116</v>
      </c>
      <c r="D1067" s="1" t="e">
        <f t="array" aca="1" ref="D1067" ca="1">_xludf.XLOOKUP(C1067,'country region mapping'!$A$2:$A$250, 'country region mapping'!$E$2:$E$250)</f>
        <v>#NAME?</v>
      </c>
      <c r="E1067" s="1" t="e">
        <f t="array" aca="1" ref="E1067" ca="1">_xludf.XLOOKUP(C1067,'country region mapping'!$A$2:$A$267,'country region mapping'!$F$2:$F$267)</f>
        <v>#NAME?</v>
      </c>
      <c r="F1067" s="1" t="e">
        <f t="array" aca="1" ref="F1067" ca="1">_xludf.XLOOKUP(C1067,'country region mapping'!$A$2:$A$267,'country region mapping'!$G$2:$G$267)</f>
        <v>#NAME?</v>
      </c>
      <c r="G1067" s="1">
        <v>6.1180000000000003</v>
      </c>
      <c r="H1067" s="1">
        <v>40</v>
      </c>
      <c r="I1067" s="1">
        <v>7</v>
      </c>
      <c r="J1067" s="1">
        <v>30</v>
      </c>
      <c r="K1067" s="1">
        <v>19</v>
      </c>
      <c r="L1067" s="1">
        <v>8</v>
      </c>
      <c r="M1067" s="1">
        <v>56</v>
      </c>
      <c r="N1067" s="1">
        <v>89</v>
      </c>
      <c r="O1067" s="1">
        <v>97</v>
      </c>
      <c r="P1067" s="1">
        <v>63</v>
      </c>
      <c r="Q1067" s="1">
        <v>56</v>
      </c>
      <c r="R1067" s="1">
        <v>37</v>
      </c>
      <c r="S1067" s="1">
        <v>132</v>
      </c>
    </row>
    <row r="1068" spans="1:19">
      <c r="A1068" s="1">
        <v>2018</v>
      </c>
      <c r="B1068" s="1">
        <v>45</v>
      </c>
      <c r="C1068" s="1" t="s">
        <v>98</v>
      </c>
      <c r="D1068" s="1" t="e">
        <f t="array" aca="1" ref="D1068" ca="1">_xludf.XLOOKUP(C1068,'country region mapping'!$A$2:$A$250, 'country region mapping'!$E$2:$E$250)</f>
        <v>#NAME?</v>
      </c>
      <c r="E1068" s="1" t="e">
        <f t="array" aca="1" ref="E1068" ca="1">_xludf.XLOOKUP(C1068,'country region mapping'!$A$2:$A$267,'country region mapping'!$F$2:$F$267)</f>
        <v>#NAME?</v>
      </c>
      <c r="F1068" s="1" t="e">
        <f t="array" aca="1" ref="F1068" ca="1">_xludf.XLOOKUP(C1068,'country region mapping'!$A$2:$A$267,'country region mapping'!$G$2:$G$267)</f>
        <v>#NAME?</v>
      </c>
      <c r="G1068" s="1">
        <v>6.1050000000000004</v>
      </c>
      <c r="H1068" s="1">
        <v>115</v>
      </c>
      <c r="I1068" s="1">
        <v>62</v>
      </c>
      <c r="J1068" s="1">
        <v>100</v>
      </c>
      <c r="K1068" s="1">
        <v>44</v>
      </c>
      <c r="L1068" s="1">
        <v>70</v>
      </c>
      <c r="M1068" s="1">
        <v>61</v>
      </c>
      <c r="N1068" s="1">
        <v>40</v>
      </c>
      <c r="O1068" s="1">
        <v>33</v>
      </c>
      <c r="P1068" s="1">
        <v>124</v>
      </c>
      <c r="Q1068" s="1">
        <v>61</v>
      </c>
      <c r="R1068" s="1">
        <v>46</v>
      </c>
      <c r="S1068" s="1">
        <v>74</v>
      </c>
    </row>
    <row r="1069" spans="1:19">
      <c r="A1069" s="1">
        <v>2018</v>
      </c>
      <c r="B1069" s="1">
        <v>46</v>
      </c>
      <c r="C1069" s="1" t="s">
        <v>135</v>
      </c>
      <c r="D1069" s="1" t="e">
        <f t="array" aca="1" ref="D1069" ca="1">_xludf.XLOOKUP(C1069,'country region mapping'!$A$2:$A$267,'country region mapping'!$E$2:$E$267)</f>
        <v>#NAME?</v>
      </c>
      <c r="E1069" s="1" t="e">
        <f t="array" aca="1" ref="E1069" ca="1">_xludf.XLOOKUP(C1069,'country region mapping'!$A$2:$A$267,'country region mapping'!$F$2:$F$267)</f>
        <v>#NAME?</v>
      </c>
      <c r="F1069" s="1" t="e">
        <f t="array" aca="1" ref="F1069" ca="1">_xludf.XLOOKUP(C1069,'country region mapping'!$A$2:$A$267,'country region mapping'!$G$2:$G$267)</f>
        <v>#NAME?</v>
      </c>
      <c r="G1069" s="1">
        <v>6.1</v>
      </c>
      <c r="H1069" s="1">
        <v>99</v>
      </c>
      <c r="I1069" s="1">
        <v>80</v>
      </c>
      <c r="J1069" s="1">
        <v>88</v>
      </c>
      <c r="K1069" s="1"/>
      <c r="L1069" s="1">
        <v>30</v>
      </c>
      <c r="M1069" s="1">
        <v>12</v>
      </c>
      <c r="N1069" s="1">
        <v>128</v>
      </c>
      <c r="O1069" s="1">
        <v>80</v>
      </c>
      <c r="Q1069" s="14">
        <v>12</v>
      </c>
      <c r="R1069" s="14">
        <v>113</v>
      </c>
      <c r="S1069" s="14">
        <v>25</v>
      </c>
    </row>
    <row r="1070" spans="1:19">
      <c r="A1070" s="1">
        <v>2018</v>
      </c>
      <c r="B1070" s="1">
        <v>47</v>
      </c>
      <c r="C1070" s="1" t="s">
        <v>69</v>
      </c>
      <c r="D1070" s="1" t="e">
        <f t="array" aca="1" ref="D1070" ca="1">_xludf.XLOOKUP(C1070,'country region mapping'!$A$2:$A$250, 'country region mapping'!$E$2:$E$250)</f>
        <v>#NAME?</v>
      </c>
      <c r="E1070" s="1" t="e">
        <f t="array" aca="1" ref="E1070" ca="1">_xludf.XLOOKUP(C1070,'country region mapping'!$A$2:$A$267,'country region mapping'!$F$2:$F$267)</f>
        <v>#NAME?</v>
      </c>
      <c r="F1070" s="1" t="e">
        <f t="array" aca="1" ref="F1070" ca="1">_xludf.XLOOKUP(C1070,'country region mapping'!$A$2:$A$267,'country region mapping'!$G$2:$G$267)</f>
        <v>#NAME?</v>
      </c>
      <c r="G1070" s="1">
        <v>6.0860000000000003</v>
      </c>
      <c r="H1070" s="1">
        <v>91</v>
      </c>
      <c r="I1070" s="1">
        <v>43</v>
      </c>
      <c r="J1070" s="1">
        <v>48</v>
      </c>
      <c r="K1070" s="1">
        <v>52</v>
      </c>
      <c r="L1070" s="1">
        <v>52</v>
      </c>
      <c r="M1070" s="1">
        <v>116</v>
      </c>
      <c r="N1070" s="1">
        <v>102</v>
      </c>
      <c r="O1070" s="1">
        <v>38</v>
      </c>
      <c r="P1070" s="1">
        <v>91</v>
      </c>
      <c r="Q1070" s="1">
        <v>116</v>
      </c>
      <c r="R1070" s="1">
        <v>88</v>
      </c>
      <c r="S1070" s="1">
        <v>62</v>
      </c>
    </row>
    <row r="1071" spans="1:19">
      <c r="A1071" s="1">
        <v>2018</v>
      </c>
      <c r="B1071" s="1">
        <v>48</v>
      </c>
      <c r="C1071" s="1" t="s">
        <v>128</v>
      </c>
      <c r="D1071" s="1" t="e">
        <f t="array" aca="1" ref="D1071" ca="1">_xludf.XLOOKUP(C1071,'country region mapping'!$A$2:$A$250, 'country region mapping'!$E$2:$E$250)</f>
        <v>#NAME?</v>
      </c>
      <c r="E1071" s="1" t="e">
        <f t="array" aca="1" ref="E1071" ca="1">_xludf.XLOOKUP(C1071,'country region mapping'!$A$2:$A$267,'country region mapping'!$F$2:$F$267)</f>
        <v>#NAME?</v>
      </c>
      <c r="F1071" s="1" t="e">
        <f t="array" aca="1" ref="F1071" ca="1">_xludf.XLOOKUP(C1071,'country region mapping'!$A$2:$A$267,'country region mapping'!$G$2:$G$267)</f>
        <v>#NAME?</v>
      </c>
      <c r="G1071" s="1">
        <v>6.07</v>
      </c>
      <c r="H1071" s="1">
        <v>71</v>
      </c>
      <c r="I1071" s="1">
        <v>83</v>
      </c>
      <c r="J1071" s="1">
        <v>38</v>
      </c>
      <c r="K1071" s="1">
        <v>62</v>
      </c>
      <c r="L1071" s="1">
        <v>53</v>
      </c>
      <c r="M1071" s="1">
        <v>110</v>
      </c>
      <c r="N1071" s="1">
        <v>127</v>
      </c>
      <c r="O1071" s="1">
        <v>77</v>
      </c>
      <c r="P1071" s="1">
        <v>82</v>
      </c>
      <c r="Q1071" s="1">
        <v>110</v>
      </c>
      <c r="R1071" s="1">
        <v>123</v>
      </c>
      <c r="S1071" s="1">
        <v>64</v>
      </c>
    </row>
    <row r="1072" spans="1:19">
      <c r="A1072" s="1">
        <v>2018</v>
      </c>
      <c r="B1072" s="1">
        <v>49</v>
      </c>
      <c r="C1072" s="1" t="s">
        <v>124</v>
      </c>
      <c r="D1072" s="1" t="e">
        <f t="array" aca="1" ref="D1072" ca="1">_xludf.XLOOKUP(C1072,'country region mapping'!$A$2:$A$250, 'country region mapping'!$E$2:$E$250)</f>
        <v>#NAME?</v>
      </c>
      <c r="E1072" s="1" t="e">
        <f t="array" aca="1" ref="E1072" ca="1">_xludf.XLOOKUP(C1072,'country region mapping'!$A$2:$A$267,'country region mapping'!$F$2:$F$267)</f>
        <v>#NAME?</v>
      </c>
      <c r="F1072" s="1" t="e">
        <f t="array" aca="1" ref="F1072" ca="1">_xludf.XLOOKUP(C1072,'country region mapping'!$A$2:$A$267,'country region mapping'!$G$2:$G$267)</f>
        <v>#NAME?</v>
      </c>
      <c r="G1072" s="1">
        <v>6.0460000000000003</v>
      </c>
      <c r="H1072" s="1">
        <v>60</v>
      </c>
      <c r="I1072" s="1">
        <v>78</v>
      </c>
      <c r="J1072" s="1">
        <v>28</v>
      </c>
      <c r="K1072" s="1">
        <v>12</v>
      </c>
      <c r="L1072" s="1">
        <v>71</v>
      </c>
      <c r="M1072" s="1">
        <v>35</v>
      </c>
      <c r="N1072" s="1">
        <v>97</v>
      </c>
      <c r="O1072" s="1">
        <v>72</v>
      </c>
      <c r="P1072" s="1">
        <v>80</v>
      </c>
      <c r="Q1072" s="1">
        <v>35</v>
      </c>
      <c r="R1072" s="1">
        <v>62</v>
      </c>
      <c r="S1072" s="1">
        <v>76</v>
      </c>
    </row>
    <row r="1073" spans="1:19">
      <c r="A1073" s="1">
        <v>2018</v>
      </c>
      <c r="B1073" s="1">
        <v>50</v>
      </c>
      <c r="C1073" s="1" t="s">
        <v>102</v>
      </c>
      <c r="D1073" s="1" t="e">
        <f t="array" aca="1" ref="D1073" ca="1">_xludf.XLOOKUP(C1073,'country region mapping'!$A$2:$A$250, 'country region mapping'!$E$2:$E$250)</f>
        <v>#NAME?</v>
      </c>
      <c r="E1073" s="1" t="e">
        <f t="array" aca="1" ref="E1073" ca="1">_xludf.XLOOKUP(C1073,'country region mapping'!$A$2:$A$267,'country region mapping'!$F$2:$F$267)</f>
        <v>#NAME?</v>
      </c>
      <c r="F1073" s="1" t="e">
        <f t="array" aca="1" ref="F1073" ca="1">_xludf.XLOOKUP(C1073,'country region mapping'!$A$2:$A$267,'country region mapping'!$G$2:$G$267)</f>
        <v>#NAME?</v>
      </c>
      <c r="G1073" s="1">
        <v>6.0279999999999996</v>
      </c>
      <c r="H1073" s="1">
        <v>92</v>
      </c>
      <c r="I1073" s="1">
        <v>64</v>
      </c>
      <c r="J1073" s="1">
        <v>82</v>
      </c>
      <c r="K1073" s="1">
        <v>43</v>
      </c>
      <c r="L1073" s="1">
        <v>40</v>
      </c>
      <c r="M1073" s="1">
        <v>88</v>
      </c>
      <c r="N1073" s="1">
        <v>87</v>
      </c>
      <c r="O1073" s="1">
        <v>4</v>
      </c>
      <c r="P1073" s="1">
        <v>93</v>
      </c>
      <c r="Q1073" s="1">
        <v>88</v>
      </c>
      <c r="R1073" s="1">
        <v>70</v>
      </c>
      <c r="S1073" s="1">
        <v>69</v>
      </c>
    </row>
    <row r="1074" spans="1:19">
      <c r="A1074" s="1">
        <v>2018</v>
      </c>
      <c r="B1074" s="1">
        <v>51</v>
      </c>
      <c r="C1074" s="1" t="s">
        <v>88</v>
      </c>
      <c r="D1074" s="1" t="e">
        <f t="array" aca="1" ref="D1074" ca="1">_xludf.XLOOKUP(C1074,'country region mapping'!$A$2:$A$250, 'country region mapping'!$E$2:$E$250)</f>
        <v>#NAME?</v>
      </c>
      <c r="E1074" s="1" t="e">
        <f t="array" aca="1" ref="E1074" ca="1">_xludf.XLOOKUP(C1074,'country region mapping'!$A$2:$A$267,'country region mapping'!$F$2:$F$267)</f>
        <v>#NAME?</v>
      </c>
      <c r="F1074" s="1" t="e">
        <f t="array" aca="1" ref="F1074" ca="1">_xludf.XLOOKUP(C1074,'country region mapping'!$A$2:$A$267,'country region mapping'!$G$2:$G$267)</f>
        <v>#NAME?</v>
      </c>
      <c r="G1074" s="1">
        <v>6.0209999999999999</v>
      </c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</row>
    <row r="1075" spans="1:19">
      <c r="A1075" s="1">
        <v>2018</v>
      </c>
      <c r="B1075" s="1">
        <v>52</v>
      </c>
      <c r="C1075" s="1" t="s">
        <v>78</v>
      </c>
      <c r="D1075" s="1" t="e">
        <f t="array" aca="1" ref="D1075" ca="1">_xludf.XLOOKUP(C1075,'country region mapping'!$A$2:$A$250, 'country region mapping'!$E$2:$E$250)</f>
        <v>#NAME?</v>
      </c>
      <c r="E1075" s="1" t="e">
        <f t="array" aca="1" ref="E1075" ca="1">_xludf.XLOOKUP(C1075,'country region mapping'!$A$2:$A$267,'country region mapping'!$F$2:$F$267)</f>
        <v>#NAME?</v>
      </c>
      <c r="F1075" s="1" t="e">
        <f t="array" aca="1" ref="F1075" ca="1">_xludf.XLOOKUP(C1075,'country region mapping'!$A$2:$A$267,'country region mapping'!$G$2:$G$267)</f>
        <v>#NAME?</v>
      </c>
      <c r="G1075" s="1">
        <v>6.008</v>
      </c>
      <c r="H1075" s="1">
        <v>55</v>
      </c>
      <c r="I1075" s="1">
        <v>54</v>
      </c>
      <c r="J1075" s="1">
        <v>56</v>
      </c>
      <c r="K1075" s="1">
        <v>45</v>
      </c>
      <c r="L1075" s="1">
        <v>24</v>
      </c>
      <c r="M1075" s="1">
        <v>5</v>
      </c>
      <c r="N1075" s="1">
        <v>120</v>
      </c>
      <c r="O1075" s="1">
        <v>12</v>
      </c>
      <c r="P1075" s="1">
        <v>22</v>
      </c>
      <c r="Q1075" s="1">
        <v>5</v>
      </c>
      <c r="R1075" s="1">
        <v>90</v>
      </c>
      <c r="S1075" s="1">
        <v>115</v>
      </c>
    </row>
    <row r="1076" spans="1:19">
      <c r="A1076" s="1">
        <v>2018</v>
      </c>
      <c r="B1076" s="1">
        <v>53</v>
      </c>
      <c r="C1076" s="1" t="s">
        <v>123</v>
      </c>
      <c r="D1076" s="1" t="e">
        <f t="array" aca="1" ref="D1076" ca="1">_xludf.XLOOKUP(C1076,'country region mapping'!$A$2:$A$250, 'country region mapping'!$E$2:$E$250)</f>
        <v>#NAME?</v>
      </c>
      <c r="E1076" s="1" t="e">
        <f t="array" aca="1" ref="E1076" ca="1">_xludf.XLOOKUP(C1076,'country region mapping'!$A$2:$A$267,'country region mapping'!$F$2:$F$267)</f>
        <v>#NAME?</v>
      </c>
      <c r="F1076" s="1" t="e">
        <f t="array" aca="1" ref="F1076" ca="1">_xludf.XLOOKUP(C1076,'country region mapping'!$A$2:$A$267,'country region mapping'!$G$2:$G$267)</f>
        <v>#NAME?</v>
      </c>
      <c r="G1076" s="1">
        <v>5.94</v>
      </c>
      <c r="H1076" s="1">
        <v>25</v>
      </c>
      <c r="I1076" s="1">
        <v>29</v>
      </c>
      <c r="J1076" s="1">
        <v>39</v>
      </c>
      <c r="K1076" s="1">
        <v>64</v>
      </c>
      <c r="L1076" s="1">
        <v>127</v>
      </c>
      <c r="M1076" s="1">
        <v>106</v>
      </c>
      <c r="N1076" s="1">
        <v>70</v>
      </c>
      <c r="O1076" s="1">
        <v>125</v>
      </c>
      <c r="P1076" s="1">
        <v>20</v>
      </c>
      <c r="Q1076" s="1">
        <v>106</v>
      </c>
      <c r="R1076" s="1">
        <v>134</v>
      </c>
      <c r="S1076" s="1">
        <v>136</v>
      </c>
    </row>
    <row r="1077" spans="1:19">
      <c r="A1077" s="1">
        <v>2018</v>
      </c>
      <c r="B1077" s="1">
        <v>54</v>
      </c>
      <c r="C1077" s="1" t="s">
        <v>110</v>
      </c>
      <c r="D1077" s="1" t="e">
        <f t="array" aca="1" ref="D1077" ca="1">_xludf.XLOOKUP(C1077,'country region mapping'!$A$2:$A$267,'country region mapping'!$E$2:$E$267)</f>
        <v>#NAME?</v>
      </c>
      <c r="E1077" s="1" t="e">
        <f t="array" aca="1" ref="E1077" ca="1">_xludf.XLOOKUP(C1077,'country region mapping'!$A$2:$A$267,'country region mapping'!$F$2:$F$267)</f>
        <v>#NAME?</v>
      </c>
      <c r="F1077" s="1" t="e">
        <f t="array" aca="1" ref="F1077" ca="1">_xludf.XLOOKUP(C1077,'country region mapping'!$A$2:$A$267,'country region mapping'!$G$2:$G$267)</f>
        <v>#NAME?</v>
      </c>
      <c r="G1077" s="1">
        <v>5.8949999999999996</v>
      </c>
      <c r="H1077" s="1">
        <v>50</v>
      </c>
      <c r="I1077" s="1">
        <v>89</v>
      </c>
      <c r="J1077" s="1">
        <v>26</v>
      </c>
      <c r="K1077" s="1">
        <v>3</v>
      </c>
      <c r="L1077" s="1">
        <v>130</v>
      </c>
      <c r="M1077" s="1">
        <v>46</v>
      </c>
      <c r="N1077" s="1">
        <v>68</v>
      </c>
      <c r="O1077" s="1">
        <v>104</v>
      </c>
      <c r="P1077" s="1">
        <v>36</v>
      </c>
      <c r="Q1077" s="1">
        <v>46</v>
      </c>
      <c r="R1077" s="1">
        <v>92</v>
      </c>
      <c r="S1077" s="1">
        <v>131</v>
      </c>
    </row>
    <row r="1078" spans="1:19">
      <c r="A1078" s="1">
        <v>2018</v>
      </c>
      <c r="B1078" s="1">
        <v>55</v>
      </c>
      <c r="C1078" s="1" t="s">
        <v>129</v>
      </c>
      <c r="D1078" s="1" t="e">
        <f t="array" aca="1" ref="D1078" ca="1">_xludf.XLOOKUP(C1078,'country region mapping'!$A$2:$A$250, 'country region mapping'!$E$2:$E$250)</f>
        <v>#NAME?</v>
      </c>
      <c r="E1078" s="1" t="e">
        <f t="array" aca="1" ref="E1078" ca="1">_xludf.XLOOKUP(C1078,'country region mapping'!$A$2:$A$267,'country region mapping'!$F$2:$F$267)</f>
        <v>#NAME?</v>
      </c>
      <c r="F1078" s="1" t="e">
        <f t="array" aca="1" ref="F1078" ca="1">_xludf.XLOOKUP(C1078,'country region mapping'!$A$2:$A$267,'country region mapping'!$G$2:$G$267)</f>
        <v>#NAME?</v>
      </c>
      <c r="G1078" s="1">
        <v>5.8929999999999998</v>
      </c>
      <c r="H1078" s="1">
        <v>29</v>
      </c>
      <c r="I1078" s="1">
        <v>13</v>
      </c>
      <c r="J1078" s="1">
        <v>32</v>
      </c>
      <c r="K1078" s="1">
        <v>38</v>
      </c>
      <c r="L1078" s="1">
        <v>31</v>
      </c>
      <c r="M1078" s="1">
        <v>69</v>
      </c>
      <c r="N1078" s="1">
        <v>24</v>
      </c>
      <c r="O1078" s="1">
        <v>40</v>
      </c>
      <c r="P1078" s="1">
        <v>6</v>
      </c>
      <c r="Q1078" s="1">
        <v>69</v>
      </c>
      <c r="R1078" s="1">
        <v>85</v>
      </c>
      <c r="S1078" s="1">
        <v>111</v>
      </c>
    </row>
    <row r="1079" spans="1:19">
      <c r="A1079" s="1">
        <v>2018</v>
      </c>
      <c r="B1079" s="1">
        <v>56</v>
      </c>
      <c r="C1079" s="1" t="s">
        <v>130</v>
      </c>
      <c r="D1079" s="1" t="e">
        <f t="array" aca="1" ref="D1079" ca="1">_xludf.XLOOKUP(C1079,'country region mapping'!$A$2:$A$250, 'country region mapping'!$E$2:$E$250)</f>
        <v>#NAME?</v>
      </c>
      <c r="E1079" s="1" t="e">
        <f t="array" aca="1" ref="E1079" ca="1">_xludf.XLOOKUP(C1079,'country region mapping'!$A$2:$A$267,'country region mapping'!$F$2:$F$267)</f>
        <v>#NAME?</v>
      </c>
      <c r="F1079" s="1" t="e">
        <f t="array" aca="1" ref="F1079" ca="1">_xludf.XLOOKUP(C1079,'country region mapping'!$A$2:$A$267,'country region mapping'!$G$2:$G$267)</f>
        <v>#NAME?</v>
      </c>
      <c r="G1079" s="1">
        <v>5.89</v>
      </c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</row>
    <row r="1080" spans="1:19">
      <c r="A1080" s="1">
        <v>2018</v>
      </c>
      <c r="B1080" s="1">
        <v>57</v>
      </c>
      <c r="C1080" s="1" t="s">
        <v>121</v>
      </c>
      <c r="D1080" s="1" t="e">
        <f t="array" aca="1" ref="D1080" ca="1">_xludf.XLOOKUP(C1080,'country region mapping'!$A$2:$A$250, 'country region mapping'!$E$2:$E$250)</f>
        <v>#NAME?</v>
      </c>
      <c r="E1080" s="1" t="e">
        <f t="array" aca="1" ref="E1080" ca="1">_xludf.XLOOKUP(C1080,'country region mapping'!$A$2:$A$267,'country region mapping'!$F$2:$F$267)</f>
        <v>#NAME?</v>
      </c>
      <c r="F1080" s="1" t="e">
        <f t="array" aca="1" ref="F1080" ca="1">_xludf.XLOOKUP(C1080,'country region mapping'!$A$2:$A$267,'country region mapping'!$G$2:$G$267)</f>
        <v>#NAME?</v>
      </c>
      <c r="G1080" s="1">
        <v>5.8879999999999999</v>
      </c>
      <c r="H1080" s="1">
        <v>98</v>
      </c>
      <c r="I1080" s="1">
        <v>35</v>
      </c>
      <c r="J1080" s="1">
        <v>51</v>
      </c>
      <c r="K1080" s="1">
        <v>75</v>
      </c>
      <c r="L1080" s="1">
        <v>41</v>
      </c>
      <c r="M1080" s="1">
        <v>54</v>
      </c>
      <c r="N1080" s="1">
        <v>62</v>
      </c>
      <c r="O1080" s="1">
        <v>53</v>
      </c>
      <c r="P1080" s="1">
        <v>3</v>
      </c>
      <c r="Q1080" s="1">
        <v>54</v>
      </c>
      <c r="R1080" s="1">
        <v>40</v>
      </c>
      <c r="S1080" s="1">
        <v>110</v>
      </c>
    </row>
    <row r="1081" spans="1:19">
      <c r="A1081" s="1">
        <v>2018</v>
      </c>
      <c r="B1081" s="1">
        <v>58</v>
      </c>
      <c r="C1081" s="1" t="s">
        <v>104</v>
      </c>
      <c r="D1081" s="1" t="e">
        <f t="array" aca="1" ref="D1081" ca="1">_xludf.XLOOKUP(C1081,'country region mapping'!$A$2:$A$250, 'country region mapping'!$E$2:$E$250)</f>
        <v>#NAME?</v>
      </c>
      <c r="E1081" s="1" t="e">
        <f t="array" aca="1" ref="E1081" ca="1">_xludf.XLOOKUP(C1081,'country region mapping'!$A$2:$A$267,'country region mapping'!$F$2:$F$267)</f>
        <v>#NAME?</v>
      </c>
      <c r="F1081" s="1" t="e">
        <f t="array" aca="1" ref="F1081" ca="1">_xludf.XLOOKUP(C1081,'country region mapping'!$A$2:$A$267,'country region mapping'!$G$2:$G$267)</f>
        <v>#NAME?</v>
      </c>
      <c r="G1081" s="1">
        <v>5.8860000000000001</v>
      </c>
      <c r="H1081" s="1">
        <v>38</v>
      </c>
      <c r="I1081" s="1">
        <v>50</v>
      </c>
      <c r="J1081" s="1">
        <v>27</v>
      </c>
      <c r="K1081" s="1">
        <v>2</v>
      </c>
      <c r="L1081" s="1">
        <v>79</v>
      </c>
      <c r="M1081" s="1">
        <v>118</v>
      </c>
      <c r="N1081" s="1">
        <v>32</v>
      </c>
      <c r="O1081" s="1">
        <v>78</v>
      </c>
      <c r="P1081" s="1">
        <v>12</v>
      </c>
      <c r="Q1081" s="1">
        <v>118</v>
      </c>
      <c r="R1081" s="1">
        <v>107</v>
      </c>
      <c r="S1081" s="1">
        <v>140</v>
      </c>
    </row>
    <row r="1082" spans="1:19">
      <c r="A1082" s="1">
        <v>2018</v>
      </c>
      <c r="B1082" s="1">
        <v>59</v>
      </c>
      <c r="C1082" s="1" t="s">
        <v>167</v>
      </c>
      <c r="D1082" s="1" t="e">
        <f t="array" aca="1" ref="D1082" ca="1">_xludf.XLOOKUP(C1082,'country region mapping'!$A$2:$A$250, 'country region mapping'!$E$2:$E$250)</f>
        <v>#NAME?</v>
      </c>
      <c r="E1082" s="1" t="e">
        <f t="array" aca="1" ref="E1082" ca="1">_xludf.XLOOKUP(C1082,'country region mapping'!$A$2:$A$267,'country region mapping'!$F$2:$F$267)</f>
        <v>#NAME?</v>
      </c>
      <c r="F1082" s="1" t="e">
        <f t="array" aca="1" ref="F1082" ca="1">_xludf.XLOOKUP(C1082,'country region mapping'!$A$2:$A$267,'country region mapping'!$G$2:$G$267)</f>
        <v>#NAME?</v>
      </c>
      <c r="G1082" s="1">
        <v>5.86</v>
      </c>
      <c r="H1082" s="1">
        <v>133</v>
      </c>
      <c r="I1082" s="1">
        <v>77</v>
      </c>
      <c r="J1082" s="1">
        <v>104</v>
      </c>
      <c r="K1082" s="1">
        <v>91</v>
      </c>
      <c r="L1082" s="1">
        <v>38</v>
      </c>
      <c r="M1082" s="1">
        <v>38</v>
      </c>
      <c r="N1082" s="1">
        <v>73</v>
      </c>
      <c r="O1082" s="1">
        <v>3</v>
      </c>
      <c r="P1082" s="1">
        <v>71</v>
      </c>
      <c r="Q1082" s="1">
        <v>38</v>
      </c>
      <c r="R1082" s="1">
        <v>21</v>
      </c>
      <c r="S1082" s="1">
        <v>36</v>
      </c>
    </row>
    <row r="1083" spans="1:19">
      <c r="A1083" s="1">
        <v>2018</v>
      </c>
      <c r="B1083" s="1">
        <v>60</v>
      </c>
      <c r="C1083" s="1" t="s">
        <v>106</v>
      </c>
      <c r="D1083" s="1" t="e">
        <f t="array" aca="1" ref="D1083" ca="1">_xludf.XLOOKUP(C1083,'country region mapping'!$A$2:$A$250, 'country region mapping'!$E$2:$E$250)</f>
        <v>#NAME?</v>
      </c>
      <c r="E1083" s="1" t="e">
        <f t="array" aca="1" ref="E1083" ca="1">_xludf.XLOOKUP(C1083,'country region mapping'!$A$2:$A$267,'country region mapping'!$F$2:$F$267)</f>
        <v>#NAME?</v>
      </c>
      <c r="F1083" s="1" t="e">
        <f t="array" aca="1" ref="F1083" ca="1">_xludf.XLOOKUP(C1083,'country region mapping'!$A$2:$A$267,'country region mapping'!$G$2:$G$267)</f>
        <v>#NAME?</v>
      </c>
      <c r="G1083" s="1">
        <v>5.8090000000000002</v>
      </c>
      <c r="H1083" s="1">
        <v>36</v>
      </c>
      <c r="I1083" s="1">
        <v>12</v>
      </c>
      <c r="J1083" s="1">
        <v>43</v>
      </c>
      <c r="K1083" s="1">
        <v>77</v>
      </c>
      <c r="L1083" s="1">
        <v>54</v>
      </c>
      <c r="M1083" s="1">
        <v>60</v>
      </c>
      <c r="N1083" s="1">
        <v>85</v>
      </c>
      <c r="O1083" s="1">
        <v>95</v>
      </c>
      <c r="P1083" s="1">
        <v>5</v>
      </c>
      <c r="Q1083" s="1">
        <v>60</v>
      </c>
      <c r="R1083" s="1">
        <v>126</v>
      </c>
      <c r="S1083" s="1">
        <v>127</v>
      </c>
    </row>
    <row r="1084" spans="1:19">
      <c r="A1084" s="1">
        <v>2018</v>
      </c>
      <c r="B1084" s="1">
        <v>61</v>
      </c>
      <c r="C1084" s="1" t="s">
        <v>112</v>
      </c>
      <c r="D1084" s="1" t="e">
        <f t="array" aca="1" ref="D1084" ca="1">_xludf.XLOOKUP(C1084,'country region mapping'!$A$2:$A$267,'country region mapping'!$E$2:$E$267)</f>
        <v>#NAME?</v>
      </c>
      <c r="E1084" s="1" t="e">
        <f t="array" aca="1" ref="E1084" ca="1">_xludf.XLOOKUP(C1084,'country region mapping'!$A$2:$A$267,'country region mapping'!$F$2:$F$267)</f>
        <v>#NAME?</v>
      </c>
      <c r="F1084" s="1" t="e">
        <f t="array" aca="1" ref="F1084" ca="1">_xludf.XLOOKUP(C1084,'country region mapping'!$A$2:$A$267,'country region mapping'!$G$2:$G$267)</f>
        <v>#NAME?</v>
      </c>
      <c r="G1084" s="1">
        <v>5.7789999999999999</v>
      </c>
      <c r="H1084" s="1">
        <v>72</v>
      </c>
      <c r="I1084" s="1">
        <v>76</v>
      </c>
      <c r="J1084" s="1">
        <v>91</v>
      </c>
      <c r="K1084" s="1">
        <v>82</v>
      </c>
      <c r="L1084" s="1">
        <v>44</v>
      </c>
      <c r="M1084" s="1">
        <v>94</v>
      </c>
      <c r="N1084" s="1">
        <v>63</v>
      </c>
      <c r="O1084" s="1">
        <v>55</v>
      </c>
      <c r="P1084" s="1">
        <v>117</v>
      </c>
      <c r="Q1084" s="1">
        <v>94</v>
      </c>
      <c r="R1084" s="1">
        <v>65</v>
      </c>
      <c r="S1084" s="1">
        <v>84</v>
      </c>
    </row>
    <row r="1085" spans="1:19">
      <c r="A1085" s="1">
        <v>2018</v>
      </c>
      <c r="B1085" s="1">
        <v>62</v>
      </c>
      <c r="C1085" s="1" t="s">
        <v>151</v>
      </c>
      <c r="D1085" s="1" t="e">
        <f t="array" aca="1" ref="D1085" ca="1">_xludf.XLOOKUP(C1085,'country region mapping'!$A$2:$A$250, 'country region mapping'!$E$2:$E$250)</f>
        <v>#NAME?</v>
      </c>
      <c r="E1085" s="1" t="e">
        <f t="array" aca="1" ref="E1085" ca="1">_xludf.XLOOKUP(C1085,'country region mapping'!$A$2:$A$267,'country region mapping'!$F$2:$F$267)</f>
        <v>#NAME?</v>
      </c>
      <c r="F1085" s="1" t="e">
        <f t="array" aca="1" ref="F1085" ca="1">_xludf.XLOOKUP(C1085,'country region mapping'!$A$2:$A$267,'country region mapping'!$G$2:$G$267)</f>
        <v>#NAME?</v>
      </c>
      <c r="G1085" s="1">
        <v>5.758</v>
      </c>
      <c r="H1085" s="1">
        <v>32</v>
      </c>
      <c r="I1085" s="1">
        <v>8</v>
      </c>
      <c r="J1085" s="1">
        <v>37</v>
      </c>
      <c r="K1085" s="1">
        <v>57</v>
      </c>
      <c r="L1085" s="1">
        <v>112</v>
      </c>
      <c r="M1085" s="1">
        <v>122</v>
      </c>
      <c r="N1085" s="1">
        <v>125</v>
      </c>
      <c r="O1085" s="1">
        <v>99</v>
      </c>
      <c r="P1085" s="1">
        <v>25</v>
      </c>
      <c r="Q1085" s="1">
        <v>122</v>
      </c>
      <c r="R1085" s="1">
        <v>140</v>
      </c>
      <c r="S1085" s="1">
        <v>133</v>
      </c>
    </row>
    <row r="1086" spans="1:19">
      <c r="A1086" s="1">
        <v>2018</v>
      </c>
      <c r="B1086" s="1">
        <v>63</v>
      </c>
      <c r="C1086" s="1" t="s">
        <v>126</v>
      </c>
      <c r="D1086" s="1" t="e">
        <f t="array" aca="1" ref="D1086" ca="1">_xludf.XLOOKUP(C1086,'country region mapping'!$A$2:$A$250, 'country region mapping'!$E$2:$E$250)</f>
        <v>#NAME?</v>
      </c>
      <c r="E1086" s="1" t="e">
        <f t="array" aca="1" ref="E1086" ca="1">_xludf.XLOOKUP(C1086,'country region mapping'!$A$2:$A$267,'country region mapping'!$F$2:$F$267)</f>
        <v>#NAME?</v>
      </c>
      <c r="F1086" s="1" t="e">
        <f t="array" aca="1" ref="F1086" ca="1">_xludf.XLOOKUP(C1086,'country region mapping'!$A$2:$A$267,'country region mapping'!$G$2:$G$267)</f>
        <v>#NAME?</v>
      </c>
      <c r="G1086" s="1">
        <v>5.7430000000000003</v>
      </c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</row>
    <row r="1087" spans="1:19">
      <c r="A1087" s="1">
        <v>2018</v>
      </c>
      <c r="B1087" s="1">
        <v>65</v>
      </c>
      <c r="C1087" s="1" t="s">
        <v>118</v>
      </c>
      <c r="D1087" s="1" t="e">
        <f t="array" aca="1" ref="D1087" ca="1">_xludf.XLOOKUP(C1087,'country region mapping'!$A$2:$A$250, 'country region mapping'!$E$2:$E$250)</f>
        <v>#NAME?</v>
      </c>
      <c r="E1087" s="1" t="e">
        <f t="array" aca="1" ref="E1087" ca="1">_xludf.XLOOKUP(C1087,'country region mapping'!$A$2:$A$267,'country region mapping'!$F$2:$F$267)</f>
        <v>#NAME?</v>
      </c>
      <c r="F1087" s="1" t="e">
        <f t="array" aca="1" ref="F1087" ca="1">_xludf.XLOOKUP(C1087,'country region mapping'!$A$2:$A$267,'country region mapping'!$G$2:$G$267)</f>
        <v>#NAME?</v>
      </c>
      <c r="G1087" s="1">
        <v>5.6970000000000001</v>
      </c>
      <c r="H1087" s="1">
        <v>112</v>
      </c>
      <c r="I1087" s="1">
        <v>69</v>
      </c>
      <c r="J1087" s="1">
        <v>71</v>
      </c>
      <c r="K1087" s="1">
        <v>31</v>
      </c>
      <c r="L1087" s="1">
        <v>56</v>
      </c>
      <c r="M1087" s="1">
        <v>120</v>
      </c>
      <c r="N1087" s="1">
        <v>119</v>
      </c>
      <c r="O1087" s="1">
        <v>11</v>
      </c>
      <c r="P1087" s="1">
        <v>114</v>
      </c>
      <c r="Q1087" s="1">
        <v>120</v>
      </c>
      <c r="R1087" s="1">
        <v>67</v>
      </c>
      <c r="S1087" s="1">
        <v>68</v>
      </c>
    </row>
    <row r="1088" spans="1:19">
      <c r="A1088" s="1">
        <v>2018</v>
      </c>
      <c r="B1088" s="1">
        <v>66</v>
      </c>
      <c r="C1088" s="1" t="s">
        <v>155</v>
      </c>
      <c r="D1088" s="1" t="e">
        <f t="array" aca="1" ref="D1088" ca="1">_xludf.XLOOKUP(C1088,'country region mapping'!$A$2:$A$250, 'country region mapping'!$E$2:$E$250)</f>
        <v>#NAME?</v>
      </c>
      <c r="E1088" s="1" t="e">
        <f t="array" aca="1" ref="E1088" ca="1">_xludf.XLOOKUP(C1088,'country region mapping'!$A$2:$A$267,'country region mapping'!$F$2:$F$267)</f>
        <v>#NAME?</v>
      </c>
      <c r="F1088" s="1" t="e">
        <f t="array" aca="1" ref="F1088" ca="1">_xludf.XLOOKUP(C1088,'country region mapping'!$A$2:$A$267,'country region mapping'!$G$2:$G$267)</f>
        <v>#NAME?</v>
      </c>
      <c r="G1088" s="1">
        <v>5.6929999999999996</v>
      </c>
      <c r="H1088" s="1">
        <v>68</v>
      </c>
      <c r="I1088" s="1">
        <v>48</v>
      </c>
      <c r="J1088" s="1">
        <v>33</v>
      </c>
      <c r="K1088" s="1">
        <v>23</v>
      </c>
      <c r="L1088" s="1">
        <v>34</v>
      </c>
      <c r="M1088" s="1">
        <v>127</v>
      </c>
      <c r="N1088" s="1">
        <v>112</v>
      </c>
      <c r="O1088" s="1">
        <v>79</v>
      </c>
      <c r="P1088" s="1">
        <v>89</v>
      </c>
      <c r="Q1088" s="1">
        <v>127</v>
      </c>
      <c r="R1088" s="1">
        <v>104</v>
      </c>
      <c r="S1088" s="1">
        <v>102</v>
      </c>
    </row>
    <row r="1089" spans="1:19">
      <c r="A1089" s="1">
        <v>2018</v>
      </c>
      <c r="B1089" s="1">
        <v>67</v>
      </c>
      <c r="C1089" s="1" t="s">
        <v>152</v>
      </c>
      <c r="D1089" s="1" t="e">
        <f t="array" aca="1" ref="D1089" ca="1">_xludf.XLOOKUP(C1089,'country region mapping'!$A$2:$A$250, 'country region mapping'!$E$2:$E$250)</f>
        <v>#NAME?</v>
      </c>
      <c r="E1089" s="1" t="e">
        <f t="array" aca="1" ref="E1089" ca="1">_xludf.XLOOKUP(C1089,'country region mapping'!$A$2:$A$267,'country region mapping'!$F$2:$F$267)</f>
        <v>#NAME?</v>
      </c>
      <c r="F1089" s="1" t="e">
        <f t="array" aca="1" ref="F1089" ca="1">_xludf.XLOOKUP(C1089,'country region mapping'!$A$2:$A$267,'country region mapping'!$G$2:$G$267)</f>
        <v>#NAME?</v>
      </c>
      <c r="G1089" s="1">
        <v>5.6529999999999996</v>
      </c>
      <c r="H1089" s="1">
        <v>84</v>
      </c>
      <c r="I1089" s="1">
        <v>117</v>
      </c>
      <c r="J1089" s="1">
        <v>111</v>
      </c>
      <c r="K1089" s="1">
        <v>107</v>
      </c>
      <c r="L1089" s="1">
        <v>81</v>
      </c>
      <c r="M1089" s="1">
        <v>44</v>
      </c>
      <c r="N1089" s="1">
        <v>69</v>
      </c>
      <c r="O1089" s="1">
        <v>131</v>
      </c>
      <c r="P1089" s="1">
        <v>112</v>
      </c>
      <c r="Q1089" s="1">
        <v>44</v>
      </c>
      <c r="R1089" s="1">
        <v>119</v>
      </c>
      <c r="S1089" s="1">
        <v>86</v>
      </c>
    </row>
    <row r="1090" spans="1:19">
      <c r="A1090" s="1">
        <v>2018</v>
      </c>
      <c r="B1090" s="1">
        <v>68</v>
      </c>
      <c r="C1090" s="1" t="s">
        <v>108</v>
      </c>
      <c r="D1090" s="1" t="e">
        <f t="array" aca="1" ref="D1090" ca="1">_xludf.XLOOKUP(C1090,'country region mapping'!$A$2:$A$250, 'country region mapping'!$E$2:$E$250)</f>
        <v>#NAME?</v>
      </c>
      <c r="E1090" s="1" t="e">
        <f t="array" aca="1" ref="E1090" ca="1">_xludf.XLOOKUP(C1090,'country region mapping'!$A$2:$A$267,'country region mapping'!$F$2:$F$267)</f>
        <v>#NAME?</v>
      </c>
      <c r="F1090" s="1" t="e">
        <f t="array" aca="1" ref="F1090" ca="1">_xludf.XLOOKUP(C1090,'country region mapping'!$A$2:$A$267,'country region mapping'!$G$2:$G$267)</f>
        <v>#NAME?</v>
      </c>
      <c r="G1090" s="1">
        <v>5.6479999999999997</v>
      </c>
      <c r="H1090" s="1">
        <v>70</v>
      </c>
      <c r="I1090" s="1">
        <v>36</v>
      </c>
      <c r="J1090" s="1">
        <v>34</v>
      </c>
      <c r="K1090" s="1">
        <v>84</v>
      </c>
      <c r="L1090" s="1">
        <v>97</v>
      </c>
      <c r="M1090" s="1">
        <v>81</v>
      </c>
      <c r="N1090" s="1">
        <v>108</v>
      </c>
      <c r="O1090" s="1">
        <v>91</v>
      </c>
      <c r="P1090" s="1">
        <v>23</v>
      </c>
      <c r="Q1090" s="1">
        <v>81</v>
      </c>
      <c r="R1090" s="1">
        <v>106</v>
      </c>
      <c r="S1090" s="1">
        <v>94</v>
      </c>
    </row>
    <row r="1091" spans="1:19">
      <c r="A1091" s="1">
        <v>2018</v>
      </c>
      <c r="B1091" s="1">
        <v>69</v>
      </c>
      <c r="C1091" s="1" t="s">
        <v>141</v>
      </c>
      <c r="D1091" s="1" t="e">
        <f t="array" aca="1" ref="D1091" ca="1">_xludf.XLOOKUP(C1091,'country region mapping'!$A$2:$A$250, 'country region mapping'!$E$2:$E$250)</f>
        <v>#NAME?</v>
      </c>
      <c r="E1091" s="1" t="e">
        <f t="array" aca="1" ref="E1091" ca="1">_xludf.XLOOKUP(C1091,'country region mapping'!$A$2:$A$267,'country region mapping'!$F$2:$F$267)</f>
        <v>#NAME?</v>
      </c>
      <c r="F1091" s="1" t="e">
        <f t="array" aca="1" ref="F1091" ca="1">_xludf.XLOOKUP(C1091,'country region mapping'!$A$2:$A$267,'country region mapping'!$G$2:$G$267)</f>
        <v>#NAME?</v>
      </c>
      <c r="G1091" s="1">
        <v>5.6310000000000002</v>
      </c>
      <c r="H1091" s="1">
        <v>113</v>
      </c>
      <c r="I1091" s="1">
        <v>68</v>
      </c>
      <c r="J1091" s="1">
        <v>94</v>
      </c>
      <c r="K1091" s="1">
        <v>93</v>
      </c>
      <c r="L1091" s="1">
        <v>17</v>
      </c>
      <c r="M1091" s="1">
        <v>99</v>
      </c>
      <c r="N1091" s="1">
        <v>44</v>
      </c>
      <c r="O1091" s="1">
        <v>23</v>
      </c>
      <c r="P1091" s="1">
        <v>119</v>
      </c>
      <c r="Q1091" s="1">
        <v>99</v>
      </c>
      <c r="R1091" s="1">
        <v>16</v>
      </c>
      <c r="S1091" s="1">
        <v>42</v>
      </c>
    </row>
    <row r="1092" spans="1:19">
      <c r="A1092" s="1">
        <v>2018</v>
      </c>
      <c r="B1092" s="1">
        <v>70</v>
      </c>
      <c r="C1092" s="1" t="s">
        <v>145</v>
      </c>
      <c r="D1092" s="1" t="e">
        <f t="array" aca="1" ref="D1092" ca="1">_xludf.XLOOKUP(C1092,'country region mapping'!$A$2:$A$250, 'country region mapping'!$E$2:$E$250)</f>
        <v>#NAME?</v>
      </c>
      <c r="E1092" s="1" t="e">
        <f t="array" aca="1" ref="E1092" ca="1">_xludf.XLOOKUP(C1092,'country region mapping'!$A$2:$A$267,'country region mapping'!$F$2:$F$267)</f>
        <v>#NAME?</v>
      </c>
      <c r="F1092" s="1" t="e">
        <f t="array" aca="1" ref="F1092" ca="1">_xludf.XLOOKUP(C1092,'country region mapping'!$A$2:$A$267,'country region mapping'!$G$2:$G$267)</f>
        <v>#NAME?</v>
      </c>
      <c r="G1092" s="1">
        <v>5.6029999999999998</v>
      </c>
      <c r="H1092" s="1">
        <v>77</v>
      </c>
      <c r="I1092" s="1">
        <v>63</v>
      </c>
      <c r="J1092" s="1">
        <v>59</v>
      </c>
      <c r="K1092" s="1">
        <v>53</v>
      </c>
      <c r="L1092" s="1">
        <v>94</v>
      </c>
      <c r="M1092" s="1">
        <v>74</v>
      </c>
      <c r="N1092" s="1">
        <v>107</v>
      </c>
      <c r="O1092" s="1">
        <v>123</v>
      </c>
      <c r="P1092" s="1">
        <v>79</v>
      </c>
      <c r="Q1092" s="1">
        <v>74</v>
      </c>
      <c r="R1092" s="1">
        <v>124</v>
      </c>
      <c r="S1092" s="1">
        <v>121</v>
      </c>
    </row>
    <row r="1093" spans="1:19">
      <c r="A1093" s="1">
        <v>2018</v>
      </c>
      <c r="B1093" s="1">
        <v>71</v>
      </c>
      <c r="C1093" s="1" t="s">
        <v>285</v>
      </c>
      <c r="D1093" s="1" t="e">
        <f t="array" aca="1" ref="D1093" ca="1">_xludf.XLOOKUP(C1093,'country region mapping'!$A$2:$A$267,'country region mapping'!$E$2:$E$267)</f>
        <v>#NAME?</v>
      </c>
      <c r="E1093" s="1" t="e">
        <f t="array" aca="1" ref="E1093" ca="1">_xludf.XLOOKUP(C1093,'country region mapping'!$A$2:$A$267,'country region mapping'!$F$2:$F$267)</f>
        <v>#NAME?</v>
      </c>
      <c r="F1093" s="1" t="e">
        <f t="array" aca="1" ref="F1093" ca="1">_xludf.XLOOKUP(C1093,'country region mapping'!$A$2:$A$267,'country region mapping'!$G$2:$G$267)</f>
        <v>#NAME?</v>
      </c>
      <c r="G1093" s="1">
        <v>5.5289999999999999</v>
      </c>
      <c r="H1093" s="1">
        <v>48</v>
      </c>
      <c r="I1093" s="1">
        <v>46</v>
      </c>
      <c r="J1093" s="1">
        <v>83</v>
      </c>
      <c r="K1093" s="1">
        <v>76</v>
      </c>
      <c r="L1093" s="1">
        <v>59</v>
      </c>
      <c r="M1093" s="1">
        <v>78</v>
      </c>
      <c r="N1093" s="1">
        <v>131</v>
      </c>
      <c r="O1093" s="1">
        <v>102</v>
      </c>
      <c r="P1093" s="1">
        <v>59</v>
      </c>
      <c r="Q1093" s="1">
        <v>78</v>
      </c>
      <c r="R1093" s="1">
        <v>115</v>
      </c>
      <c r="S1093" s="1">
        <v>66</v>
      </c>
    </row>
    <row r="1094" spans="1:19">
      <c r="A1094" s="1">
        <v>2018</v>
      </c>
      <c r="B1094" s="1">
        <v>72</v>
      </c>
      <c r="C1094" s="1" t="s">
        <v>122</v>
      </c>
      <c r="D1094" s="1" t="e">
        <f t="array" aca="1" ref="D1094" ca="1">_xludf.XLOOKUP(C1094,'country region mapping'!$A$2:$A$250, 'country region mapping'!$E$2:$E$250)</f>
        <v>#NAME?</v>
      </c>
      <c r="E1094" s="1" t="e">
        <f t="array" aca="1" ref="E1094" ca="1">_xludf.XLOOKUP(C1094,'country region mapping'!$A$2:$A$267,'country region mapping'!$F$2:$F$267)</f>
        <v>#NAME?</v>
      </c>
      <c r="F1094" s="1" t="e">
        <f t="array" aca="1" ref="F1094" ca="1">_xludf.XLOOKUP(C1094,'country region mapping'!$A$2:$A$267,'country region mapping'!$G$2:$G$267)</f>
        <v>#NAME?</v>
      </c>
      <c r="G1094" s="1">
        <v>5.5250000000000004</v>
      </c>
      <c r="H1094" s="1">
        <v>90</v>
      </c>
      <c r="I1094" s="1">
        <v>79</v>
      </c>
      <c r="J1094" s="1">
        <v>68</v>
      </c>
      <c r="K1094" s="1">
        <v>83</v>
      </c>
      <c r="L1094" s="1">
        <v>77</v>
      </c>
      <c r="M1094" s="1">
        <v>80</v>
      </c>
      <c r="N1094" s="1">
        <v>28</v>
      </c>
      <c r="O1094" s="1">
        <v>84</v>
      </c>
      <c r="P1094" s="1">
        <v>121</v>
      </c>
      <c r="Q1094" s="1">
        <v>80</v>
      </c>
      <c r="R1094" s="1">
        <v>69</v>
      </c>
      <c r="S1094" s="1">
        <v>4</v>
      </c>
    </row>
    <row r="1095" spans="1:19">
      <c r="A1095" s="1">
        <v>2018</v>
      </c>
      <c r="B1095" s="1">
        <v>73</v>
      </c>
      <c r="C1095" s="1" t="s">
        <v>147</v>
      </c>
      <c r="D1095" s="1" t="e">
        <f t="array" aca="1" ref="D1095" ca="1">_xludf.XLOOKUP(C1095,'country region mapping'!$A$2:$A$250, 'country region mapping'!$E$2:$E$250)</f>
        <v>#NAME?</v>
      </c>
      <c r="E1095" s="1" t="e">
        <f t="array" aca="1" ref="E1095" ca="1">_xludf.XLOOKUP(C1095,'country region mapping'!$A$2:$A$267,'country region mapping'!$F$2:$F$267)</f>
        <v>#NAME?</v>
      </c>
      <c r="F1095" s="1" t="e">
        <f t="array" aca="1" ref="F1095" ca="1">_xludf.XLOOKUP(C1095,'country region mapping'!$A$2:$A$267,'country region mapping'!$G$2:$G$267)</f>
        <v>#NAME?</v>
      </c>
      <c r="G1095" s="1">
        <v>5.5229999999999997</v>
      </c>
      <c r="H1095" s="1">
        <v>79</v>
      </c>
      <c r="I1095" s="1">
        <v>61</v>
      </c>
      <c r="J1095" s="1">
        <v>52</v>
      </c>
      <c r="K1095" s="1">
        <v>40</v>
      </c>
      <c r="L1095" s="1">
        <v>124</v>
      </c>
      <c r="M1095" s="1">
        <v>49</v>
      </c>
      <c r="N1095" s="1">
        <v>57</v>
      </c>
      <c r="O1095" s="1">
        <v>121</v>
      </c>
      <c r="P1095" s="1">
        <v>100</v>
      </c>
      <c r="Q1095" s="1">
        <v>49</v>
      </c>
      <c r="R1095" s="1">
        <v>114</v>
      </c>
      <c r="S1095" s="1">
        <v>93</v>
      </c>
    </row>
    <row r="1096" spans="1:19">
      <c r="A1096" s="1">
        <v>2018</v>
      </c>
      <c r="B1096" s="1">
        <v>74</v>
      </c>
      <c r="C1096" s="1" t="s">
        <v>162</v>
      </c>
      <c r="D1096" s="1" t="e">
        <f t="array" aca="1" ref="D1096" ca="1">_xludf.XLOOKUP(C1096,'country region mapping'!$A$2:$A$250, 'country region mapping'!$E$2:$E$250)</f>
        <v>#NAME?</v>
      </c>
      <c r="E1096" s="1" t="e">
        <f t="array" aca="1" ref="E1096" ca="1">_xludf.XLOOKUP(C1096,'country region mapping'!$A$2:$A$267,'country region mapping'!$F$2:$F$267)</f>
        <v>#NAME?</v>
      </c>
      <c r="F1096" s="1" t="e">
        <f t="array" aca="1" ref="F1096" ca="1">_xludf.XLOOKUP(C1096,'country region mapping'!$A$2:$A$267,'country region mapping'!$G$2:$G$267)</f>
        <v>#NAME?</v>
      </c>
      <c r="G1096" s="1">
        <v>5.4669999999999996</v>
      </c>
      <c r="H1096" s="1">
        <v>42</v>
      </c>
      <c r="I1096" s="1">
        <v>53</v>
      </c>
      <c r="J1096" s="1">
        <v>120</v>
      </c>
      <c r="K1096" s="1">
        <v>71</v>
      </c>
      <c r="M1096" s="14">
        <v>112</v>
      </c>
      <c r="N1096" s="14">
        <v>19</v>
      </c>
      <c r="O1096" s="14">
        <v>85</v>
      </c>
      <c r="P1096" s="14">
        <v>37</v>
      </c>
      <c r="Q1096" s="14">
        <v>112</v>
      </c>
      <c r="R1096" s="14">
        <v>8</v>
      </c>
      <c r="S1096" s="14">
        <v>30</v>
      </c>
    </row>
    <row r="1097" spans="1:19">
      <c r="A1097" s="1">
        <v>2018</v>
      </c>
      <c r="B1097" s="1">
        <v>75</v>
      </c>
      <c r="C1097" s="1" t="s">
        <v>131</v>
      </c>
      <c r="D1097" s="1" t="e">
        <f t="array" aca="1" ref="D1097" ca="1">_xludf.XLOOKUP(C1097,'country region mapping'!$A$2:$A$250, 'country region mapping'!$E$2:$E$250)</f>
        <v>#NAME?</v>
      </c>
      <c r="E1097" s="1" t="e">
        <f t="array" aca="1" ref="E1097" ca="1">_xludf.XLOOKUP(C1097,'country region mapping'!$A$2:$A$267,'country region mapping'!$F$2:$F$267)</f>
        <v>#NAME?</v>
      </c>
      <c r="F1097" s="1" t="e">
        <f t="array" aca="1" ref="F1097" ca="1">_xludf.XLOOKUP(C1097,'country region mapping'!$A$2:$A$267,'country region mapping'!$G$2:$G$267)</f>
        <v>#NAME?</v>
      </c>
      <c r="G1097" s="1">
        <v>5.4320000000000004</v>
      </c>
      <c r="H1097" s="1">
        <v>24</v>
      </c>
      <c r="I1097" s="1">
        <v>33</v>
      </c>
      <c r="J1097" s="1">
        <v>40</v>
      </c>
      <c r="K1097" s="1">
        <v>36</v>
      </c>
      <c r="L1097" s="1">
        <v>113</v>
      </c>
      <c r="M1097" s="1">
        <v>82</v>
      </c>
      <c r="N1097" s="1">
        <v>129</v>
      </c>
      <c r="O1097" s="1">
        <v>128</v>
      </c>
      <c r="P1097" s="1">
        <v>73</v>
      </c>
      <c r="Q1097" s="1">
        <v>82</v>
      </c>
      <c r="R1097" s="1">
        <v>121</v>
      </c>
      <c r="S1097" s="1">
        <v>126</v>
      </c>
    </row>
    <row r="1098" spans="1:19">
      <c r="A1098" s="1">
        <v>2018</v>
      </c>
      <c r="B1098" s="1">
        <v>76</v>
      </c>
      <c r="C1098" s="1" t="s">
        <v>132</v>
      </c>
      <c r="D1098" s="1" t="e">
        <f t="array" aca="1" ref="D1098" ca="1">_xludf.XLOOKUP(C1098,'country region mapping'!$A$2:$A$267,'country region mapping'!$E$2:$E$267)</f>
        <v>#NAME?</v>
      </c>
      <c r="E1098" s="1" t="e">
        <f t="array" aca="1" ref="E1098" ca="1">_xludf.XLOOKUP(C1098,'country region mapping'!$A$2:$A$267,'country region mapping'!$F$2:$F$267)</f>
        <v>#NAME?</v>
      </c>
      <c r="F1098" s="1" t="e">
        <f t="array" aca="1" ref="F1098" ca="1">_xludf.XLOOKUP(C1098,'country region mapping'!$A$2:$A$267,'country region mapping'!$G$2:$G$267)</f>
        <v>#NAME?</v>
      </c>
      <c r="G1098" s="1">
        <v>5.43</v>
      </c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</row>
    <row r="1099" spans="1:19">
      <c r="A1099" s="1">
        <v>2018</v>
      </c>
      <c r="B1099" s="1">
        <v>77</v>
      </c>
      <c r="C1099" s="1" t="s">
        <v>149</v>
      </c>
      <c r="D1099" s="1" t="e">
        <f t="array" aca="1" ref="D1099" ca="1">_xludf.XLOOKUP(C1099,'country region mapping'!$A$2:$A$250, 'country region mapping'!$E$2:$E$250)</f>
        <v>#NAME?</v>
      </c>
      <c r="E1099" s="1" t="e">
        <f t="array" aca="1" ref="E1099" ca="1">_xludf.XLOOKUP(C1099,'country region mapping'!$A$2:$A$267,'country region mapping'!$F$2:$F$267)</f>
        <v>#NAME?</v>
      </c>
      <c r="F1099" s="1" t="e">
        <f t="array" aca="1" ref="F1099" ca="1">_xludf.XLOOKUP(C1099,'country region mapping'!$A$2:$A$267,'country region mapping'!$G$2:$G$267)</f>
        <v>#NAME?</v>
      </c>
      <c r="G1099" s="1">
        <v>5.4249999999999998</v>
      </c>
      <c r="H1099" s="1">
        <v>139</v>
      </c>
      <c r="I1099" s="1">
        <v>59</v>
      </c>
      <c r="J1099" s="1">
        <v>58</v>
      </c>
      <c r="K1099" s="1">
        <v>78</v>
      </c>
      <c r="L1099" s="1">
        <v>42</v>
      </c>
      <c r="M1099" s="1">
        <v>97</v>
      </c>
      <c r="N1099" s="1">
        <v>52</v>
      </c>
      <c r="O1099" s="1">
        <v>48</v>
      </c>
      <c r="P1099" s="1">
        <v>74</v>
      </c>
      <c r="Q1099" s="1">
        <v>97</v>
      </c>
      <c r="R1099" s="1">
        <v>29</v>
      </c>
      <c r="S1099" s="1">
        <v>49</v>
      </c>
    </row>
    <row r="1100" spans="1:19">
      <c r="A1100" s="1">
        <v>2018</v>
      </c>
      <c r="B1100" s="1">
        <v>78</v>
      </c>
      <c r="C1100" s="1" t="s">
        <v>146</v>
      </c>
      <c r="D1100" s="1" t="e">
        <f t="array" aca="1" ref="D1100" ca="1">_xludf.XLOOKUP(C1100,'country region mapping'!$A$2:$A$250, 'country region mapping'!$E$2:$E$250)</f>
        <v>#NAME?</v>
      </c>
      <c r="E1100" s="1" t="e">
        <f t="array" aca="1" ref="E1100" ca="1">_xludf.XLOOKUP(C1100,'country region mapping'!$A$2:$A$267,'country region mapping'!$F$2:$F$267)</f>
        <v>#NAME?</v>
      </c>
      <c r="F1100" s="1" t="e">
        <f t="array" aca="1" ref="F1100" ca="1">_xludf.XLOOKUP(C1100,'country region mapping'!$A$2:$A$267,'country region mapping'!$G$2:$G$267)</f>
        <v>#NAME?</v>
      </c>
      <c r="G1100" s="1">
        <v>5.3860000000000001</v>
      </c>
      <c r="H1100" s="1">
        <v>45</v>
      </c>
      <c r="I1100" s="1">
        <v>72</v>
      </c>
      <c r="J1100" s="1">
        <v>69</v>
      </c>
      <c r="K1100" s="1">
        <v>47</v>
      </c>
      <c r="L1100" s="1">
        <v>116</v>
      </c>
      <c r="M1100" s="1">
        <v>28</v>
      </c>
      <c r="N1100" s="1">
        <v>126</v>
      </c>
      <c r="O1100" s="1">
        <v>107</v>
      </c>
      <c r="P1100" s="1">
        <v>66</v>
      </c>
      <c r="Q1100" s="1">
        <v>28</v>
      </c>
      <c r="R1100" s="1">
        <v>116</v>
      </c>
      <c r="S1100" s="1">
        <v>90</v>
      </c>
    </row>
    <row r="1101" spans="1:19">
      <c r="A1101" s="1">
        <v>2018</v>
      </c>
      <c r="B1101" s="1">
        <v>79</v>
      </c>
      <c r="C1101" s="1" t="s">
        <v>136</v>
      </c>
      <c r="D1101" s="1" t="e">
        <f t="array" aca="1" ref="D1101" ca="1">_xludf.XLOOKUP(C1101,'country region mapping'!$A$2:$A$250, 'country region mapping'!$E$2:$E$250)</f>
        <v>#NAME?</v>
      </c>
      <c r="E1101" s="1" t="e">
        <f t="array" aca="1" ref="E1101" ca="1">_xludf.XLOOKUP(C1101,'country region mapping'!$A$2:$A$267,'country region mapping'!$F$2:$F$267)</f>
        <v>#NAME?</v>
      </c>
      <c r="F1101" s="1" t="e">
        <f t="array" aca="1" ref="F1101" ca="1">_xludf.XLOOKUP(C1101,'country region mapping'!$A$2:$A$267,'country region mapping'!$G$2:$G$267)</f>
        <v>#NAME?</v>
      </c>
      <c r="G1101" s="1">
        <v>5.3730000000000002</v>
      </c>
      <c r="H1101" s="1">
        <v>62</v>
      </c>
      <c r="I1101" s="1">
        <v>67</v>
      </c>
      <c r="J1101" s="1">
        <v>47</v>
      </c>
      <c r="K1101" s="1">
        <v>48</v>
      </c>
      <c r="L1101" s="1">
        <v>138</v>
      </c>
      <c r="M1101" s="1">
        <v>93</v>
      </c>
      <c r="N1101" s="1">
        <v>75</v>
      </c>
      <c r="O1101" s="1">
        <v>139</v>
      </c>
      <c r="P1101" s="1">
        <v>98</v>
      </c>
      <c r="Q1101" s="1">
        <v>93</v>
      </c>
      <c r="R1101" s="1">
        <v>120</v>
      </c>
      <c r="S1101" s="1">
        <v>48</v>
      </c>
    </row>
    <row r="1102" spans="1:19">
      <c r="A1102" s="1">
        <v>2018</v>
      </c>
      <c r="B1102" s="1">
        <v>80</v>
      </c>
      <c r="C1102" s="1" t="s">
        <v>97</v>
      </c>
      <c r="D1102" s="1" t="e">
        <f t="array" aca="1" ref="D1102" ca="1">_xludf.XLOOKUP(C1102,'country region mapping'!$A$2:$A$250, 'country region mapping'!$E$2:$E$250)</f>
        <v>#NAME?</v>
      </c>
      <c r="E1102" s="1" t="e">
        <f t="array" aca="1" ref="E1102" ca="1">_xludf.XLOOKUP(C1102,'country region mapping'!$A$2:$A$267,'country region mapping'!$F$2:$F$267)</f>
        <v>#NAME?</v>
      </c>
      <c r="F1102" s="1" t="e">
        <f t="array" aca="1" ref="F1102" ca="1">_xludf.XLOOKUP(C1102,'country region mapping'!$A$2:$A$267,'country region mapping'!$G$2:$G$267)</f>
        <v>#NAME?</v>
      </c>
      <c r="G1102" s="1">
        <v>5.3390000000000004</v>
      </c>
      <c r="H1102" s="1">
        <v>16</v>
      </c>
      <c r="I1102" s="1">
        <v>94</v>
      </c>
      <c r="J1102" s="1">
        <v>44</v>
      </c>
      <c r="K1102" s="1">
        <v>67</v>
      </c>
      <c r="L1102" s="1">
        <v>37</v>
      </c>
      <c r="M1102" s="1">
        <v>21</v>
      </c>
      <c r="N1102" s="1">
        <v>117</v>
      </c>
      <c r="O1102" s="1">
        <v>50</v>
      </c>
      <c r="P1102" s="1">
        <v>24</v>
      </c>
      <c r="Q1102" s="1">
        <v>21</v>
      </c>
      <c r="R1102" s="1">
        <v>43</v>
      </c>
      <c r="S1102" s="1">
        <v>26</v>
      </c>
    </row>
    <row r="1103" spans="1:19">
      <c r="A1103" s="1">
        <v>2018</v>
      </c>
      <c r="B1103" s="1">
        <v>81</v>
      </c>
      <c r="C1103" s="1" t="s">
        <v>115</v>
      </c>
      <c r="D1103" s="1" t="e">
        <f t="array" aca="1" ref="D1103" ca="1">_xludf.XLOOKUP(C1103,'country region mapping'!$A$2:$A$250, 'country region mapping'!$E$2:$E$250)</f>
        <v>#NAME?</v>
      </c>
      <c r="E1103" s="1" t="e">
        <f t="array" aca="1" ref="E1103" ca="1">_xludf.XLOOKUP(C1103,'country region mapping'!$A$2:$A$267,'country region mapping'!$F$2:$F$267)</f>
        <v>#NAME?</v>
      </c>
      <c r="F1103" s="1" t="e">
        <f t="array" aca="1" ref="F1103" ca="1">_xludf.XLOOKUP(C1103,'country region mapping'!$A$2:$A$267,'country region mapping'!$G$2:$G$267)</f>
        <v>#NAME?</v>
      </c>
      <c r="G1103" s="1">
        <v>5.3230000000000004</v>
      </c>
      <c r="H1103" s="1">
        <v>21</v>
      </c>
      <c r="I1103" s="1">
        <v>37</v>
      </c>
      <c r="J1103" s="1">
        <v>50</v>
      </c>
      <c r="K1103" s="1">
        <v>69</v>
      </c>
      <c r="L1103" s="1">
        <v>122</v>
      </c>
      <c r="M1103" s="1">
        <v>104</v>
      </c>
      <c r="N1103" s="1">
        <v>41</v>
      </c>
      <c r="O1103" s="1">
        <v>136</v>
      </c>
      <c r="P1103" s="1">
        <v>43</v>
      </c>
      <c r="Q1103" s="1">
        <v>104</v>
      </c>
      <c r="R1103" s="1">
        <v>99</v>
      </c>
      <c r="S1103" s="1">
        <v>135</v>
      </c>
    </row>
    <row r="1104" spans="1:19">
      <c r="A1104" s="1">
        <v>2018</v>
      </c>
      <c r="B1104" s="1">
        <v>82</v>
      </c>
      <c r="C1104" s="1" t="s">
        <v>160</v>
      </c>
      <c r="D1104" s="1" t="e">
        <f t="array" aca="1" ref="D1104" ca="1">_xludf.XLOOKUP(C1104,'country region mapping'!$A$2:$A$250, 'country region mapping'!$E$2:$E$250)</f>
        <v>#NAME?</v>
      </c>
      <c r="E1104" s="1" t="e">
        <f t="array" aca="1" ref="E1104" ca="1">_xludf.XLOOKUP(C1104,'country region mapping'!$A$2:$A$267,'country region mapping'!$F$2:$F$267)</f>
        <v>#NAME?</v>
      </c>
      <c r="F1104" s="1" t="e">
        <f t="array" aca="1" ref="F1104" ca="1">_xludf.XLOOKUP(C1104,'country region mapping'!$A$2:$A$267,'country region mapping'!$G$2:$G$267)</f>
        <v>#NAME?</v>
      </c>
      <c r="G1104" s="1">
        <v>5.2869999999999999</v>
      </c>
      <c r="H1104" s="1">
        <v>51</v>
      </c>
      <c r="I1104" s="1">
        <v>92</v>
      </c>
      <c r="J1104" s="1">
        <v>41</v>
      </c>
      <c r="K1104" s="1">
        <v>21</v>
      </c>
      <c r="L1104" s="1">
        <v>134</v>
      </c>
      <c r="M1104" s="1">
        <v>141</v>
      </c>
      <c r="N1104" s="1">
        <v>106</v>
      </c>
      <c r="O1104" s="1">
        <v>109</v>
      </c>
      <c r="P1104" s="1">
        <v>53</v>
      </c>
      <c r="Q1104" s="1">
        <v>141</v>
      </c>
      <c r="R1104" s="1">
        <v>132</v>
      </c>
      <c r="S1104" s="1">
        <v>112</v>
      </c>
    </row>
    <row r="1105" spans="1:19">
      <c r="A1105" s="1">
        <v>2018</v>
      </c>
      <c r="B1105" s="1">
        <v>83</v>
      </c>
      <c r="C1105" s="1" t="s">
        <v>163</v>
      </c>
      <c r="D1105" s="1" t="e">
        <f t="array" aca="1" ref="D1105" ca="1">_xludf.XLOOKUP(C1105,'country region mapping'!$A$2:$A$250, 'country region mapping'!$E$2:$E$250)</f>
        <v>#NAME?</v>
      </c>
      <c r="E1105" s="1" t="e">
        <f t="array" aca="1" ref="E1105" ca="1">_xludf.XLOOKUP(C1105,'country region mapping'!$A$2:$A$267,'country region mapping'!$F$2:$F$267)</f>
        <v>#NAME?</v>
      </c>
      <c r="F1105" s="1" t="e">
        <f t="array" aca="1" ref="F1105" ca="1">_xludf.XLOOKUP(C1105,'country region mapping'!$A$2:$A$267,'country region mapping'!$G$2:$G$267)</f>
        <v>#NAME?</v>
      </c>
      <c r="G1105" s="1">
        <v>5.2850000000000001</v>
      </c>
      <c r="H1105" s="1">
        <v>46</v>
      </c>
      <c r="I1105" s="1">
        <v>6</v>
      </c>
      <c r="J1105" s="1">
        <v>73</v>
      </c>
      <c r="K1105" s="1">
        <v>92</v>
      </c>
      <c r="L1105" s="1">
        <v>111</v>
      </c>
      <c r="M1105" s="1">
        <v>37</v>
      </c>
      <c r="N1105" s="1">
        <v>98</v>
      </c>
      <c r="O1105" s="1">
        <v>124</v>
      </c>
      <c r="P1105" s="1">
        <v>21</v>
      </c>
      <c r="Q1105" s="1">
        <v>37</v>
      </c>
      <c r="R1105" s="1">
        <v>20</v>
      </c>
      <c r="S1105" s="1">
        <v>107</v>
      </c>
    </row>
    <row r="1106" spans="1:19">
      <c r="A1106" s="1">
        <v>2018</v>
      </c>
      <c r="B1106" s="1">
        <v>84</v>
      </c>
      <c r="C1106" s="1" t="s">
        <v>156</v>
      </c>
      <c r="D1106" s="1" t="e">
        <f t="array" aca="1" ref="D1106" ca="1">_xludf.XLOOKUP(C1106,'country region mapping'!$A$2:$A$250, 'country region mapping'!$E$2:$E$250)</f>
        <v>#NAME?</v>
      </c>
      <c r="E1106" s="1" t="e">
        <f t="array" aca="1" ref="E1106" ca="1">_xludf.XLOOKUP(C1106,'country region mapping'!$A$2:$A$267,'country region mapping'!$F$2:$F$267)</f>
        <v>#NAME?</v>
      </c>
      <c r="F1106" s="1" t="e">
        <f t="array" aca="1" ref="F1106" ca="1">_xludf.XLOOKUP(C1106,'country region mapping'!$A$2:$A$267,'country region mapping'!$G$2:$G$267)</f>
        <v>#NAME?</v>
      </c>
      <c r="G1106" s="1">
        <v>5.274</v>
      </c>
      <c r="H1106" s="1">
        <v>63</v>
      </c>
      <c r="I1106" s="1">
        <v>66</v>
      </c>
      <c r="J1106" s="1">
        <v>57</v>
      </c>
      <c r="K1106" s="1">
        <v>51</v>
      </c>
      <c r="L1106" s="1">
        <v>91</v>
      </c>
      <c r="M1106" s="1">
        <v>52</v>
      </c>
      <c r="N1106" s="1">
        <v>123</v>
      </c>
      <c r="O1106" s="1">
        <v>127</v>
      </c>
      <c r="P1106" s="1">
        <v>81</v>
      </c>
      <c r="Q1106" s="1">
        <v>52</v>
      </c>
      <c r="R1106" s="1">
        <v>137</v>
      </c>
      <c r="S1106" s="1">
        <v>125</v>
      </c>
    </row>
    <row r="1107" spans="1:19">
      <c r="A1107" s="1">
        <v>2018</v>
      </c>
      <c r="B1107" s="1">
        <v>85</v>
      </c>
      <c r="C1107" s="1" t="s">
        <v>165</v>
      </c>
      <c r="D1107" s="1" t="e">
        <f t="array" aca="1" ref="D1107" ca="1">_xludf.XLOOKUP(C1107,'country region mapping'!$A$2:$A$250, 'country region mapping'!$E$2:$E$250)</f>
        <v>#NAME?</v>
      </c>
      <c r="E1107" s="1" t="e">
        <f t="array" aca="1" ref="E1107" ca="1">_xludf.XLOOKUP(C1107,'country region mapping'!$A$2:$A$267,'country region mapping'!$F$2:$F$267)</f>
        <v>#NAME?</v>
      </c>
      <c r="F1107" s="1" t="e">
        <f t="array" aca="1" ref="F1107" ca="1">_xludf.XLOOKUP(C1107,'country region mapping'!$A$2:$A$267,'country region mapping'!$G$2:$G$267)</f>
        <v>#NAME?</v>
      </c>
      <c r="G1107" s="1">
        <v>5.2649999999999997</v>
      </c>
      <c r="H1107" s="1">
        <v>106</v>
      </c>
      <c r="I1107" s="1">
        <v>105</v>
      </c>
      <c r="J1107" s="1">
        <v>110</v>
      </c>
      <c r="K1107" s="1">
        <v>124</v>
      </c>
      <c r="L1107" s="1">
        <v>75</v>
      </c>
      <c r="M1107" s="1">
        <v>71</v>
      </c>
      <c r="N1107" s="1">
        <v>109</v>
      </c>
      <c r="O1107" s="1">
        <v>19</v>
      </c>
      <c r="P1107" s="1">
        <v>54</v>
      </c>
      <c r="Q1107" s="1">
        <v>71</v>
      </c>
      <c r="R1107" s="1">
        <v>34</v>
      </c>
      <c r="S1107" s="1">
        <v>3</v>
      </c>
    </row>
    <row r="1108" spans="1:19">
      <c r="A1108" s="1">
        <v>2018</v>
      </c>
      <c r="B1108" s="1">
        <v>86</v>
      </c>
      <c r="C1108" s="1" t="s">
        <v>144</v>
      </c>
      <c r="D1108" s="1" t="e">
        <f t="array" aca="1" ref="D1108" ca="1">_xludf.XLOOKUP(C1108,'country region mapping'!$A$2:$A$250, 'country region mapping'!$E$2:$E$250)</f>
        <v>#NAME?</v>
      </c>
      <c r="E1108" s="1" t="e">
        <f t="array" aca="1" ref="E1108" ca="1">_xludf.XLOOKUP(C1108,'country region mapping'!$A$2:$A$267,'country region mapping'!$F$2:$F$267)</f>
        <v>#NAME?</v>
      </c>
      <c r="F1108" s="1" t="e">
        <f t="array" aca="1" ref="F1108" ca="1">_xludf.XLOOKUP(C1108,'country region mapping'!$A$2:$A$267,'country region mapping'!$G$2:$G$267)</f>
        <v>#NAME?</v>
      </c>
      <c r="G1108" s="1">
        <v>5.2610000000000001</v>
      </c>
      <c r="H1108" s="1">
        <v>37</v>
      </c>
      <c r="I1108" s="1">
        <v>44</v>
      </c>
      <c r="J1108" s="1">
        <v>108</v>
      </c>
      <c r="K1108" s="1">
        <v>73</v>
      </c>
      <c r="L1108" s="1">
        <v>6</v>
      </c>
      <c r="M1108" s="1">
        <v>20</v>
      </c>
      <c r="N1108" s="1">
        <v>122</v>
      </c>
      <c r="O1108" s="1">
        <v>90</v>
      </c>
      <c r="P1108" s="1">
        <v>27</v>
      </c>
      <c r="Q1108" s="1">
        <v>20</v>
      </c>
      <c r="R1108" s="1">
        <v>83</v>
      </c>
      <c r="S1108" s="1">
        <v>47</v>
      </c>
    </row>
    <row r="1109" spans="1:19">
      <c r="A1109" s="1">
        <v>2018</v>
      </c>
      <c r="B1109" s="1">
        <v>87</v>
      </c>
      <c r="C1109" s="1" t="s">
        <v>120</v>
      </c>
      <c r="D1109" s="1" t="e">
        <f t="array" aca="1" ref="D1109" ca="1">_xludf.XLOOKUP(C1109,'country region mapping'!$A$2:$A$250, 'country region mapping'!$E$2:$E$250)</f>
        <v>#NAME?</v>
      </c>
      <c r="E1109" s="1" t="e">
        <f t="array" aca="1" ref="E1109" ca="1">_xludf.XLOOKUP(C1109,'country region mapping'!$A$2:$A$267,'country region mapping'!$F$2:$F$267)</f>
        <v>#NAME?</v>
      </c>
      <c r="F1109" s="1" t="e">
        <f t="array" aca="1" ref="F1109" ca="1">_xludf.XLOOKUP(C1109,'country region mapping'!$A$2:$A$267,'country region mapping'!$G$2:$G$267)</f>
        <v>#NAME?</v>
      </c>
      <c r="G1109" s="1">
        <v>5.2469999999999999</v>
      </c>
      <c r="H1109" s="1">
        <v>1</v>
      </c>
      <c r="I1109" s="1">
        <v>1</v>
      </c>
      <c r="J1109" s="1">
        <v>77</v>
      </c>
      <c r="K1109" s="1">
        <v>96</v>
      </c>
      <c r="L1109" s="1">
        <v>48</v>
      </c>
      <c r="M1109" s="1">
        <v>9</v>
      </c>
      <c r="O1109" s="14">
        <v>108</v>
      </c>
      <c r="P1109" s="14">
        <v>14</v>
      </c>
      <c r="Q1109" s="14">
        <v>9</v>
      </c>
      <c r="R1109" s="14">
        <v>61</v>
      </c>
      <c r="S1109" s="14">
        <v>17</v>
      </c>
    </row>
    <row r="1110" spans="1:19">
      <c r="A1110" s="1">
        <v>2018</v>
      </c>
      <c r="B1110" s="1">
        <v>88</v>
      </c>
      <c r="C1110" s="1" t="s">
        <v>85</v>
      </c>
      <c r="D1110" s="1" t="e">
        <f t="array" aca="1" ref="D1110" ca="1">_xludf.XLOOKUP(C1110,'country region mapping'!$A$2:$A$250, 'country region mapping'!$E$2:$E$250)</f>
        <v>#NAME?</v>
      </c>
      <c r="E1110" s="1" t="e">
        <f t="array" aca="1" ref="E1110" ca="1">_xludf.XLOOKUP(C1110,'country region mapping'!$A$2:$A$267,'country region mapping'!$F$2:$F$267)</f>
        <v>#NAME?</v>
      </c>
      <c r="F1110" s="1" t="e">
        <f t="array" aca="1" ref="F1110" ca="1">_xludf.XLOOKUP(C1110,'country region mapping'!$A$2:$A$267,'country region mapping'!$G$2:$G$267)</f>
        <v>#NAME?</v>
      </c>
      <c r="G1110" s="1">
        <v>5.2110000000000003</v>
      </c>
      <c r="H1110" s="1">
        <v>44</v>
      </c>
      <c r="I1110" s="1">
        <v>88</v>
      </c>
      <c r="J1110" s="1">
        <v>72</v>
      </c>
      <c r="K1110" s="1">
        <v>60</v>
      </c>
      <c r="L1110" s="1">
        <v>133</v>
      </c>
      <c r="M1110" s="1">
        <v>107</v>
      </c>
      <c r="N1110" s="1">
        <v>51</v>
      </c>
      <c r="O1110" s="1">
        <v>117</v>
      </c>
      <c r="P1110" s="1">
        <v>76</v>
      </c>
      <c r="Q1110" s="1">
        <v>107</v>
      </c>
      <c r="R1110" s="1">
        <v>105</v>
      </c>
      <c r="S1110" s="1">
        <v>89</v>
      </c>
    </row>
    <row r="1111" spans="1:19">
      <c r="A1111" s="1">
        <v>2018</v>
      </c>
      <c r="B1111" s="1">
        <v>90</v>
      </c>
      <c r="C1111" s="1" t="s">
        <v>140</v>
      </c>
      <c r="D1111" s="1" t="e">
        <f t="array" aca="1" ref="D1111" ca="1">_xludf.XLOOKUP(C1111,'country region mapping'!$A$2:$A$250, 'country region mapping'!$E$2:$E$250)</f>
        <v>#NAME?</v>
      </c>
      <c r="E1111" s="1" t="e">
        <f t="array" aca="1" ref="E1111" ca="1">_xludf.XLOOKUP(C1111,'country region mapping'!$A$2:$A$267,'country region mapping'!$F$2:$F$267)</f>
        <v>#NAME?</v>
      </c>
      <c r="F1111" s="1" t="e">
        <f t="array" aca="1" ref="F1111" ca="1">_xludf.XLOOKUP(C1111,'country region mapping'!$A$2:$A$267,'country region mapping'!$G$2:$G$267)</f>
        <v>#NAME?</v>
      </c>
      <c r="G1111" s="1">
        <v>5.2080000000000002</v>
      </c>
      <c r="H1111" s="1">
        <v>34</v>
      </c>
      <c r="I1111" s="1">
        <v>97</v>
      </c>
      <c r="J1111" s="1">
        <v>60</v>
      </c>
      <c r="K1111" s="1">
        <v>58</v>
      </c>
      <c r="L1111" s="1">
        <v>82</v>
      </c>
      <c r="M1111" s="1">
        <v>135</v>
      </c>
      <c r="N1111" s="1">
        <v>18</v>
      </c>
      <c r="O1111" s="1">
        <v>122</v>
      </c>
      <c r="P1111" s="1">
        <v>18</v>
      </c>
      <c r="Q1111" s="1">
        <v>135</v>
      </c>
      <c r="R1111" s="1">
        <v>139</v>
      </c>
      <c r="S1111" s="1">
        <v>106</v>
      </c>
    </row>
    <row r="1112" spans="1:19">
      <c r="A1112" s="1">
        <v>2018</v>
      </c>
      <c r="B1112" s="1">
        <v>89</v>
      </c>
      <c r="C1112" s="1" t="s">
        <v>150</v>
      </c>
      <c r="D1112" s="1" t="e">
        <f t="array" aca="1" ref="D1112" ca="1">_xludf.XLOOKUP(C1112,'country region mapping'!$A$2:$A$250, 'country region mapping'!$E$2:$E$250)</f>
        <v>#NAME?</v>
      </c>
      <c r="E1112" s="1" t="e">
        <f t="array" aca="1" ref="E1112" ca="1">_xludf.XLOOKUP(C1112,'country region mapping'!$A$2:$A$267,'country region mapping'!$F$2:$F$267)</f>
        <v>#NAME?</v>
      </c>
      <c r="F1112" s="1" t="e">
        <f t="array" aca="1" ref="F1112" ca="1">_xludf.XLOOKUP(C1112,'country region mapping'!$A$2:$A$267,'country region mapping'!$G$2:$G$267)</f>
        <v>#NAME?</v>
      </c>
      <c r="G1112" s="1">
        <v>5.2080000000000002</v>
      </c>
      <c r="H1112" s="1">
        <v>114</v>
      </c>
      <c r="I1112" s="1">
        <v>136</v>
      </c>
      <c r="J1112" s="1">
        <v>95</v>
      </c>
      <c r="K1112" s="1">
        <v>80</v>
      </c>
      <c r="L1112" s="1">
        <v>80</v>
      </c>
      <c r="M1112" s="1">
        <v>140</v>
      </c>
      <c r="N1112" s="1">
        <v>92</v>
      </c>
      <c r="O1112" s="1">
        <v>105</v>
      </c>
      <c r="P1112" s="1">
        <v>126</v>
      </c>
      <c r="Q1112" s="1">
        <v>140</v>
      </c>
      <c r="R1112" s="1">
        <v>129</v>
      </c>
      <c r="S1112" s="1">
        <v>27</v>
      </c>
    </row>
    <row r="1113" spans="1:19">
      <c r="A1113" s="1">
        <v>2018</v>
      </c>
      <c r="B1113" s="1">
        <v>91</v>
      </c>
      <c r="C1113" s="1" t="s">
        <v>154</v>
      </c>
      <c r="D1113" s="1" t="e">
        <f t="array" aca="1" ref="D1113" ca="1">_xludf.XLOOKUP(C1113,'country region mapping'!$A$2:$A$250, 'country region mapping'!$E$2:$E$250)</f>
        <v>#NAME?</v>
      </c>
      <c r="E1113" s="1" t="e">
        <f t="array" aca="1" ref="E1113" ca="1">_xludf.XLOOKUP(C1113,'country region mapping'!$A$2:$A$267,'country region mapping'!$F$2:$F$267)</f>
        <v>#NAME?</v>
      </c>
      <c r="F1113" s="1" t="e">
        <f t="array" aca="1" ref="F1113" ca="1">_xludf.XLOOKUP(C1113,'country region mapping'!$A$2:$A$267,'country region mapping'!$G$2:$G$267)</f>
        <v>#NAME?</v>
      </c>
      <c r="G1113" s="1">
        <v>5.1970000000000001</v>
      </c>
      <c r="H1113" s="1">
        <v>64</v>
      </c>
      <c r="I1113" s="1">
        <v>75</v>
      </c>
      <c r="J1113" s="1">
        <v>70</v>
      </c>
      <c r="K1113" s="1">
        <v>41</v>
      </c>
      <c r="L1113" s="1">
        <v>128</v>
      </c>
      <c r="M1113" s="1">
        <v>65</v>
      </c>
      <c r="N1113" s="1">
        <v>121</v>
      </c>
      <c r="O1113" s="1">
        <v>134</v>
      </c>
      <c r="P1113" s="1">
        <v>60</v>
      </c>
      <c r="Q1113" s="1">
        <v>65</v>
      </c>
      <c r="R1113" s="1">
        <v>128</v>
      </c>
      <c r="S1113" s="1">
        <v>120</v>
      </c>
    </row>
    <row r="1114" spans="1:19">
      <c r="A1114" s="1">
        <v>2018</v>
      </c>
      <c r="B1114" s="1">
        <v>92</v>
      </c>
      <c r="C1114" s="1" t="s">
        <v>137</v>
      </c>
      <c r="D1114" s="1" t="e">
        <f t="array" aca="1" ref="D1114" ca="1">_xludf.XLOOKUP(C1114,'country region mapping'!$A$2:$A$250, 'country region mapping'!$E$2:$E$250)</f>
        <v>#NAME?</v>
      </c>
      <c r="E1114" s="1" t="e">
        <f t="array" aca="1" ref="E1114" ca="1">_xludf.XLOOKUP(C1114,'country region mapping'!$A$2:$A$267,'country region mapping'!$F$2:$F$267)</f>
        <v>#NAME?</v>
      </c>
      <c r="F1114" s="1" t="e">
        <f t="array" aca="1" ref="F1114" ca="1">_xludf.XLOOKUP(C1114,'country region mapping'!$A$2:$A$267,'country region mapping'!$G$2:$G$267)</f>
        <v>#NAME?</v>
      </c>
      <c r="G1114" s="1">
        <v>5.1920000000000002</v>
      </c>
      <c r="H1114" s="1">
        <v>95</v>
      </c>
      <c r="I1114" s="1">
        <v>85</v>
      </c>
      <c r="J1114" s="1">
        <v>85</v>
      </c>
      <c r="K1114" s="1">
        <v>86</v>
      </c>
      <c r="L1114" s="1">
        <v>33</v>
      </c>
      <c r="M1114" s="1">
        <v>1</v>
      </c>
      <c r="N1114" s="1">
        <v>110</v>
      </c>
      <c r="O1114" s="1">
        <v>8</v>
      </c>
      <c r="P1114" s="1">
        <v>78</v>
      </c>
      <c r="Q1114" s="1">
        <v>1</v>
      </c>
      <c r="R1114" s="1">
        <v>1</v>
      </c>
      <c r="S1114" s="1">
        <v>37</v>
      </c>
    </row>
    <row r="1115" spans="1:19">
      <c r="A1115" s="1">
        <v>2018</v>
      </c>
      <c r="B1115" s="1">
        <v>93</v>
      </c>
      <c r="C1115" s="1" t="s">
        <v>142</v>
      </c>
      <c r="D1115" s="1" t="e">
        <f t="array" aca="1" ref="D1115" ca="1">_xludf.XLOOKUP(C1115,'country region mapping'!$A$2:$A$250, 'country region mapping'!$E$2:$E$250)</f>
        <v>#NAME?</v>
      </c>
      <c r="E1115" s="1" t="e">
        <f t="array" aca="1" ref="E1115" ca="1">_xludf.XLOOKUP(C1115,'country region mapping'!$A$2:$A$267,'country region mapping'!$F$2:$F$267)</f>
        <v>#NAME?</v>
      </c>
      <c r="F1115" s="1" t="e">
        <f t="array" aca="1" ref="F1115" ca="1">_xludf.XLOOKUP(C1115,'country region mapping'!$A$2:$A$267,'country region mapping'!$G$2:$G$267)</f>
        <v>#NAME?</v>
      </c>
      <c r="G1115" s="1">
        <v>5.1909999999999998</v>
      </c>
      <c r="H1115" s="1">
        <v>78</v>
      </c>
      <c r="I1115" s="1">
        <v>95</v>
      </c>
      <c r="J1115" s="1">
        <v>64</v>
      </c>
      <c r="K1115" s="1">
        <v>33</v>
      </c>
      <c r="L1115" s="1">
        <v>28</v>
      </c>
      <c r="M1115" s="1">
        <v>103</v>
      </c>
      <c r="O1115" s="14">
        <v>47</v>
      </c>
      <c r="P1115" s="14">
        <v>16</v>
      </c>
      <c r="Q1115" s="14">
        <v>103</v>
      </c>
      <c r="R1115" s="14">
        <v>122</v>
      </c>
      <c r="S1115" s="14">
        <v>117</v>
      </c>
    </row>
    <row r="1116" spans="1:19">
      <c r="A1116" s="1">
        <v>2018</v>
      </c>
      <c r="B1116" s="1">
        <v>94</v>
      </c>
      <c r="C1116" s="1" t="s">
        <v>157</v>
      </c>
      <c r="D1116" s="1" t="e">
        <f t="array" aca="1" ref="D1116" ca="1">_xludf.XLOOKUP(C1116,'country region mapping'!$A$2:$A$250, 'country region mapping'!$E$2:$E$250)</f>
        <v>#NAME?</v>
      </c>
      <c r="E1116" s="1" t="e">
        <f t="array" aca="1" ref="E1116" ca="1">_xludf.XLOOKUP(C1116,'country region mapping'!$A$2:$A$267,'country region mapping'!$F$2:$F$267)</f>
        <v>#NAME?</v>
      </c>
      <c r="F1116" s="1" t="e">
        <f t="array" aca="1" ref="F1116" ca="1">_xludf.XLOOKUP(C1116,'country region mapping'!$A$2:$A$267,'country region mapping'!$G$2:$G$267)</f>
        <v>#NAME?</v>
      </c>
      <c r="G1116" s="1">
        <v>5.1749999999999998</v>
      </c>
      <c r="H1116" s="1">
        <v>20</v>
      </c>
      <c r="I1116" s="1">
        <v>74</v>
      </c>
      <c r="J1116" s="1">
        <v>89</v>
      </c>
      <c r="K1116" s="1">
        <v>68</v>
      </c>
      <c r="L1116" s="1">
        <v>21</v>
      </c>
      <c r="M1116" s="1">
        <v>75</v>
      </c>
      <c r="N1116" s="1">
        <v>78</v>
      </c>
      <c r="O1116" s="1">
        <v>93</v>
      </c>
      <c r="P1116" s="1">
        <v>17</v>
      </c>
      <c r="Q1116" s="1">
        <v>75</v>
      </c>
      <c r="R1116" s="1">
        <v>94</v>
      </c>
      <c r="S1116" s="1">
        <v>113</v>
      </c>
    </row>
    <row r="1117" spans="1:19">
      <c r="A1117" s="1">
        <v>2018</v>
      </c>
      <c r="B1117" s="1">
        <v>95</v>
      </c>
      <c r="C1117" s="1" t="s">
        <v>143</v>
      </c>
      <c r="D1117" s="1" t="e">
        <f t="array" aca="1" ref="D1117" ca="1">_xludf.XLOOKUP(C1117,'country region mapping'!$A$2:$A$250, 'country region mapping'!$E$2:$E$250)</f>
        <v>#NAME?</v>
      </c>
      <c r="E1117" s="1" t="e">
        <f t="array" aca="1" ref="E1117" ca="1">_xludf.XLOOKUP(C1117,'country region mapping'!$A$2:$A$267,'country region mapping'!$F$2:$F$267)</f>
        <v>#NAME?</v>
      </c>
      <c r="F1117" s="1" t="e">
        <f t="array" aca="1" ref="F1117" ca="1">_xludf.XLOOKUP(C1117,'country region mapping'!$A$2:$A$267,'country region mapping'!$G$2:$G$267)</f>
        <v>#NAME?</v>
      </c>
      <c r="G1117" s="1">
        <v>5.0819999999999999</v>
      </c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</row>
    <row r="1118" spans="1:19">
      <c r="A1118" s="1">
        <v>2018</v>
      </c>
      <c r="B1118" s="1">
        <v>96</v>
      </c>
      <c r="C1118" s="1" t="s">
        <v>182</v>
      </c>
      <c r="D1118" s="1" t="e">
        <f t="array" aca="1" ref="D1118" ca="1">_xludf.XLOOKUP(C1118,'country region mapping'!$A$2:$A$250, 'country region mapping'!$E$2:$E$250)</f>
        <v>#NAME?</v>
      </c>
      <c r="E1118" s="1" t="e">
        <f t="array" aca="1" ref="E1118" ca="1">_xludf.XLOOKUP(C1118,'country region mapping'!$A$2:$A$267,'country region mapping'!$F$2:$F$267)</f>
        <v>#NAME?</v>
      </c>
      <c r="F1118" s="1" t="e">
        <f t="array" aca="1" ref="F1118" ca="1">_xludf.XLOOKUP(C1118,'country region mapping'!$A$2:$A$267,'country region mapping'!$G$2:$G$267)</f>
        <v>#NAME?</v>
      </c>
      <c r="G1118" s="1">
        <v>5.0439999999999996</v>
      </c>
      <c r="H1118" s="1">
        <v>125</v>
      </c>
      <c r="I1118" s="1">
        <v>120</v>
      </c>
      <c r="J1118" s="1">
        <v>113</v>
      </c>
      <c r="K1118" s="1">
        <v>125</v>
      </c>
      <c r="L1118" s="1">
        <v>64</v>
      </c>
      <c r="M1118" s="1">
        <v>66</v>
      </c>
      <c r="N1118" s="1">
        <v>113</v>
      </c>
      <c r="O1118" s="1">
        <v>86</v>
      </c>
      <c r="P1118" s="1">
        <v>101</v>
      </c>
      <c r="Q1118" s="1">
        <v>66</v>
      </c>
      <c r="R1118" s="1">
        <v>57</v>
      </c>
      <c r="S1118" s="1">
        <v>18</v>
      </c>
    </row>
    <row r="1119" spans="1:19">
      <c r="A1119" s="1">
        <v>2018</v>
      </c>
      <c r="B1119" s="1">
        <v>97</v>
      </c>
      <c r="C1119" s="1" t="s">
        <v>205</v>
      </c>
      <c r="D1119" s="1" t="e">
        <f t="array" aca="1" ref="D1119" ca="1">_xludf.XLOOKUP(C1119,'country region mapping'!$A$2:$A$250, 'country region mapping'!$E$2:$E$250)</f>
        <v>#NAME?</v>
      </c>
      <c r="E1119" s="1" t="e">
        <f t="array" aca="1" ref="E1119" ca="1">_xludf.XLOOKUP(C1119,'country region mapping'!$A$2:$A$267,'country region mapping'!$F$2:$F$267)</f>
        <v>#NAME?</v>
      </c>
      <c r="F1119" s="1" t="e">
        <f t="array" aca="1" ref="F1119" ca="1">_xludf.XLOOKUP(C1119,'country region mapping'!$A$2:$A$267,'country region mapping'!$G$2:$G$267)</f>
        <v>#NAME?</v>
      </c>
      <c r="G1119" s="1">
        <v>5.0110000000000001</v>
      </c>
      <c r="H1119" s="1">
        <v>49</v>
      </c>
      <c r="I1119" s="1">
        <v>21</v>
      </c>
      <c r="J1119" s="1">
        <v>49</v>
      </c>
      <c r="K1119" s="1">
        <v>65</v>
      </c>
      <c r="L1119" s="1">
        <v>100</v>
      </c>
      <c r="M1119" s="1">
        <v>98</v>
      </c>
      <c r="N1119" s="1">
        <v>133</v>
      </c>
      <c r="O1119" s="1">
        <v>111</v>
      </c>
      <c r="P1119" s="1">
        <v>15</v>
      </c>
      <c r="Q1119" s="1">
        <v>98</v>
      </c>
      <c r="R1119" s="1">
        <v>138</v>
      </c>
      <c r="S1119" s="1">
        <v>101</v>
      </c>
    </row>
    <row r="1120" spans="1:19">
      <c r="A1120" s="1">
        <v>2018</v>
      </c>
      <c r="B1120" s="1">
        <v>98</v>
      </c>
      <c r="C1120" s="1" t="s">
        <v>197</v>
      </c>
      <c r="D1120" s="1" t="e">
        <f t="array" aca="1" ref="D1120" ca="1">_xludf.XLOOKUP(C1120,'country region mapping'!$A$2:$A$250, 'country region mapping'!$E$2:$E$250)</f>
        <v>#NAME?</v>
      </c>
      <c r="E1120" s="1" t="e">
        <f t="array" aca="1" ref="E1120" ca="1">_xludf.XLOOKUP(C1120,'country region mapping'!$A$2:$A$267,'country region mapping'!$F$2:$F$267)</f>
        <v>#NAME?</v>
      </c>
      <c r="F1120" s="1" t="e">
        <f t="array" aca="1" ref="F1120" ca="1">_xludf.XLOOKUP(C1120,'country region mapping'!$A$2:$A$267,'country region mapping'!$G$2:$G$267)</f>
        <v>#NAME?</v>
      </c>
      <c r="G1120" s="1">
        <v>4.9960000000000004</v>
      </c>
      <c r="H1120" s="1">
        <v>94</v>
      </c>
      <c r="I1120" s="1">
        <v>103</v>
      </c>
      <c r="J1120" s="1">
        <v>103</v>
      </c>
      <c r="K1120" s="1">
        <v>108</v>
      </c>
      <c r="L1120" s="1">
        <v>62</v>
      </c>
      <c r="M1120" s="1">
        <v>45</v>
      </c>
      <c r="N1120" s="1">
        <v>96</v>
      </c>
      <c r="O1120" s="1">
        <v>49</v>
      </c>
      <c r="P1120" s="1">
        <v>49</v>
      </c>
      <c r="Q1120" s="1">
        <v>45</v>
      </c>
      <c r="R1120" s="1">
        <v>15</v>
      </c>
      <c r="S1120" s="1">
        <v>20</v>
      </c>
    </row>
    <row r="1121" spans="1:19">
      <c r="A1121" s="1">
        <v>2018</v>
      </c>
      <c r="B1121" s="1">
        <v>99</v>
      </c>
      <c r="C1121" s="1" t="s">
        <v>220</v>
      </c>
      <c r="D1121" s="1" t="e">
        <f t="array" aca="1" ref="D1121" ca="1">_xludf.XLOOKUP(C1121,'country region mapping'!$A$2:$A$267,'country region mapping'!$E$2:$E$267)</f>
        <v>#NAME?</v>
      </c>
      <c r="E1121" s="1" t="e">
        <f t="array" aca="1" ref="E1121" ca="1">_xludf.XLOOKUP(C1121,'country region mapping'!$A$2:$A$267,'country region mapping'!$F$2:$F$267)</f>
        <v>#NAME?</v>
      </c>
      <c r="F1121" s="1" t="e">
        <f t="array" aca="1" ref="F1121" ca="1">_xludf.XLOOKUP(C1121,'country region mapping'!$A$2:$A$267,'country region mapping'!$G$2:$G$267)</f>
        <v>#NAME?</v>
      </c>
      <c r="G1121" s="1">
        <v>4.944</v>
      </c>
      <c r="H1121" s="1">
        <v>130</v>
      </c>
      <c r="I1121" s="1">
        <v>129</v>
      </c>
      <c r="J1121" s="1">
        <v>109</v>
      </c>
      <c r="K1121" s="1">
        <v>107</v>
      </c>
      <c r="L1121" s="1"/>
      <c r="M1121" s="1">
        <v>91</v>
      </c>
      <c r="N1121" s="1">
        <v>64</v>
      </c>
      <c r="O1121" s="1">
        <v>74</v>
      </c>
      <c r="P1121" s="1">
        <v>115</v>
      </c>
      <c r="Q1121" s="1">
        <v>91</v>
      </c>
      <c r="R1121" s="1">
        <v>95</v>
      </c>
      <c r="S1121" s="1">
        <v>45</v>
      </c>
    </row>
    <row r="1122" spans="1:19">
      <c r="A1122" s="1">
        <v>2018</v>
      </c>
      <c r="B1122" s="1">
        <v>100</v>
      </c>
      <c r="C1122" s="1" t="s">
        <v>172</v>
      </c>
      <c r="D1122" s="1" t="e">
        <f t="array" aca="1" ref="D1122" ca="1">_xludf.XLOOKUP(C1122,'country region mapping'!$A$2:$A$250, 'country region mapping'!$E$2:$E$250)</f>
        <v>#NAME?</v>
      </c>
      <c r="E1122" s="1" t="e">
        <f t="array" aca="1" ref="E1122" ca="1">_xludf.XLOOKUP(C1122,'country region mapping'!$A$2:$A$267,'country region mapping'!$F$2:$F$267)</f>
        <v>#NAME?</v>
      </c>
      <c r="F1122" s="1" t="e">
        <f t="array" aca="1" ref="F1122" ca="1">_xludf.XLOOKUP(C1122,'country region mapping'!$A$2:$A$267,'country region mapping'!$G$2:$G$267)</f>
        <v>#NAME?</v>
      </c>
      <c r="G1122" s="1">
        <v>4.9130000000000003</v>
      </c>
      <c r="H1122" s="1">
        <v>127</v>
      </c>
      <c r="I1122" s="1">
        <v>101</v>
      </c>
      <c r="J1122" s="1">
        <v>114</v>
      </c>
      <c r="K1122" s="1">
        <v>95</v>
      </c>
      <c r="L1122" s="1">
        <v>83</v>
      </c>
      <c r="M1122" s="1">
        <v>41</v>
      </c>
      <c r="N1122" s="1">
        <v>47</v>
      </c>
      <c r="O1122" s="1">
        <v>132</v>
      </c>
      <c r="P1122" s="1">
        <v>116</v>
      </c>
      <c r="Q1122" s="1">
        <v>41</v>
      </c>
      <c r="R1122" s="1">
        <v>30</v>
      </c>
      <c r="S1122" s="1">
        <v>79</v>
      </c>
    </row>
    <row r="1123" spans="1:19">
      <c r="A1123" s="1">
        <v>2018</v>
      </c>
      <c r="B1123" s="1">
        <v>101</v>
      </c>
      <c r="C1123" s="1" t="s">
        <v>138</v>
      </c>
      <c r="D1123" s="1" t="e">
        <f t="array" aca="1" ref="D1123" ca="1">_xludf.XLOOKUP(C1123,'country region mapping'!$A$2:$A$250, 'country region mapping'!$E$2:$E$250)</f>
        <v>#NAME?</v>
      </c>
      <c r="E1123" s="1" t="e">
        <f t="array" aca="1" ref="E1123" ca="1">_xludf.XLOOKUP(C1123,'country region mapping'!$A$2:$A$267,'country region mapping'!$F$2:$F$267)</f>
        <v>#NAME?</v>
      </c>
      <c r="F1123" s="1" t="e">
        <f t="array" aca="1" ref="F1123" ca="1">_xludf.XLOOKUP(C1123,'country region mapping'!$A$2:$A$267,'country region mapping'!$G$2:$G$267)</f>
        <v>#NAME?</v>
      </c>
      <c r="G1123" s="1">
        <v>4.9059999999999997</v>
      </c>
      <c r="H1123" s="1">
        <v>118</v>
      </c>
      <c r="I1123" s="1">
        <v>87</v>
      </c>
      <c r="J1123" s="1">
        <v>93</v>
      </c>
      <c r="K1123" s="1">
        <v>35</v>
      </c>
      <c r="L1123" s="1">
        <v>86</v>
      </c>
      <c r="M1123" s="1">
        <v>129</v>
      </c>
      <c r="Q1123" s="14">
        <v>129</v>
      </c>
      <c r="R1123" s="14">
        <v>136</v>
      </c>
      <c r="S1123" s="14">
        <v>38</v>
      </c>
    </row>
    <row r="1124" spans="1:19">
      <c r="A1124" s="1">
        <v>2018</v>
      </c>
      <c r="B1124" s="1">
        <v>102</v>
      </c>
      <c r="C1124" s="1" t="s">
        <v>244</v>
      </c>
      <c r="D1124" s="1" t="e">
        <f t="array" aca="1" ref="D1124" ca="1">_xludf.XLOOKUP(C1124,'country region mapping'!$A$2:$A$250, 'country region mapping'!$E$2:$E$250)</f>
        <v>#NAME?</v>
      </c>
      <c r="E1124" s="1" t="e">
        <f t="array" aca="1" ref="E1124" ca="1">_xludf.XLOOKUP(C1124,'country region mapping'!$A$2:$A$267,'country region mapping'!$F$2:$F$267)</f>
        <v>#NAME?</v>
      </c>
      <c r="F1124" s="1" t="e">
        <f t="array" aca="1" ref="F1124" ca="1">_xludf.XLOOKUP(C1124,'country region mapping'!$A$2:$A$267,'country region mapping'!$G$2:$G$267)</f>
        <v>#NAME?</v>
      </c>
      <c r="G1124" s="1">
        <v>4.883</v>
      </c>
      <c r="H1124" s="1">
        <v>136</v>
      </c>
      <c r="I1124" s="1">
        <v>140</v>
      </c>
      <c r="J1124" s="1">
        <v>123</v>
      </c>
      <c r="K1124" s="1">
        <v>117</v>
      </c>
      <c r="L1124" s="1">
        <v>106</v>
      </c>
      <c r="M1124" s="1">
        <v>83</v>
      </c>
      <c r="N1124" s="1">
        <v>48</v>
      </c>
      <c r="O1124" s="1">
        <v>87</v>
      </c>
      <c r="P1124" s="1">
        <v>135</v>
      </c>
      <c r="Q1124" s="1">
        <v>83</v>
      </c>
      <c r="R1124" s="1">
        <v>51</v>
      </c>
      <c r="S1124" s="1">
        <v>75</v>
      </c>
    </row>
    <row r="1125" spans="1:19">
      <c r="A1125" s="1">
        <v>2018</v>
      </c>
      <c r="B1125" s="1">
        <v>103</v>
      </c>
      <c r="C1125" s="1" t="s">
        <v>202</v>
      </c>
      <c r="D1125" s="1" t="e">
        <f t="array" aca="1" ref="D1125" ca="1">_xludf.XLOOKUP(C1125,'country region mapping'!$A$2:$A$250, 'country region mapping'!$E$2:$E$250)</f>
        <v>#NAME?</v>
      </c>
      <c r="E1125" s="1" t="e">
        <f t="array" aca="1" ref="E1125" ca="1">_xludf.XLOOKUP(C1125,'country region mapping'!$A$2:$A$267,'country region mapping'!$F$2:$F$267)</f>
        <v>#NAME?</v>
      </c>
      <c r="F1125" s="1" t="e">
        <f t="array" aca="1" ref="F1125" ca="1">_xludf.XLOOKUP(C1125,'country region mapping'!$A$2:$A$267,'country region mapping'!$G$2:$G$267)</f>
        <v>#NAME?</v>
      </c>
      <c r="G1125" s="1">
        <v>4.8120000000000003</v>
      </c>
      <c r="H1125" s="1">
        <v>138</v>
      </c>
      <c r="I1125" s="1">
        <v>130</v>
      </c>
      <c r="J1125" s="1">
        <v>99</v>
      </c>
      <c r="K1125" s="1">
        <v>121</v>
      </c>
      <c r="L1125" s="1">
        <v>110</v>
      </c>
      <c r="M1125" s="1">
        <v>123</v>
      </c>
      <c r="N1125" s="1">
        <v>46</v>
      </c>
      <c r="O1125" s="1">
        <v>106</v>
      </c>
      <c r="P1125" s="1">
        <v>132</v>
      </c>
      <c r="Q1125" s="1">
        <v>123</v>
      </c>
      <c r="R1125" s="1">
        <v>71</v>
      </c>
      <c r="S1125" s="1">
        <v>44</v>
      </c>
    </row>
    <row r="1126" spans="1:19">
      <c r="A1126" s="1">
        <v>2018</v>
      </c>
      <c r="B1126" s="1">
        <v>104</v>
      </c>
      <c r="C1126" s="1" t="s">
        <v>306</v>
      </c>
      <c r="D1126" s="1" t="e">
        <f t="array" aca="1" ref="D1126" ca="1">_xludf.XLOOKUP(C1126,'country region mapping'!$A$2:$A$250, 'country region mapping'!$E$2:$E$250)</f>
        <v>#NAME?</v>
      </c>
      <c r="E1126" s="1" t="e">
        <f t="array" aca="1" ref="E1126" ca="1">_xludf.XLOOKUP(C1126,'country region mapping'!$A$2:$A$267,'country region mapping'!$F$2:$F$267)</f>
        <v>#NAME?</v>
      </c>
      <c r="F1126" s="1" t="e">
        <f t="array" aca="1" ref="F1126" ca="1">_xludf.XLOOKUP(C1126,'country region mapping'!$A$2:$A$267,'country region mapping'!$G$2:$G$267)</f>
        <v>#NAME?</v>
      </c>
      <c r="G1126" s="1">
        <v>4.7990000000000004</v>
      </c>
      <c r="H1126" s="1">
        <v>102</v>
      </c>
      <c r="I1126" s="1">
        <v>96</v>
      </c>
      <c r="J1126" s="1">
        <v>61</v>
      </c>
      <c r="K1126" s="1">
        <v>112</v>
      </c>
      <c r="L1126" s="1">
        <v>103</v>
      </c>
      <c r="M1126" s="1">
        <v>124</v>
      </c>
      <c r="N1126" s="1">
        <v>84</v>
      </c>
      <c r="O1126" s="1">
        <v>92</v>
      </c>
      <c r="P1126" s="1">
        <v>127</v>
      </c>
      <c r="Q1126" s="1">
        <v>124</v>
      </c>
      <c r="R1126" s="1">
        <v>112</v>
      </c>
      <c r="S1126" s="1">
        <v>39</v>
      </c>
    </row>
    <row r="1127" spans="1:19">
      <c r="A1127" s="1">
        <v>2018</v>
      </c>
      <c r="B1127" s="1">
        <v>105</v>
      </c>
      <c r="C1127" s="1" t="s">
        <v>164</v>
      </c>
      <c r="D1127" s="1" t="e">
        <f t="array" aca="1" ref="D1127" ca="1">_xludf.XLOOKUP(C1127,'country region mapping'!$A$2:$A$267,'country region mapping'!$E$2:$E$267)</f>
        <v>#NAME?</v>
      </c>
      <c r="E1127" s="1" t="e">
        <f t="array" aca="1" ref="E1127" ca="1">_xludf.XLOOKUP(C1127,'country region mapping'!$A$2:$A$267,'country region mapping'!$F$2:$F$267)</f>
        <v>#NAME?</v>
      </c>
      <c r="F1127" s="1" t="e">
        <f t="array" aca="1" ref="F1127" ca="1">_xludf.XLOOKUP(C1127,'country region mapping'!$A$2:$A$267,'country region mapping'!$G$2:$G$267)</f>
        <v>#NAME?</v>
      </c>
      <c r="G1127" s="1">
        <v>4.7960000000000003</v>
      </c>
      <c r="H1127" s="1">
        <v>67</v>
      </c>
      <c r="I1127" s="1">
        <v>115</v>
      </c>
      <c r="J1127" s="1">
        <v>97</v>
      </c>
      <c r="K1127" s="1">
        <v>100</v>
      </c>
      <c r="L1127" s="1">
        <v>22</v>
      </c>
      <c r="M1127" s="1">
        <v>31</v>
      </c>
      <c r="N1127" s="1">
        <v>26</v>
      </c>
      <c r="O1127" s="1">
        <v>52</v>
      </c>
      <c r="P1127" s="1">
        <v>94</v>
      </c>
      <c r="Q1127" s="1">
        <v>31</v>
      </c>
      <c r="R1127" s="1">
        <v>91</v>
      </c>
      <c r="S1127" s="1">
        <v>134</v>
      </c>
    </row>
    <row r="1128" spans="1:19">
      <c r="A1128" s="1">
        <v>2018</v>
      </c>
      <c r="B1128" s="1">
        <v>106</v>
      </c>
      <c r="C1128" s="1" t="s">
        <v>185</v>
      </c>
      <c r="D1128" s="1" t="e">
        <f t="array" aca="1" ref="D1128" ca="1">_xludf.XLOOKUP(C1128,'country region mapping'!$A$2:$A$250, 'country region mapping'!$E$2:$E$250)</f>
        <v>#NAME?</v>
      </c>
      <c r="E1128" s="1" t="e">
        <f t="array" aca="1" ref="E1128" ca="1">_xludf.XLOOKUP(C1128,'country region mapping'!$A$2:$A$267,'country region mapping'!$F$2:$F$267)</f>
        <v>#NAME?</v>
      </c>
      <c r="F1128" s="1" t="e">
        <f t="array" aca="1" ref="F1128" ca="1">_xludf.XLOOKUP(C1128,'country region mapping'!$A$2:$A$267,'country region mapping'!$G$2:$G$267)</f>
        <v>#NAME?</v>
      </c>
      <c r="G1128" s="1">
        <v>4.7220000000000004</v>
      </c>
      <c r="H1128" s="1">
        <v>116</v>
      </c>
      <c r="I1128" s="1">
        <v>70</v>
      </c>
      <c r="J1128" s="1">
        <v>79</v>
      </c>
      <c r="K1128" s="1">
        <v>115</v>
      </c>
      <c r="L1128" s="1">
        <v>89</v>
      </c>
      <c r="M1128" s="1">
        <v>64</v>
      </c>
      <c r="N1128" s="1">
        <v>91</v>
      </c>
      <c r="O1128" s="1">
        <v>36</v>
      </c>
      <c r="P1128" s="1">
        <v>69</v>
      </c>
      <c r="Q1128" s="1">
        <v>64</v>
      </c>
      <c r="R1128" s="1">
        <v>33</v>
      </c>
      <c r="S1128" s="1">
        <v>6</v>
      </c>
    </row>
    <row r="1129" spans="1:19">
      <c r="A1129" s="1">
        <v>2018</v>
      </c>
      <c r="B1129" s="1">
        <v>107</v>
      </c>
      <c r="C1129" s="1" t="s">
        <v>174</v>
      </c>
      <c r="D1129" s="1" t="e">
        <f t="array" aca="1" ref="D1129" ca="1">_xludf.XLOOKUP(C1129,'country region mapping'!$A$2:$A$250, 'country region mapping'!$E$2:$E$250)</f>
        <v>#NAME?</v>
      </c>
      <c r="E1129" s="1" t="e">
        <f t="array" aca="1" ref="E1129" ca="1">_xludf.XLOOKUP(C1129,'country region mapping'!$A$2:$A$267,'country region mapping'!$F$2:$F$267)</f>
        <v>#NAME?</v>
      </c>
      <c r="F1129" s="1" t="e">
        <f t="array" aca="1" ref="F1129" ca="1">_xludf.XLOOKUP(C1129,'country region mapping'!$A$2:$A$267,'country region mapping'!$G$2:$G$267)</f>
        <v>#NAME?</v>
      </c>
      <c r="G1129" s="1">
        <v>4.7190000000000003</v>
      </c>
      <c r="H1129" s="1">
        <v>107</v>
      </c>
      <c r="I1129" s="1">
        <v>119</v>
      </c>
      <c r="J1129" s="1">
        <v>76</v>
      </c>
      <c r="K1129" s="1">
        <v>32</v>
      </c>
      <c r="L1129" s="1">
        <v>58</v>
      </c>
      <c r="M1129" s="1">
        <v>42</v>
      </c>
      <c r="N1129" s="1">
        <v>118</v>
      </c>
      <c r="O1129" s="1">
        <v>100</v>
      </c>
      <c r="P1129" s="1">
        <v>90</v>
      </c>
      <c r="Q1129" s="1">
        <v>42</v>
      </c>
      <c r="R1129" s="1">
        <v>125</v>
      </c>
      <c r="S1129" s="1">
        <v>71</v>
      </c>
    </row>
    <row r="1130" spans="1:19">
      <c r="A1130" s="1">
        <v>2018</v>
      </c>
      <c r="B1130" s="1">
        <v>108</v>
      </c>
      <c r="C1130" s="1" t="s">
        <v>93</v>
      </c>
      <c r="D1130" s="1" t="e">
        <f t="array" aca="1" ref="D1130" ca="1">_xludf.XLOOKUP(C1130,'country region mapping'!$A$2:$A$267,'country region mapping'!$E$2:$E$267)</f>
        <v>#NAME?</v>
      </c>
      <c r="E1130" s="1" t="e">
        <f t="array" aca="1" ref="E1130" ca="1">_xludf.XLOOKUP(C1130,'country region mapping'!$A$2:$A$267,'country region mapping'!$F$2:$F$267)</f>
        <v>#NAME?</v>
      </c>
      <c r="F1130" s="1" t="e">
        <f t="array" aca="1" ref="F1130" ca="1">_xludf.XLOOKUP(C1130,'country region mapping'!$A$2:$A$267,'country region mapping'!$G$2:$G$267)</f>
        <v>#NAME?</v>
      </c>
      <c r="G1130" s="1">
        <v>4.7069999999999999</v>
      </c>
      <c r="H1130" s="1">
        <v>123</v>
      </c>
      <c r="I1130" s="1">
        <v>49</v>
      </c>
      <c r="J1130" s="1">
        <v>141</v>
      </c>
      <c r="K1130" s="1">
        <v>81</v>
      </c>
      <c r="L1130" s="1">
        <v>126</v>
      </c>
      <c r="M1130" s="1">
        <v>121</v>
      </c>
      <c r="N1130" s="1">
        <v>86</v>
      </c>
      <c r="O1130" s="1">
        <v>44</v>
      </c>
      <c r="P1130" s="1">
        <v>111</v>
      </c>
      <c r="Q1130" s="1">
        <v>121</v>
      </c>
      <c r="R1130" s="1">
        <v>64</v>
      </c>
      <c r="S1130" s="1">
        <v>33</v>
      </c>
    </row>
    <row r="1131" spans="1:19">
      <c r="A1131" s="1">
        <v>2018</v>
      </c>
      <c r="B1131" s="1">
        <v>109</v>
      </c>
      <c r="C1131" s="1" t="s">
        <v>221</v>
      </c>
      <c r="D1131" s="1" t="e">
        <f t="array" aca="1" ref="D1131" ca="1">_xludf.XLOOKUP(C1131,'country region mapping'!$A$2:$A$250, 'country region mapping'!$E$2:$E$250)</f>
        <v>#NAME?</v>
      </c>
      <c r="E1131" s="1" t="e">
        <f t="array" aca="1" ref="E1131" ca="1">_xludf.XLOOKUP(C1131,'country region mapping'!$A$2:$A$267,'country region mapping'!$F$2:$F$267)</f>
        <v>#NAME?</v>
      </c>
      <c r="F1131" s="1" t="e">
        <f t="array" aca="1" ref="F1131" ca="1">_xludf.XLOOKUP(C1131,'country region mapping'!$A$2:$A$267,'country region mapping'!$G$2:$G$267)</f>
        <v>#NAME?</v>
      </c>
      <c r="G1131" s="1">
        <v>4.7</v>
      </c>
      <c r="H1131" s="1">
        <v>124</v>
      </c>
      <c r="I1131" s="1">
        <v>91</v>
      </c>
      <c r="J1131" s="1">
        <v>107</v>
      </c>
      <c r="K1131" s="1">
        <v>97</v>
      </c>
      <c r="L1131" s="1">
        <v>3</v>
      </c>
      <c r="M1131" s="1">
        <v>58</v>
      </c>
      <c r="O1131" s="14">
        <v>46</v>
      </c>
      <c r="P1131" s="14">
        <v>125</v>
      </c>
      <c r="Q1131" s="14">
        <v>58</v>
      </c>
      <c r="R1131" s="14">
        <v>135</v>
      </c>
      <c r="S1131" s="14">
        <v>138</v>
      </c>
    </row>
    <row r="1132" spans="1:19">
      <c r="A1132" s="1">
        <v>2018</v>
      </c>
      <c r="B1132" s="1">
        <v>110</v>
      </c>
      <c r="C1132" s="1" t="s">
        <v>173</v>
      </c>
      <c r="D1132" s="1" t="e">
        <f t="array" aca="1" ref="D1132" ca="1">_xludf.XLOOKUP(C1132,'country region mapping'!$A$2:$A$267,'country region mapping'!$E$2:$E$267)</f>
        <v>#NAME?</v>
      </c>
      <c r="E1132" s="1" t="e">
        <f t="array" aca="1" ref="E1132" ca="1">_xludf.XLOOKUP(C1132,'country region mapping'!$A$2:$A$267,'country region mapping'!$F$2:$F$267)</f>
        <v>#NAME?</v>
      </c>
      <c r="F1132" s="1" t="e">
        <f t="array" aca="1" ref="F1132" ca="1">_xludf.XLOOKUP(C1132,'country region mapping'!$A$2:$A$267,'country region mapping'!$G$2:$G$267)</f>
        <v>#NAME?</v>
      </c>
      <c r="G1132" s="1">
        <v>4.6959999999999997</v>
      </c>
      <c r="H1132" s="1">
        <v>101</v>
      </c>
      <c r="I1132" s="1">
        <v>82</v>
      </c>
      <c r="J1132" s="1">
        <v>101</v>
      </c>
      <c r="K1132" s="1"/>
      <c r="L1132" s="1">
        <v>117</v>
      </c>
      <c r="M1132" s="1">
        <v>131</v>
      </c>
      <c r="N1132" s="1">
        <v>82</v>
      </c>
      <c r="O1132" s="1">
        <v>120</v>
      </c>
      <c r="Q1132" s="14">
        <v>131</v>
      </c>
      <c r="R1132" s="14">
        <v>127</v>
      </c>
      <c r="S1132" s="14">
        <v>77</v>
      </c>
    </row>
    <row r="1133" spans="1:19">
      <c r="A1133" s="1">
        <v>2018</v>
      </c>
      <c r="B1133" s="1">
        <v>111</v>
      </c>
      <c r="C1133" s="1" t="s">
        <v>204</v>
      </c>
      <c r="D1133" s="1" t="e">
        <f t="array" aca="1" ref="D1133" ca="1">_xludf.XLOOKUP(C1133,'country region mapping'!$A$2:$A$250, 'country region mapping'!$E$2:$E$250)</f>
        <v>#NAME?</v>
      </c>
      <c r="E1133" s="1" t="e">
        <f t="array" aca="1" ref="E1133" ca="1">_xludf.XLOOKUP(C1133,'country region mapping'!$A$2:$A$267,'country region mapping'!$F$2:$F$267)</f>
        <v>#NAME?</v>
      </c>
      <c r="F1133" s="1" t="e">
        <f t="array" aca="1" ref="F1133" ca="1">_xludf.XLOOKUP(C1133,'country region mapping'!$A$2:$A$267,'country region mapping'!$G$2:$G$267)</f>
        <v>#NAME?</v>
      </c>
      <c r="G1133" s="1">
        <v>4.681</v>
      </c>
      <c r="H1133" s="1">
        <v>43</v>
      </c>
      <c r="I1133" s="1">
        <v>108</v>
      </c>
      <c r="J1133" s="1">
        <v>115</v>
      </c>
      <c r="K1133" s="1">
        <v>103</v>
      </c>
      <c r="L1133" s="1">
        <v>123</v>
      </c>
      <c r="M1133" s="1">
        <v>117</v>
      </c>
      <c r="N1133" s="1">
        <v>74</v>
      </c>
      <c r="O1133" s="1">
        <v>42</v>
      </c>
      <c r="P1133" s="1">
        <v>48</v>
      </c>
      <c r="Q1133" s="1">
        <v>117</v>
      </c>
      <c r="R1133" s="1">
        <v>79</v>
      </c>
      <c r="S1133" s="1">
        <v>52</v>
      </c>
    </row>
    <row r="1134" spans="1:19">
      <c r="A1134" s="1">
        <v>2018</v>
      </c>
      <c r="B1134" s="1">
        <v>112</v>
      </c>
      <c r="C1134" s="1" t="s">
        <v>134</v>
      </c>
      <c r="D1134" s="1" t="e">
        <f t="array" aca="1" ref="D1134" ca="1">_xludf.XLOOKUP(C1134,'country region mapping'!$A$2:$A$250, 'country region mapping'!$E$2:$E$250)</f>
        <v>#NAME?</v>
      </c>
      <c r="E1134" s="1" t="e">
        <f t="array" aca="1" ref="E1134" ca="1">_xludf.XLOOKUP(C1134,'country region mapping'!$A$2:$A$267,'country region mapping'!$F$2:$F$267)</f>
        <v>#NAME?</v>
      </c>
      <c r="F1134" s="1" t="e">
        <f t="array" aca="1" ref="F1134" ca="1">_xludf.XLOOKUP(C1134,'country region mapping'!$A$2:$A$267,'country region mapping'!$G$2:$G$267)</f>
        <v>#NAME?</v>
      </c>
      <c r="G1134" s="1">
        <v>4.6680000000000001</v>
      </c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</row>
    <row r="1135" spans="1:19">
      <c r="A1135" s="1">
        <v>2018</v>
      </c>
      <c r="B1135" s="1">
        <v>113</v>
      </c>
      <c r="C1135" s="1" t="s">
        <v>181</v>
      </c>
      <c r="D1135" s="1" t="e">
        <f t="array" aca="1" ref="D1135" ca="1">_xludf.XLOOKUP(C1135,'country region mapping'!$A$2:$A$250, 'country region mapping'!$E$2:$E$250)</f>
        <v>#NAME?</v>
      </c>
      <c r="E1135" s="1" t="e">
        <f t="array" aca="1" ref="E1135" ca="1">_xludf.XLOOKUP(C1135,'country region mapping'!$A$2:$A$267,'country region mapping'!$F$2:$F$267)</f>
        <v>#NAME?</v>
      </c>
      <c r="F1135" s="1" t="e">
        <f t="array" aca="1" ref="F1135" ca="1">_xludf.XLOOKUP(C1135,'country region mapping'!$A$2:$A$267,'country region mapping'!$G$2:$G$267)</f>
        <v>#NAME?</v>
      </c>
      <c r="G1135" s="1">
        <v>4.6390000000000002</v>
      </c>
      <c r="H1135" s="1">
        <v>53</v>
      </c>
      <c r="I1135" s="1">
        <v>57</v>
      </c>
      <c r="J1135" s="1">
        <v>86</v>
      </c>
      <c r="K1135" s="1">
        <v>120</v>
      </c>
      <c r="L1135" s="1">
        <v>88</v>
      </c>
      <c r="M1135" s="1">
        <v>125</v>
      </c>
      <c r="N1135" s="1">
        <v>95</v>
      </c>
      <c r="O1135" s="1">
        <v>59</v>
      </c>
      <c r="P1135" s="1">
        <v>45</v>
      </c>
      <c r="Q1135" s="1">
        <v>125</v>
      </c>
      <c r="R1135" s="1">
        <v>58</v>
      </c>
      <c r="S1135" s="1">
        <v>40</v>
      </c>
    </row>
    <row r="1136" spans="1:19">
      <c r="A1136" s="1">
        <v>2018</v>
      </c>
      <c r="B1136" s="1">
        <v>114</v>
      </c>
      <c r="C1136" s="1" t="s">
        <v>224</v>
      </c>
      <c r="D1136" s="1" t="e">
        <f t="array" aca="1" ref="D1136" ca="1">_xludf.XLOOKUP(C1136,'country region mapping'!$A$2:$A$250, 'country region mapping'!$E$2:$E$250)</f>
        <v>#NAME?</v>
      </c>
      <c r="E1136" s="1" t="e">
        <f t="array" aca="1" ref="E1136" ca="1">_xludf.XLOOKUP(C1136,'country region mapping'!$A$2:$A$267,'country region mapping'!$F$2:$F$267)</f>
        <v>#NAME?</v>
      </c>
      <c r="F1136" s="1" t="e">
        <f t="array" aca="1" ref="F1136" ca="1">_xludf.XLOOKUP(C1136,'country region mapping'!$A$2:$A$267,'country region mapping'!$G$2:$G$267)</f>
        <v>#NAME?</v>
      </c>
      <c r="G1136" s="1">
        <v>4.6280000000000001</v>
      </c>
      <c r="H1136" s="1">
        <v>140</v>
      </c>
      <c r="I1136" s="1">
        <v>133</v>
      </c>
      <c r="J1136" s="1">
        <v>138</v>
      </c>
      <c r="K1136" s="1">
        <v>130</v>
      </c>
      <c r="L1136" s="1">
        <v>72</v>
      </c>
      <c r="M1136" s="1">
        <v>111</v>
      </c>
      <c r="N1136" s="1">
        <v>27</v>
      </c>
      <c r="O1136" s="1">
        <v>20</v>
      </c>
      <c r="P1136" s="1">
        <v>138</v>
      </c>
      <c r="Q1136" s="1">
        <v>111</v>
      </c>
      <c r="R1136" s="1">
        <v>74</v>
      </c>
      <c r="S1136" s="1">
        <v>7</v>
      </c>
    </row>
    <row r="1137" spans="1:19">
      <c r="A1137" s="1">
        <v>2018</v>
      </c>
      <c r="B1137" s="1">
        <v>115</v>
      </c>
      <c r="C1137" s="1" t="s">
        <v>229</v>
      </c>
      <c r="D1137" s="1" t="e">
        <f t="array" aca="1" ref="D1137" ca="1">_xludf.XLOOKUP(C1137,'country region mapping'!$A$2:$A$250, 'country region mapping'!$E$2:$E$250)</f>
        <v>#NAME?</v>
      </c>
      <c r="E1137" s="1" t="e">
        <f t="array" aca="1" ref="E1137" ca="1">_xludf.XLOOKUP(C1137,'country region mapping'!$A$2:$A$267,'country region mapping'!$F$2:$F$267)</f>
        <v>#NAME?</v>
      </c>
      <c r="F1137" s="1" t="e">
        <f t="array" aca="1" ref="F1137" ca="1">_xludf.XLOOKUP(C1137,'country region mapping'!$A$2:$A$267,'country region mapping'!$G$2:$G$267)</f>
        <v>#NAME?</v>
      </c>
      <c r="G1137" s="1">
        <v>4.5869999999999997</v>
      </c>
      <c r="H1137" s="1">
        <v>108</v>
      </c>
      <c r="I1137" s="1">
        <v>124</v>
      </c>
      <c r="J1137" s="1">
        <v>131</v>
      </c>
      <c r="K1137" s="1">
        <v>123</v>
      </c>
      <c r="L1137" s="1">
        <v>102</v>
      </c>
      <c r="M1137" s="1">
        <v>101</v>
      </c>
      <c r="N1137" s="1">
        <v>50</v>
      </c>
      <c r="O1137" s="1">
        <v>76</v>
      </c>
      <c r="P1137" s="1">
        <v>96</v>
      </c>
      <c r="Q1137" s="1">
        <v>101</v>
      </c>
      <c r="R1137" s="1">
        <v>59</v>
      </c>
      <c r="S1137" s="1">
        <v>43</v>
      </c>
    </row>
    <row r="1138" spans="1:19">
      <c r="A1138" s="1">
        <v>2018</v>
      </c>
      <c r="B1138" s="1">
        <v>116</v>
      </c>
      <c r="C1138" s="1" t="s">
        <v>192</v>
      </c>
      <c r="D1138" s="1" t="e">
        <f t="array" aca="1" ref="D1138" ca="1">_xludf.XLOOKUP(C1138,'country region mapping'!$A$2:$A$250, 'country region mapping'!$E$2:$E$250)</f>
        <v>#NAME?</v>
      </c>
      <c r="E1138" s="1" t="e">
        <f t="array" aca="1" ref="E1138" ca="1">_xludf.XLOOKUP(C1138,'country region mapping'!$A$2:$A$267,'country region mapping'!$F$2:$F$267)</f>
        <v>#NAME?</v>
      </c>
      <c r="F1138" s="1" t="e">
        <f t="array" aca="1" ref="F1138" ca="1">_xludf.XLOOKUP(C1138,'country region mapping'!$A$2:$A$267,'country region mapping'!$G$2:$G$267)</f>
        <v>#NAME?</v>
      </c>
      <c r="G1138" s="1">
        <v>4.5590000000000002</v>
      </c>
      <c r="H1138" s="1">
        <v>54</v>
      </c>
      <c r="I1138" s="1">
        <v>84</v>
      </c>
      <c r="J1138" s="1">
        <v>74</v>
      </c>
      <c r="K1138" s="1">
        <v>56</v>
      </c>
      <c r="L1138" s="1">
        <v>67</v>
      </c>
      <c r="M1138" s="1">
        <v>113</v>
      </c>
      <c r="N1138" s="1">
        <v>30</v>
      </c>
      <c r="O1138" s="1">
        <v>116</v>
      </c>
      <c r="P1138" s="1">
        <v>133</v>
      </c>
      <c r="Q1138" s="1">
        <v>113</v>
      </c>
      <c r="R1138" s="1">
        <v>130</v>
      </c>
      <c r="S1138" s="1">
        <v>53</v>
      </c>
    </row>
    <row r="1139" spans="1:19">
      <c r="A1139" s="1">
        <v>2018</v>
      </c>
      <c r="B1139" s="1">
        <v>117</v>
      </c>
      <c r="C1139" s="1" t="s">
        <v>169</v>
      </c>
      <c r="D1139" s="1" t="e">
        <f t="array" aca="1" ref="D1139" ca="1">_xludf.XLOOKUP(C1139,'country region mapping'!$A$2:$A$267,'country region mapping'!$E$2:$E$267)</f>
        <v>#NAME?</v>
      </c>
      <c r="E1139" s="1" t="e">
        <f t="array" aca="1" ref="E1139" ca="1">_xludf.XLOOKUP(C1139,'country region mapping'!$A$2:$A$267,'country region mapping'!$F$2:$F$267)</f>
        <v>#NAME?</v>
      </c>
      <c r="F1139" s="1" t="e">
        <f t="array" aca="1" ref="F1139" ca="1">_xludf.XLOOKUP(C1139,'country region mapping'!$A$2:$A$267,'country region mapping'!$G$2:$G$267)</f>
        <v>#NAME?</v>
      </c>
      <c r="G1139" s="1">
        <v>4.548</v>
      </c>
      <c r="H1139" s="1">
        <v>86</v>
      </c>
      <c r="I1139" s="1">
        <v>122</v>
      </c>
      <c r="J1139" s="1">
        <v>78</v>
      </c>
      <c r="K1139" s="1">
        <v>55</v>
      </c>
      <c r="L1139" s="1">
        <v>129</v>
      </c>
      <c r="M1139" s="1">
        <v>32</v>
      </c>
      <c r="N1139" s="1">
        <v>37</v>
      </c>
      <c r="O1139" s="1">
        <v>129</v>
      </c>
      <c r="P1139" s="1">
        <v>137</v>
      </c>
      <c r="Q1139" s="1">
        <v>32</v>
      </c>
      <c r="R1139" s="1">
        <v>98</v>
      </c>
      <c r="S1139" s="1">
        <v>34</v>
      </c>
    </row>
    <row r="1140" spans="1:19">
      <c r="A1140" s="1">
        <v>2018</v>
      </c>
      <c r="B1140" s="1">
        <v>118</v>
      </c>
      <c r="C1140" s="1" t="s">
        <v>240</v>
      </c>
      <c r="D1140" s="1" t="e">
        <f t="array" aca="1" ref="D1140" ca="1">_xludf.XLOOKUP(C1140,'country region mapping'!$A$2:$A$250, 'country region mapping'!$E$2:$E$250)</f>
        <v>#NAME?</v>
      </c>
      <c r="E1140" s="1" t="e">
        <f t="array" aca="1" ref="E1140" ca="1">_xludf.XLOOKUP(C1140,'country region mapping'!$A$2:$A$267,'country region mapping'!$F$2:$F$267)</f>
        <v>#NAME?</v>
      </c>
      <c r="F1140" s="1" t="e">
        <f t="array" aca="1" ref="F1140" ca="1">_xludf.XLOOKUP(C1140,'country region mapping'!$A$2:$A$267,'country region mapping'!$G$2:$G$267)</f>
        <v>#NAME?</v>
      </c>
      <c r="G1140" s="1">
        <v>4.5339999999999998</v>
      </c>
      <c r="H1140" s="1">
        <v>135</v>
      </c>
      <c r="I1140" s="1">
        <v>127</v>
      </c>
      <c r="J1140" s="1">
        <v>121</v>
      </c>
      <c r="K1140" s="1">
        <v>129</v>
      </c>
      <c r="L1140" s="1">
        <v>96</v>
      </c>
      <c r="M1140" s="1">
        <v>50</v>
      </c>
      <c r="N1140" s="1">
        <v>60</v>
      </c>
      <c r="O1140" s="1">
        <v>41</v>
      </c>
      <c r="P1140" s="1">
        <v>130</v>
      </c>
      <c r="Q1140" s="1">
        <v>50</v>
      </c>
      <c r="R1140" s="1">
        <v>26</v>
      </c>
      <c r="S1140" s="1">
        <v>19</v>
      </c>
    </row>
    <row r="1141" spans="1:19">
      <c r="A1141" s="1">
        <v>2018</v>
      </c>
      <c r="B1141" s="1">
        <v>119</v>
      </c>
      <c r="C1141" s="1" t="s">
        <v>201</v>
      </c>
      <c r="D1141" s="1" t="e">
        <f t="array" aca="1" ref="D1141" ca="1">_xludf.XLOOKUP(C1141,'country region mapping'!$A$2:$A$250, 'country region mapping'!$E$2:$E$250)</f>
        <v>#NAME?</v>
      </c>
      <c r="E1141" s="1" t="e">
        <f t="array" aca="1" ref="E1141" ca="1">_xludf.XLOOKUP(C1141,'country region mapping'!$A$2:$A$267,'country region mapping'!$F$2:$F$267)</f>
        <v>#NAME?</v>
      </c>
      <c r="F1141" s="1" t="e">
        <f t="array" aca="1" ref="F1141" ca="1">_xludf.XLOOKUP(C1141,'country region mapping'!$A$2:$A$267,'country region mapping'!$G$2:$G$267)</f>
        <v>#NAME?</v>
      </c>
      <c r="G1141" s="1">
        <v>4.5190000000000001</v>
      </c>
      <c r="H1141" s="1">
        <v>76</v>
      </c>
      <c r="I1141" s="1">
        <v>131</v>
      </c>
      <c r="J1141" s="1">
        <v>65</v>
      </c>
      <c r="K1141" s="1">
        <v>70</v>
      </c>
      <c r="L1141" s="1">
        <v>78</v>
      </c>
      <c r="M1141" s="1">
        <v>136</v>
      </c>
      <c r="N1141" s="1">
        <v>49</v>
      </c>
      <c r="O1141" s="1">
        <v>130</v>
      </c>
      <c r="P1141" s="1">
        <v>47</v>
      </c>
      <c r="Q1141" s="1">
        <v>136</v>
      </c>
      <c r="R1141" s="1">
        <v>49</v>
      </c>
      <c r="S1141" s="1">
        <v>24</v>
      </c>
    </row>
    <row r="1142" spans="1:19">
      <c r="A1142" s="1">
        <v>2018</v>
      </c>
      <c r="B1142" s="1">
        <v>120</v>
      </c>
      <c r="C1142" s="1" t="s">
        <v>403</v>
      </c>
      <c r="D1142" s="1" t="e">
        <f t="array" aca="1" ref="D1142" ca="1">_xludf.XLOOKUP(C1142,'country region mapping'!$A$2:$A$250, 'country region mapping'!$E$2:$E$250)</f>
        <v>#NAME?</v>
      </c>
      <c r="E1142" s="1" t="e">
        <f t="array" aca="1" ref="E1142" ca="1">_xludf.XLOOKUP(C1142,'country region mapping'!$A$2:$A$267,'country region mapping'!$F$2:$F$267)</f>
        <v>#NAME?</v>
      </c>
      <c r="F1142" s="1" t="e">
        <f t="array" aca="1" ref="F1142" ca="1">_xludf.XLOOKUP(C1142,'country region mapping'!$A$2:$A$267,'country region mapping'!$G$2:$G$267)</f>
        <v>#NAME?</v>
      </c>
      <c r="G1142" s="1">
        <v>4.516</v>
      </c>
      <c r="H1142" s="1">
        <v>134</v>
      </c>
      <c r="I1142" s="1">
        <v>118</v>
      </c>
      <c r="J1142" s="1">
        <v>126</v>
      </c>
      <c r="K1142" s="1">
        <v>104</v>
      </c>
      <c r="L1142" s="1">
        <v>111</v>
      </c>
      <c r="M1142" s="1">
        <v>4</v>
      </c>
      <c r="N1142" s="1">
        <v>33</v>
      </c>
      <c r="O1142" s="1">
        <v>21</v>
      </c>
      <c r="P1142" s="1">
        <v>113</v>
      </c>
      <c r="Q1142" s="1">
        <v>4</v>
      </c>
      <c r="R1142" s="1">
        <v>9</v>
      </c>
      <c r="S1142" s="1">
        <v>9</v>
      </c>
    </row>
    <row r="1143" spans="1:19">
      <c r="A1143" s="1">
        <v>2018</v>
      </c>
      <c r="B1143" s="1">
        <v>121</v>
      </c>
      <c r="C1143" s="1" t="s">
        <v>193</v>
      </c>
      <c r="D1143" s="1" t="e">
        <f t="array" aca="1" ref="D1143" ca="1">_xludf.XLOOKUP(C1143,'country region mapping'!$A$2:$A$250, 'country region mapping'!$E$2:$E$250)</f>
        <v>#NAME?</v>
      </c>
      <c r="E1143" s="1" t="e">
        <f t="array" aca="1" ref="E1143" ca="1">_xludf.XLOOKUP(C1143,'country region mapping'!$A$2:$A$267,'country region mapping'!$F$2:$F$267)</f>
        <v>#NAME?</v>
      </c>
      <c r="F1143" s="1" t="e">
        <f t="array" aca="1" ref="F1143" ca="1">_xludf.XLOOKUP(C1143,'country region mapping'!$A$2:$A$267,'country region mapping'!$G$2:$G$267)</f>
        <v>#NAME?</v>
      </c>
      <c r="G1143" s="1">
        <v>4.5090000000000003</v>
      </c>
      <c r="H1143" s="1">
        <v>117</v>
      </c>
      <c r="I1143" s="1">
        <v>113</v>
      </c>
      <c r="J1143" s="1">
        <v>112</v>
      </c>
      <c r="K1143" s="1">
        <v>106</v>
      </c>
      <c r="L1143" s="1">
        <v>60</v>
      </c>
      <c r="M1143" s="1">
        <v>16</v>
      </c>
      <c r="N1143" s="1">
        <v>94</v>
      </c>
      <c r="O1143" s="1">
        <v>29</v>
      </c>
      <c r="P1143" s="1">
        <v>44</v>
      </c>
      <c r="Q1143" s="1">
        <v>16</v>
      </c>
      <c r="R1143" s="1">
        <v>2</v>
      </c>
      <c r="S1143" s="1">
        <v>10</v>
      </c>
    </row>
    <row r="1144" spans="1:19">
      <c r="A1144" s="1">
        <v>2018</v>
      </c>
      <c r="B1144" s="1">
        <v>122</v>
      </c>
      <c r="C1144" s="1" t="s">
        <v>206</v>
      </c>
      <c r="D1144" s="1" t="e">
        <f t="array" aca="1" ref="D1144" ca="1">_xludf.XLOOKUP(C1144,'country region mapping'!$A$2:$A$250, 'country region mapping'!$E$2:$E$250)</f>
        <v>#NAME?</v>
      </c>
      <c r="E1144" s="1" t="e">
        <f t="array" aca="1" ref="E1144" ca="1">_xludf.XLOOKUP(C1144,'country region mapping'!$A$2:$A$267,'country region mapping'!$F$2:$F$267)</f>
        <v>#NAME?</v>
      </c>
      <c r="F1144" s="1" t="e">
        <f t="array" aca="1" ref="F1144" ca="1">_xludf.XLOOKUP(C1144,'country region mapping'!$A$2:$A$267,'country region mapping'!$G$2:$G$267)</f>
        <v>#NAME?</v>
      </c>
      <c r="G1144" s="1">
        <v>4.49</v>
      </c>
      <c r="H1144" s="1">
        <v>59</v>
      </c>
      <c r="I1144" s="1">
        <v>86</v>
      </c>
      <c r="J1144" s="1">
        <v>106</v>
      </c>
      <c r="K1144" s="1">
        <v>94</v>
      </c>
      <c r="L1144" s="1">
        <v>139</v>
      </c>
      <c r="M1144" s="1">
        <v>119</v>
      </c>
      <c r="N1144" s="1">
        <v>39</v>
      </c>
      <c r="O1144" s="1">
        <v>70</v>
      </c>
      <c r="P1144" s="1">
        <v>64</v>
      </c>
      <c r="Q1144" s="1">
        <v>119</v>
      </c>
      <c r="R1144" s="1">
        <v>100</v>
      </c>
      <c r="S1144" s="1">
        <v>99</v>
      </c>
    </row>
    <row r="1145" spans="1:19">
      <c r="A1145" s="1">
        <v>2018</v>
      </c>
      <c r="B1145" s="1">
        <v>123</v>
      </c>
      <c r="C1145" s="1" t="s">
        <v>252</v>
      </c>
      <c r="D1145" s="1" t="e">
        <f t="array" aca="1" ref="D1145" ca="1">_xludf.XLOOKUP(C1145,'country region mapping'!$A$2:$A$250, 'country region mapping'!$E$2:$E$250)</f>
        <v>#NAME?</v>
      </c>
      <c r="E1145" s="1" t="e">
        <f t="array" aca="1" ref="E1145" ca="1">_xludf.XLOOKUP(C1145,'country region mapping'!$A$2:$A$267,'country region mapping'!$F$2:$F$267)</f>
        <v>#NAME?</v>
      </c>
      <c r="F1145" s="1" t="e">
        <f t="array" aca="1" ref="F1145" ca="1">_xludf.XLOOKUP(C1145,'country region mapping'!$A$2:$A$267,'country region mapping'!$G$2:$G$267)</f>
        <v>#NAME?</v>
      </c>
      <c r="G1145" s="1">
        <v>4.4660000000000002</v>
      </c>
      <c r="H1145" s="1">
        <v>137</v>
      </c>
      <c r="I1145" s="1">
        <v>109</v>
      </c>
      <c r="J1145" s="1">
        <v>139</v>
      </c>
      <c r="K1145" s="1">
        <v>135</v>
      </c>
      <c r="L1145" s="1">
        <v>27</v>
      </c>
      <c r="M1145" s="1">
        <v>90</v>
      </c>
      <c r="N1145" s="1">
        <v>34</v>
      </c>
      <c r="O1145" s="1">
        <v>89</v>
      </c>
      <c r="P1145" s="1">
        <v>120</v>
      </c>
      <c r="Q1145" s="1">
        <v>90</v>
      </c>
      <c r="R1145" s="1">
        <v>17</v>
      </c>
      <c r="S1145" s="1">
        <v>59</v>
      </c>
    </row>
    <row r="1146" spans="1:19">
      <c r="A1146" s="1">
        <v>2018</v>
      </c>
      <c r="B1146" s="1">
        <v>124</v>
      </c>
      <c r="C1146" s="1" t="s">
        <v>159</v>
      </c>
      <c r="D1146" s="1" t="e">
        <f t="array" aca="1" ref="D1146" ca="1">_xludf.XLOOKUP(C1146,'country region mapping'!$A$2:$A$250, 'country region mapping'!$E$2:$E$250)</f>
        <v>#NAME?</v>
      </c>
      <c r="E1146" s="1" t="e">
        <f t="array" aca="1" ref="E1146" ca="1">_xludf.XLOOKUP(C1146,'country region mapping'!$A$2:$A$267,'country region mapping'!$F$2:$F$267)</f>
        <v>#NAME?</v>
      </c>
      <c r="F1146" s="1" t="e">
        <f t="array" aca="1" ref="F1146" ca="1">_xludf.XLOOKUP(C1146,'country region mapping'!$A$2:$A$267,'country region mapping'!$G$2:$G$267)</f>
        <v>#NAME?</v>
      </c>
      <c r="G1146" s="1">
        <v>4.4610000000000003</v>
      </c>
      <c r="H1146" s="1">
        <v>69</v>
      </c>
      <c r="I1146" s="1">
        <v>110</v>
      </c>
      <c r="J1146" s="1">
        <v>84</v>
      </c>
      <c r="K1146" s="1">
        <v>54</v>
      </c>
      <c r="L1146" s="1">
        <v>120</v>
      </c>
      <c r="M1146" s="1">
        <v>128</v>
      </c>
      <c r="N1146" s="1">
        <v>90</v>
      </c>
      <c r="O1146" s="1">
        <v>115</v>
      </c>
      <c r="P1146" s="1">
        <v>109</v>
      </c>
      <c r="Q1146" s="1">
        <v>128</v>
      </c>
      <c r="R1146" s="1">
        <v>111</v>
      </c>
      <c r="S1146" s="1">
        <v>55</v>
      </c>
    </row>
    <row r="1147" spans="1:19">
      <c r="A1147" s="1">
        <v>2018</v>
      </c>
      <c r="B1147" s="1">
        <v>125</v>
      </c>
      <c r="C1147" s="1" t="s">
        <v>176</v>
      </c>
      <c r="D1147" s="1" t="e">
        <f t="array" aca="1" ref="D1147" ca="1">_xludf.XLOOKUP(C1147,'country region mapping'!$A$2:$A$250, 'country region mapping'!$E$2:$E$250)</f>
        <v>#NAME?</v>
      </c>
      <c r="E1147" s="1" t="e">
        <f t="array" aca="1" ref="E1147" ca="1">_xludf.XLOOKUP(C1147,'country region mapping'!$A$2:$A$267,'country region mapping'!$F$2:$F$267)</f>
        <v>#NAME?</v>
      </c>
      <c r="F1147" s="1" t="e">
        <f t="array" aca="1" ref="F1147" ca="1">_xludf.XLOOKUP(C1147,'country region mapping'!$A$2:$A$267,'country region mapping'!$G$2:$G$267)</f>
        <v>#NAME?</v>
      </c>
      <c r="G1147" s="1">
        <v>4.4560000000000004</v>
      </c>
      <c r="H1147" s="1">
        <v>66</v>
      </c>
      <c r="I1147" s="1">
        <v>114</v>
      </c>
      <c r="J1147" s="1">
        <v>102</v>
      </c>
      <c r="K1147" s="1">
        <v>79</v>
      </c>
      <c r="L1147" s="1">
        <v>26</v>
      </c>
      <c r="M1147" s="1">
        <v>92</v>
      </c>
      <c r="N1147" s="1">
        <v>36</v>
      </c>
      <c r="O1147" s="1">
        <v>133</v>
      </c>
      <c r="P1147" s="1">
        <v>105</v>
      </c>
      <c r="Q1147" s="1">
        <v>92</v>
      </c>
      <c r="R1147" s="1">
        <v>97</v>
      </c>
      <c r="S1147" s="1">
        <v>21</v>
      </c>
    </row>
    <row r="1148" spans="1:19">
      <c r="A1148" s="1">
        <v>2018</v>
      </c>
      <c r="B1148" s="1">
        <v>126</v>
      </c>
      <c r="C1148" s="1" t="s">
        <v>179</v>
      </c>
      <c r="D1148" s="1" t="e">
        <f t="array" aca="1" ref="D1148" ca="1">_xludf.XLOOKUP(C1148,'country region mapping'!$A$2:$A$250, 'country region mapping'!$E$2:$E$250)</f>
        <v>#NAME?</v>
      </c>
      <c r="E1148" s="1" t="e">
        <f t="array" aca="1" ref="E1148" ca="1">_xludf.XLOOKUP(C1148,'country region mapping'!$A$2:$A$267,'country region mapping'!$F$2:$F$267)</f>
        <v>#NAME?</v>
      </c>
      <c r="F1148" s="1" t="e">
        <f t="array" aca="1" ref="F1148" ca="1">_xludf.XLOOKUP(C1148,'country region mapping'!$A$2:$A$267,'country region mapping'!$G$2:$G$267)</f>
        <v>#NAME?</v>
      </c>
      <c r="G1148" s="1">
        <v>4.4370000000000003</v>
      </c>
      <c r="H1148" s="1">
        <v>97</v>
      </c>
      <c r="I1148" s="1">
        <v>102</v>
      </c>
      <c r="J1148" s="1">
        <v>81</v>
      </c>
      <c r="K1148" s="1">
        <v>89</v>
      </c>
      <c r="L1148" s="1">
        <v>131</v>
      </c>
      <c r="M1148" s="1">
        <v>77</v>
      </c>
      <c r="N1148" s="1">
        <v>114</v>
      </c>
      <c r="O1148" s="1">
        <v>112</v>
      </c>
      <c r="P1148" s="1">
        <v>136</v>
      </c>
      <c r="Q1148" s="1">
        <v>77</v>
      </c>
      <c r="R1148" s="1">
        <v>118</v>
      </c>
      <c r="S1148" s="1">
        <v>13</v>
      </c>
    </row>
    <row r="1149" spans="1:19">
      <c r="A1149" s="1">
        <v>2018</v>
      </c>
      <c r="B1149" s="1">
        <v>127</v>
      </c>
      <c r="C1149" s="1" t="s">
        <v>199</v>
      </c>
      <c r="D1149" s="1" t="e">
        <f t="array" aca="1" ref="D1149" ca="1">_xludf.XLOOKUP(C1149,'country region mapping'!$A$2:$A$267,'country region mapping'!$E$2:$E$267)</f>
        <v>#NAME?</v>
      </c>
      <c r="E1149" s="1" t="e">
        <f t="array" aca="1" ref="E1149" ca="1">_xludf.XLOOKUP(C1149,'country region mapping'!$A$2:$A$267,'country region mapping'!$F$2:$F$267)</f>
        <v>#NAME?</v>
      </c>
      <c r="F1149" s="1" t="e">
        <f t="array" aca="1" ref="F1149" ca="1">_xludf.XLOOKUP(C1149,'country region mapping'!$A$2:$A$267,'country region mapping'!$G$2:$G$267)</f>
        <v>#NAME?</v>
      </c>
      <c r="G1149" s="1">
        <v>4.4180000000000001</v>
      </c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</row>
    <row r="1150" spans="1:19">
      <c r="A1150" s="1">
        <v>2018</v>
      </c>
      <c r="B1150" s="1">
        <v>128</v>
      </c>
      <c r="C1150" s="1" t="s">
        <v>311</v>
      </c>
      <c r="D1150" s="1" t="e">
        <f t="array" aca="1" ref="D1150" ca="1">_xludf.XLOOKUP(C1150,'country region mapping'!$A$2:$A$250, 'country region mapping'!$E$2:$E$250)</f>
        <v>#NAME?</v>
      </c>
      <c r="E1150" s="1" t="e">
        <f t="array" aca="1" ref="E1150" ca="1">_xludf.XLOOKUP(C1150,'country region mapping'!$A$2:$A$267,'country region mapping'!$F$2:$F$267)</f>
        <v>#NAME?</v>
      </c>
      <c r="F1150" s="1" t="e">
        <f t="array" aca="1" ref="F1150" ca="1">_xludf.XLOOKUP(C1150,'country region mapping'!$A$2:$A$267,'country region mapping'!$G$2:$G$267)</f>
        <v>#NAME?</v>
      </c>
      <c r="G1150" s="1">
        <v>4.3899999999999997</v>
      </c>
      <c r="H1150" s="1">
        <v>103</v>
      </c>
      <c r="I1150" s="1">
        <v>116</v>
      </c>
      <c r="J1150" s="1">
        <v>130</v>
      </c>
      <c r="K1150" s="1">
        <v>128</v>
      </c>
      <c r="L1150" s="1">
        <v>95</v>
      </c>
      <c r="M1150" s="1">
        <v>108</v>
      </c>
      <c r="N1150" s="1">
        <v>66</v>
      </c>
      <c r="O1150" s="1">
        <v>61</v>
      </c>
      <c r="P1150" s="1">
        <v>110</v>
      </c>
      <c r="Q1150" s="1">
        <v>108</v>
      </c>
      <c r="R1150" s="1">
        <v>52</v>
      </c>
      <c r="S1150" s="1">
        <v>72</v>
      </c>
    </row>
    <row r="1151" spans="1:19">
      <c r="A1151" s="1">
        <v>2018</v>
      </c>
      <c r="B1151" s="1">
        <v>129</v>
      </c>
      <c r="C1151" s="1" t="s">
        <v>178</v>
      </c>
      <c r="D1151" s="1" t="e">
        <f t="array" aca="1" ref="D1151" ca="1">_xludf.XLOOKUP(C1151,'country region mapping'!$A$2:$A$250, 'country region mapping'!$E$2:$E$250)</f>
        <v>#NAME?</v>
      </c>
      <c r="E1151" s="1" t="e">
        <f t="array" aca="1" ref="E1151" ca="1">_xludf.XLOOKUP(C1151,'country region mapping'!$A$2:$A$267,'country region mapping'!$F$2:$F$267)</f>
        <v>#NAME?</v>
      </c>
      <c r="F1151" s="1" t="e">
        <f t="array" aca="1" ref="F1151" ca="1">_xludf.XLOOKUP(C1151,'country region mapping'!$A$2:$A$267,'country region mapping'!$G$2:$G$267)</f>
        <v>#NAME?</v>
      </c>
      <c r="G1151" s="1">
        <v>4.3739999999999997</v>
      </c>
      <c r="H1151" s="1">
        <v>128</v>
      </c>
      <c r="I1151" s="1">
        <v>125</v>
      </c>
      <c r="J1151" s="1">
        <v>125</v>
      </c>
      <c r="K1151" s="1">
        <v>131</v>
      </c>
      <c r="L1151" s="1">
        <v>105</v>
      </c>
      <c r="M1151" s="1">
        <v>63</v>
      </c>
      <c r="N1151" s="1">
        <v>103</v>
      </c>
      <c r="O1151" s="1">
        <v>118</v>
      </c>
      <c r="P1151" s="1">
        <v>134</v>
      </c>
      <c r="Q1151" s="1">
        <v>63</v>
      </c>
      <c r="R1151" s="1">
        <v>7</v>
      </c>
      <c r="S1151" s="1">
        <v>2</v>
      </c>
    </row>
    <row r="1152" spans="1:19">
      <c r="A1152" s="1">
        <v>2018</v>
      </c>
      <c r="B1152" s="1">
        <v>120</v>
      </c>
      <c r="C1152" s="1" t="s">
        <v>187</v>
      </c>
      <c r="D1152" s="1" t="e">
        <f t="array" aca="1" ref="D1152" ca="1">_xludf.XLOOKUP(C1152,'country region mapping'!$A$2:$A$250, 'country region mapping'!$E$2:$E$250)</f>
        <v>#NAME?</v>
      </c>
      <c r="E1152" s="1" t="e">
        <f t="array" aca="1" ref="E1152" ca="1">_xludf.XLOOKUP(C1152,'country region mapping'!$A$2:$A$267,'country region mapping'!$F$2:$F$267)</f>
        <v>#NAME?</v>
      </c>
      <c r="F1152" s="1" t="e">
        <f t="array" aca="1" ref="F1152" ca="1">_xludf.XLOOKUP(C1152,'country region mapping'!$A$2:$A$267,'country region mapping'!$G$2:$G$267)</f>
        <v>#NAME?</v>
      </c>
      <c r="G1152" s="1">
        <v>4.3659999999999997</v>
      </c>
      <c r="H1152" s="1">
        <v>85</v>
      </c>
      <c r="I1152" s="1">
        <v>73</v>
      </c>
      <c r="J1152" s="1">
        <v>75</v>
      </c>
      <c r="K1152" s="1">
        <v>49</v>
      </c>
      <c r="L1152" s="1">
        <v>47</v>
      </c>
      <c r="M1152" s="1">
        <v>30</v>
      </c>
      <c r="N1152" s="1">
        <v>104</v>
      </c>
      <c r="O1152" s="1">
        <v>15</v>
      </c>
      <c r="P1152" s="1">
        <v>85</v>
      </c>
      <c r="Q1152" s="1">
        <v>30</v>
      </c>
      <c r="R1152" s="1">
        <v>5</v>
      </c>
      <c r="S1152" s="1">
        <v>46</v>
      </c>
    </row>
    <row r="1153" spans="1:19">
      <c r="A1153" s="1">
        <v>2018</v>
      </c>
      <c r="B1153" s="1">
        <v>131</v>
      </c>
      <c r="C1153" s="1" t="s">
        <v>190</v>
      </c>
      <c r="D1153" s="1" t="e">
        <f t="array" aca="1" ref="D1153" ca="1">_xludf.XLOOKUP(C1153,'country region mapping'!$A$2:$A$250, 'country region mapping'!$E$2:$E$250)</f>
        <v>#NAME?</v>
      </c>
      <c r="E1153" s="1" t="e">
        <f t="array" aca="1" ref="E1153" ca="1">_xludf.XLOOKUP(C1153,'country region mapping'!$A$2:$A$267,'country region mapping'!$F$2:$F$267)</f>
        <v>#NAME?</v>
      </c>
      <c r="F1153" s="1" t="e">
        <f t="array" aca="1" ref="F1153" ca="1">_xludf.XLOOKUP(C1153,'country region mapping'!$A$2:$A$267,'country region mapping'!$G$2:$G$267)</f>
        <v>#NAME?</v>
      </c>
      <c r="G1153" s="1">
        <v>4.3600000000000003</v>
      </c>
      <c r="H1153" s="1">
        <v>80</v>
      </c>
      <c r="I1153" s="1">
        <v>100</v>
      </c>
      <c r="J1153" s="1">
        <v>105</v>
      </c>
      <c r="K1153" s="1">
        <v>99</v>
      </c>
      <c r="L1153" s="1">
        <v>23</v>
      </c>
      <c r="M1153" s="1">
        <v>2</v>
      </c>
      <c r="N1153" s="1">
        <v>29</v>
      </c>
      <c r="O1153" s="1">
        <v>81</v>
      </c>
      <c r="P1153" s="1">
        <v>83</v>
      </c>
      <c r="Q1153" s="1">
        <v>2</v>
      </c>
      <c r="R1153" s="1">
        <v>53</v>
      </c>
      <c r="S1153" s="1">
        <v>114</v>
      </c>
    </row>
    <row r="1154" spans="1:19">
      <c r="A1154" s="1">
        <v>2018</v>
      </c>
      <c r="B1154" s="1">
        <v>132</v>
      </c>
      <c r="C1154" s="1" t="s">
        <v>227</v>
      </c>
      <c r="D1154" s="1" t="e">
        <f t="array" aca="1" ref="D1154" ca="1">_xludf.XLOOKUP(C1154,'country region mapping'!$A$2:$A$250, 'country region mapping'!$E$2:$E$250)</f>
        <v>#NAME?</v>
      </c>
      <c r="E1154" s="1" t="e">
        <f t="array" aca="1" ref="E1154" ca="1">_xludf.XLOOKUP(C1154,'country region mapping'!$A$2:$A$267,'country region mapping'!$F$2:$F$267)</f>
        <v>#NAME?</v>
      </c>
      <c r="F1154" s="1" t="e">
        <f t="array" aca="1" ref="F1154" ca="1">_xludf.XLOOKUP(C1154,'country region mapping'!$A$2:$A$267,'country region mapping'!$G$2:$G$267)</f>
        <v>#NAME?</v>
      </c>
      <c r="G1154" s="1">
        <v>4.3499999999999996</v>
      </c>
      <c r="H1154" s="1">
        <v>131</v>
      </c>
      <c r="I1154" s="1">
        <v>135</v>
      </c>
      <c r="J1154" s="1">
        <v>134</v>
      </c>
      <c r="K1154" s="1">
        <v>134</v>
      </c>
      <c r="L1154" s="1">
        <v>118</v>
      </c>
      <c r="M1154" s="1">
        <v>96</v>
      </c>
      <c r="N1154" s="1">
        <v>53</v>
      </c>
      <c r="O1154" s="1">
        <v>119</v>
      </c>
      <c r="P1154" s="1">
        <v>139</v>
      </c>
      <c r="Q1154" s="1">
        <v>96</v>
      </c>
      <c r="R1154" s="1">
        <v>56</v>
      </c>
      <c r="S1154" s="1">
        <v>58</v>
      </c>
    </row>
    <row r="1155" spans="1:19">
      <c r="A1155" s="1">
        <v>2018</v>
      </c>
      <c r="B1155" s="1">
        <v>134</v>
      </c>
      <c r="C1155" s="1" t="s">
        <v>183</v>
      </c>
      <c r="D1155" s="1" t="e">
        <f t="array" aca="1" ref="D1155" ca="1">_xludf.XLOOKUP(C1155,'country region mapping'!$A$2:$A$250, 'country region mapping'!$E$2:$E$250)</f>
        <v>#NAME?</v>
      </c>
      <c r="E1155" s="1" t="e">
        <f t="array" aca="1" ref="E1155" ca="1">_xludf.XLOOKUP(C1155,'country region mapping'!$A$2:$A$267,'country region mapping'!$F$2:$F$267)</f>
        <v>#NAME?</v>
      </c>
      <c r="F1155" s="1" t="e">
        <f t="array" aca="1" ref="F1155" ca="1">_xludf.XLOOKUP(C1155,'country region mapping'!$A$2:$A$267,'country region mapping'!$G$2:$G$267)</f>
        <v>#NAME?</v>
      </c>
      <c r="G1155" s="1">
        <v>4.2859999999999996</v>
      </c>
      <c r="H1155" s="1">
        <v>39</v>
      </c>
      <c r="I1155" s="1">
        <v>106</v>
      </c>
      <c r="J1155" s="1">
        <v>132</v>
      </c>
      <c r="K1155" s="1">
        <v>102</v>
      </c>
      <c r="L1155" s="1">
        <v>93</v>
      </c>
      <c r="M1155" s="1">
        <v>79</v>
      </c>
      <c r="N1155" s="1">
        <v>71</v>
      </c>
      <c r="O1155" s="1">
        <v>110</v>
      </c>
      <c r="P1155" s="1">
        <v>61</v>
      </c>
      <c r="Q1155" s="1">
        <v>79</v>
      </c>
      <c r="R1155" s="1">
        <v>45</v>
      </c>
      <c r="S1155" s="1">
        <v>70</v>
      </c>
    </row>
    <row r="1156" spans="1:19">
      <c r="A1156" s="1">
        <v>2018</v>
      </c>
      <c r="B1156" s="1">
        <v>135</v>
      </c>
      <c r="C1156" s="1" t="s">
        <v>453</v>
      </c>
      <c r="D1156" s="1" t="e">
        <f t="array" aca="1" ref="D1156" ca="1">_xludf.XLOOKUP(C1156,'country region mapping'!$A$2:$A$250, 'country region mapping'!$E$2:$E$250)</f>
        <v>#NAME?</v>
      </c>
      <c r="E1156" s="1" t="e">
        <f t="array" aca="1" ref="E1156" ca="1">_xludf.XLOOKUP(C1156,'country region mapping'!$A$2:$A$267,'country region mapping'!$F$2:$F$267)</f>
        <v>#NAME?</v>
      </c>
      <c r="F1156" s="1" t="e">
        <f t="array" aca="1" ref="F1156" ca="1">_xludf.XLOOKUP(C1156,'country region mapping'!$A$2:$A$267,'country region mapping'!$G$2:$G$267)</f>
        <v>#NAME?</v>
      </c>
      <c r="G1156" s="1">
        <v>4.2119999999999997</v>
      </c>
      <c r="H1156" s="1">
        <v>88</v>
      </c>
      <c r="I1156" s="1">
        <v>98</v>
      </c>
      <c r="J1156" s="1">
        <v>92</v>
      </c>
      <c r="K1156" s="1">
        <v>136</v>
      </c>
      <c r="L1156" s="1">
        <v>108</v>
      </c>
      <c r="M1156" s="1">
        <v>130</v>
      </c>
      <c r="N1156" s="1">
        <v>35</v>
      </c>
      <c r="O1156" s="1">
        <v>35</v>
      </c>
      <c r="P1156" s="1">
        <v>51</v>
      </c>
      <c r="Q1156" s="1">
        <v>130</v>
      </c>
      <c r="R1156" s="1">
        <v>63</v>
      </c>
      <c r="S1156" s="1">
        <v>29</v>
      </c>
    </row>
    <row r="1157" spans="1:19">
      <c r="A1157" s="1">
        <v>2018</v>
      </c>
      <c r="B1157" s="1">
        <v>136</v>
      </c>
      <c r="C1157" s="1" t="s">
        <v>231</v>
      </c>
      <c r="D1157" s="1" t="e">
        <f t="array" aca="1" ref="D1157" ca="1">_xludf.XLOOKUP(C1157,'country region mapping'!$A$2:$A$250, 'country region mapping'!$E$2:$E$250)</f>
        <v>#NAME?</v>
      </c>
      <c r="E1157" s="1" t="e">
        <f t="array" aca="1" ref="E1157" ca="1">_xludf.XLOOKUP(C1157,'country region mapping'!$A$2:$A$267,'country region mapping'!$F$2:$F$267)</f>
        <v>#NAME?</v>
      </c>
      <c r="F1157" s="1" t="e">
        <f t="array" aca="1" ref="F1157" ca="1">_xludf.XLOOKUP(C1157,'country region mapping'!$A$2:$A$267,'country region mapping'!$G$2:$G$267)</f>
        <v>#NAME?</v>
      </c>
      <c r="G1157" s="1">
        <v>4.1890000000000001</v>
      </c>
      <c r="H1157" s="1">
        <v>126</v>
      </c>
      <c r="I1157" s="1">
        <v>107</v>
      </c>
      <c r="J1157" s="1">
        <v>127</v>
      </c>
      <c r="K1157" s="1">
        <v>109</v>
      </c>
      <c r="L1157" s="1">
        <v>98</v>
      </c>
      <c r="M1157" s="1">
        <v>62</v>
      </c>
      <c r="N1157" s="1">
        <v>105</v>
      </c>
      <c r="O1157" s="1">
        <v>64</v>
      </c>
      <c r="P1157" s="1">
        <v>118</v>
      </c>
      <c r="Q1157" s="1">
        <v>62</v>
      </c>
      <c r="R1157" s="1">
        <v>24</v>
      </c>
      <c r="S1157" s="1">
        <v>11</v>
      </c>
    </row>
    <row r="1158" spans="1:19">
      <c r="A1158" s="1">
        <v>2018</v>
      </c>
      <c r="B1158" s="1">
        <v>137</v>
      </c>
      <c r="C1158" s="1" t="s">
        <v>191</v>
      </c>
      <c r="D1158" s="1" t="e">
        <f t="array" aca="1" ref="D1158" ca="1">_xludf.XLOOKUP(C1158,'country region mapping'!$A$2:$A$250, 'country region mapping'!$E$2:$E$250)</f>
        <v>#NAME?</v>
      </c>
      <c r="E1158" s="1" t="e">
        <f t="array" aca="1" ref="E1158" ca="1">_xludf.XLOOKUP(C1158,'country region mapping'!$A$2:$A$267,'country region mapping'!$F$2:$F$267)</f>
        <v>#NAME?</v>
      </c>
      <c r="F1158" s="1" t="e">
        <f t="array" aca="1" ref="F1158" ca="1">_xludf.XLOOKUP(C1158,'country region mapping'!$A$2:$A$267,'country region mapping'!$G$2:$G$267)</f>
        <v>#NAME?</v>
      </c>
      <c r="G1158" s="1">
        <v>4.1660000000000004</v>
      </c>
      <c r="H1158" s="1">
        <v>47</v>
      </c>
      <c r="I1158" s="1">
        <v>104</v>
      </c>
      <c r="J1158" s="1">
        <v>80</v>
      </c>
      <c r="K1158" s="1">
        <v>90</v>
      </c>
      <c r="L1158" s="1">
        <v>114</v>
      </c>
      <c r="M1158" s="1">
        <v>134</v>
      </c>
      <c r="O1158" s="14">
        <v>137</v>
      </c>
      <c r="P1158" s="14">
        <v>70</v>
      </c>
      <c r="Q1158" s="14">
        <v>134</v>
      </c>
      <c r="R1158" s="14">
        <v>141</v>
      </c>
      <c r="S1158" s="14">
        <v>63</v>
      </c>
    </row>
    <row r="1159" spans="1:19">
      <c r="A1159" s="1">
        <v>2018</v>
      </c>
      <c r="B1159" s="1">
        <v>138</v>
      </c>
      <c r="C1159" s="1" t="s">
        <v>170</v>
      </c>
      <c r="D1159" s="1" t="e">
        <f t="array" aca="1" ref="D1159" ca="1">_xludf.XLOOKUP(C1159,'country region mapping'!$A$2:$A$250, 'country region mapping'!$E$2:$E$250)</f>
        <v>#NAME?</v>
      </c>
      <c r="E1159" s="1" t="e">
        <f t="array" aca="1" ref="E1159" ca="1">_xludf.XLOOKUP(C1159,'country region mapping'!$A$2:$A$267,'country region mapping'!$F$2:$F$267)</f>
        <v>#NAME?</v>
      </c>
      <c r="F1159" s="1" t="e">
        <f t="array" aca="1" ref="F1159" ca="1">_xludf.XLOOKUP(C1159,'country region mapping'!$A$2:$A$267,'country region mapping'!$G$2:$G$267)</f>
        <v>#NAME?</v>
      </c>
      <c r="G1159" s="1">
        <v>4.1070000000000002</v>
      </c>
      <c r="H1159" s="1">
        <v>119</v>
      </c>
      <c r="I1159" s="1">
        <v>112</v>
      </c>
      <c r="J1159" s="1">
        <v>116</v>
      </c>
      <c r="K1159" s="1">
        <v>127</v>
      </c>
      <c r="L1159" s="1">
        <v>73</v>
      </c>
      <c r="M1159" s="1">
        <v>57</v>
      </c>
      <c r="N1159" s="1">
        <v>81</v>
      </c>
      <c r="O1159" s="1">
        <v>73</v>
      </c>
      <c r="P1159" s="1">
        <v>99</v>
      </c>
      <c r="Q1159" s="1">
        <v>57</v>
      </c>
      <c r="R1159" s="1">
        <v>22</v>
      </c>
      <c r="S1159" s="1">
        <v>8</v>
      </c>
    </row>
    <row r="1160" spans="1:19">
      <c r="A1160" s="1">
        <v>2018</v>
      </c>
      <c r="B1160" s="1">
        <v>139</v>
      </c>
      <c r="C1160" s="1" t="s">
        <v>247</v>
      </c>
      <c r="D1160" s="1" t="e">
        <f t="array" aca="1" ref="D1160" ca="1">_xludf.XLOOKUP(C1160,'country region mapping'!$A$2:$A$250, 'country region mapping'!$E$2:$E$250)</f>
        <v>#NAME?</v>
      </c>
      <c r="E1160" s="1" t="e">
        <f t="array" aca="1" ref="E1160" ca="1">_xludf.XLOOKUP(C1160,'country region mapping'!$A$2:$A$267,'country region mapping'!$F$2:$F$267)</f>
        <v>#NAME?</v>
      </c>
      <c r="F1160" s="1" t="e">
        <f t="array" aca="1" ref="F1160" ca="1">_xludf.XLOOKUP(C1160,'country region mapping'!$A$2:$A$267,'country region mapping'!$G$2:$G$267)</f>
        <v>#NAME?</v>
      </c>
      <c r="G1160" s="1">
        <v>4.085</v>
      </c>
      <c r="H1160" s="1">
        <v>56</v>
      </c>
      <c r="I1160" s="1">
        <v>134</v>
      </c>
      <c r="J1160" s="1">
        <v>129</v>
      </c>
      <c r="K1160" s="1">
        <v>118</v>
      </c>
      <c r="L1160" s="1">
        <v>125</v>
      </c>
      <c r="M1160" s="1">
        <v>109</v>
      </c>
      <c r="N1160" s="1">
        <v>79</v>
      </c>
      <c r="O1160" s="1">
        <v>96</v>
      </c>
      <c r="P1160" s="1">
        <v>131</v>
      </c>
      <c r="Q1160" s="1">
        <v>109</v>
      </c>
      <c r="R1160" s="1">
        <v>76</v>
      </c>
      <c r="S1160" s="1">
        <v>57</v>
      </c>
    </row>
    <row r="1161" spans="1:19">
      <c r="A1161" s="1">
        <v>2018</v>
      </c>
      <c r="B1161" s="1">
        <v>140</v>
      </c>
      <c r="C1161" s="1" t="s">
        <v>188</v>
      </c>
      <c r="D1161" s="1" t="e">
        <f t="array" aca="1" ref="D1161" ca="1">_xludf.XLOOKUP(C1161,'country region mapping'!$A$2:$A$250, 'country region mapping'!$E$2:$E$250)</f>
        <v>#NAME?</v>
      </c>
      <c r="E1161" s="1" t="e">
        <f t="array" aca="1" ref="E1161" ca="1">_xludf.XLOOKUP(C1161,'country region mapping'!$A$2:$A$267,'country region mapping'!$F$2:$F$267)</f>
        <v>#NAME?</v>
      </c>
      <c r="F1161" s="1" t="e">
        <f t="array" aca="1" ref="F1161" ca="1">_xludf.XLOOKUP(C1161,'country region mapping'!$A$2:$A$267,'country region mapping'!$G$2:$G$267)</f>
        <v>#NAME?</v>
      </c>
      <c r="G1161" s="1">
        <v>4.0149999999999997</v>
      </c>
      <c r="H1161" s="1">
        <v>73</v>
      </c>
      <c r="I1161" s="1">
        <v>126</v>
      </c>
      <c r="J1161" s="1">
        <v>98</v>
      </c>
      <c r="K1161" s="1">
        <v>98</v>
      </c>
      <c r="L1161" s="1">
        <v>29</v>
      </c>
      <c r="M1161" s="1">
        <v>40</v>
      </c>
      <c r="N1161" s="1">
        <v>76</v>
      </c>
      <c r="O1161" s="1">
        <v>101</v>
      </c>
      <c r="P1161" s="1">
        <v>103</v>
      </c>
      <c r="Q1161" s="1">
        <v>40</v>
      </c>
      <c r="R1161" s="1">
        <v>32</v>
      </c>
      <c r="S1161" s="1">
        <v>104</v>
      </c>
    </row>
    <row r="1162" spans="1:19">
      <c r="A1162" s="1">
        <v>2018</v>
      </c>
      <c r="B1162" s="1">
        <v>141</v>
      </c>
      <c r="C1162" s="1" t="s">
        <v>238</v>
      </c>
      <c r="D1162" s="1" t="e">
        <f t="array" aca="1" ref="D1162" ca="1">_xludf.XLOOKUP(C1162,'country region mapping'!$A$2:$A$250, 'country region mapping'!$E$2:$E$250)</f>
        <v>#NAME?</v>
      </c>
      <c r="E1162" s="1" t="e">
        <f t="array" aca="1" ref="E1162" ca="1">_xludf.XLOOKUP(C1162,'country region mapping'!$A$2:$A$267,'country region mapping'!$F$2:$F$267)</f>
        <v>#NAME?</v>
      </c>
      <c r="F1162" s="1" t="e">
        <f t="array" aca="1" ref="F1162" ca="1">_xludf.XLOOKUP(C1162,'country region mapping'!$A$2:$A$267,'country region mapping'!$G$2:$G$267)</f>
        <v>#NAME?</v>
      </c>
      <c r="G1162" s="1">
        <v>3.9750000000000001</v>
      </c>
      <c r="H1162" s="1">
        <v>141</v>
      </c>
      <c r="I1162" s="1">
        <v>111</v>
      </c>
      <c r="J1162" s="1">
        <v>136</v>
      </c>
      <c r="K1162" s="1">
        <v>126</v>
      </c>
      <c r="L1162" s="1">
        <v>84</v>
      </c>
      <c r="M1162" s="1">
        <v>86</v>
      </c>
      <c r="N1162" s="1">
        <v>111</v>
      </c>
      <c r="O1162" s="1">
        <v>71</v>
      </c>
      <c r="P1162" s="1">
        <v>129</v>
      </c>
      <c r="Q1162" s="1">
        <v>86</v>
      </c>
      <c r="R1162" s="1">
        <v>4</v>
      </c>
      <c r="S1162" s="1">
        <v>1</v>
      </c>
    </row>
    <row r="1163" spans="1:19">
      <c r="A1163" s="1">
        <v>2018</v>
      </c>
      <c r="B1163" s="1">
        <v>142</v>
      </c>
      <c r="C1163" s="1" t="s">
        <v>219</v>
      </c>
      <c r="D1163" s="1" t="e">
        <f t="array" aca="1" ref="D1163" ca="1">_xludf.XLOOKUP(C1163,'country region mapping'!$A$2:$A$250, 'country region mapping'!$E$2:$E$250)</f>
        <v>#NAME?</v>
      </c>
      <c r="E1163" s="1" t="e">
        <f t="array" aca="1" ref="E1163" ca="1">_xludf.XLOOKUP(C1163,'country region mapping'!$A$2:$A$267,'country region mapping'!$F$2:$F$267)</f>
        <v>#NAME?</v>
      </c>
      <c r="F1163" s="1" t="e">
        <f t="array" aca="1" ref="F1163" ca="1">_xludf.XLOOKUP(C1163,'country region mapping'!$A$2:$A$267,'country region mapping'!$G$2:$G$267)</f>
        <v>#NAME?</v>
      </c>
      <c r="G1163" s="1">
        <v>3.9729999999999999</v>
      </c>
      <c r="H1163" s="1">
        <v>122</v>
      </c>
      <c r="I1163" s="1">
        <v>128</v>
      </c>
      <c r="J1163" s="1">
        <v>118</v>
      </c>
      <c r="K1163" s="1">
        <v>101</v>
      </c>
      <c r="L1163" s="1">
        <v>135</v>
      </c>
      <c r="M1163" s="1">
        <v>48</v>
      </c>
      <c r="N1163" s="1">
        <v>67</v>
      </c>
      <c r="O1163" s="1">
        <v>63</v>
      </c>
      <c r="P1163" s="1">
        <v>95</v>
      </c>
      <c r="Q1163" s="1">
        <v>48</v>
      </c>
      <c r="R1163" s="1">
        <v>3</v>
      </c>
      <c r="S1163" s="1">
        <v>15</v>
      </c>
    </row>
    <row r="1164" spans="1:19">
      <c r="A1164" s="1">
        <v>2018</v>
      </c>
      <c r="B1164" s="1">
        <v>143</v>
      </c>
      <c r="C1164" s="1" t="s">
        <v>235</v>
      </c>
      <c r="D1164" s="1" t="e">
        <f t="array" aca="1" ref="D1164" ca="1">_xludf.XLOOKUP(C1164,'country region mapping'!$A$2:$A$250, 'country region mapping'!$E$2:$E$250)</f>
        <v>#NAME?</v>
      </c>
      <c r="E1164" s="1" t="e">
        <f t="array" aca="1" ref="E1164" ca="1">_xludf.XLOOKUP(C1164,'country region mapping'!$A$2:$A$267,'country region mapping'!$F$2:$F$267)</f>
        <v>#NAME?</v>
      </c>
      <c r="F1164" s="1" t="e">
        <f t="array" aca="1" ref="F1164" ca="1">_xludf.XLOOKUP(C1164,'country region mapping'!$A$2:$A$267,'country region mapping'!$G$2:$G$267)</f>
        <v>#NAME?</v>
      </c>
      <c r="G1164" s="1">
        <v>3.9329999999999998</v>
      </c>
      <c r="H1164" s="1">
        <v>100</v>
      </c>
      <c r="I1164" s="1">
        <v>123</v>
      </c>
      <c r="J1164" s="1">
        <v>135</v>
      </c>
      <c r="K1164" s="1">
        <v>113</v>
      </c>
      <c r="L1164" s="1">
        <v>137</v>
      </c>
      <c r="M1164" s="1">
        <v>102</v>
      </c>
      <c r="N1164" s="1">
        <v>116</v>
      </c>
      <c r="O1164" s="1">
        <v>45</v>
      </c>
      <c r="P1164" s="1">
        <v>106</v>
      </c>
      <c r="Q1164" s="1">
        <v>102</v>
      </c>
      <c r="R1164" s="1">
        <v>35</v>
      </c>
      <c r="S1164" s="1">
        <v>95</v>
      </c>
    </row>
    <row r="1165" spans="1:19">
      <c r="A1165" s="1">
        <v>2018</v>
      </c>
      <c r="B1165" s="1">
        <v>144</v>
      </c>
      <c r="C1165" s="1" t="s">
        <v>321</v>
      </c>
      <c r="D1165" s="1" t="e">
        <f t="array" aca="1" ref="D1165" ca="1">_xludf.XLOOKUP(C1165,'country region mapping'!$A$2:$A$250, 'country region mapping'!$E$2:$E$250)</f>
        <v>#NAME?</v>
      </c>
      <c r="E1165" s="1" t="e">
        <f t="array" aca="1" ref="E1165" ca="1">_xludf.XLOOKUP(C1165,'country region mapping'!$A$2:$A$267,'country region mapping'!$F$2:$F$267)</f>
        <v>#NAME?</v>
      </c>
      <c r="F1165" s="1" t="e">
        <f t="array" aca="1" ref="F1165" ca="1">_xludf.XLOOKUP(C1165,'country region mapping'!$A$2:$A$267,'country region mapping'!$G$2:$G$267)</f>
        <v>#NAME?</v>
      </c>
      <c r="G1165" s="1">
        <v>3.802</v>
      </c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</row>
    <row r="1166" spans="1:19">
      <c r="A1166" s="1">
        <v>2018</v>
      </c>
      <c r="B1166" s="1">
        <v>145</v>
      </c>
      <c r="C1166" s="1" t="s">
        <v>250</v>
      </c>
      <c r="D1166" s="1" t="e">
        <f t="array" aca="1" ref="D1166" ca="1">_xludf.XLOOKUP(C1166,'country region mapping'!$A$2:$A$250, 'country region mapping'!$E$2:$E$250)</f>
        <v>#NAME?</v>
      </c>
      <c r="E1166" s="1" t="e">
        <f t="array" aca="1" ref="E1166" ca="1">_xludf.XLOOKUP(C1166,'country region mapping'!$A$2:$A$267,'country region mapping'!$F$2:$F$267)</f>
        <v>#NAME?</v>
      </c>
      <c r="F1166" s="1" t="e">
        <f t="array" aca="1" ref="F1166" ca="1">_xludf.XLOOKUP(C1166,'country region mapping'!$A$2:$A$267,'country region mapping'!$G$2:$G$267)</f>
        <v>#NAME?</v>
      </c>
      <c r="G1166" s="1">
        <v>3.7749999999999999</v>
      </c>
      <c r="H1166" s="1">
        <v>120</v>
      </c>
      <c r="I1166" s="1">
        <v>141</v>
      </c>
      <c r="J1166" s="1">
        <v>140</v>
      </c>
      <c r="K1166" s="1">
        <v>114</v>
      </c>
      <c r="L1166" s="1">
        <v>121</v>
      </c>
      <c r="M1166" s="1">
        <v>137</v>
      </c>
      <c r="N1166" s="1">
        <v>22</v>
      </c>
      <c r="O1166" s="1">
        <v>83</v>
      </c>
      <c r="P1166" s="1">
        <v>107</v>
      </c>
      <c r="Q1166" s="1">
        <v>137</v>
      </c>
      <c r="R1166" s="1">
        <v>60</v>
      </c>
      <c r="S1166" s="1">
        <v>119</v>
      </c>
    </row>
    <row r="1167" spans="1:19">
      <c r="A1167" s="1">
        <v>2018</v>
      </c>
      <c r="B1167" s="1">
        <v>146</v>
      </c>
      <c r="C1167" s="1" t="s">
        <v>208</v>
      </c>
      <c r="D1167" s="1" t="e">
        <f t="array" aca="1" ref="D1167" ca="1">_xludf.XLOOKUP(C1167,'country region mapping'!$A$2:$A$250, 'country region mapping'!$E$2:$E$250)</f>
        <v>#NAME?</v>
      </c>
      <c r="E1167" s="1" t="e">
        <f t="array" aca="1" ref="E1167" ca="1">_xludf.XLOOKUP(C1167,'country region mapping'!$A$2:$A$267,'country region mapping'!$F$2:$F$267)</f>
        <v>#NAME?</v>
      </c>
      <c r="F1167" s="1" t="e">
        <f t="array" aca="1" ref="F1167" ca="1">_xludf.XLOOKUP(C1167,'country region mapping'!$A$2:$A$267,'country region mapping'!$G$2:$G$267)</f>
        <v>#NAME?</v>
      </c>
      <c r="G1167" s="1">
        <v>3.6629999999999998</v>
      </c>
      <c r="H1167" s="1">
        <v>93</v>
      </c>
      <c r="I1167" s="1">
        <v>99</v>
      </c>
      <c r="J1167" s="1">
        <v>117</v>
      </c>
      <c r="K1167" s="1">
        <v>133</v>
      </c>
      <c r="L1167" s="1">
        <v>85</v>
      </c>
      <c r="M1167" s="1">
        <v>115</v>
      </c>
      <c r="N1167" s="1">
        <v>93</v>
      </c>
      <c r="O1167" s="1">
        <v>75</v>
      </c>
      <c r="P1167" s="1">
        <v>31</v>
      </c>
      <c r="Q1167" s="1">
        <v>115</v>
      </c>
      <c r="R1167" s="1">
        <v>39</v>
      </c>
      <c r="S1167" s="1">
        <v>50</v>
      </c>
    </row>
    <row r="1168" spans="1:19">
      <c r="A1168" s="1">
        <v>2018</v>
      </c>
      <c r="B1168" s="1">
        <v>147</v>
      </c>
      <c r="C1168" s="1" t="s">
        <v>216</v>
      </c>
      <c r="D1168" s="1" t="e">
        <f t="array" aca="1" ref="D1168" ca="1">_xludf.XLOOKUP(C1168,'country region mapping'!$A$2:$A$250, 'country region mapping'!$E$2:$E$250)</f>
        <v>#NAME?</v>
      </c>
      <c r="E1168" s="1" t="e">
        <f t="array" aca="1" ref="E1168" ca="1">_xludf.XLOOKUP(C1168,'country region mapping'!$A$2:$A$267,'country region mapping'!$F$2:$F$267)</f>
        <v>#NAME?</v>
      </c>
      <c r="F1168" s="1" t="e">
        <f t="array" aca="1" ref="F1168" ca="1">_xludf.XLOOKUP(C1168,'country region mapping'!$A$2:$A$267,'country region mapping'!$G$2:$G$267)</f>
        <v>#NAME?</v>
      </c>
      <c r="G1168" s="1">
        <v>3.597</v>
      </c>
      <c r="H1168" s="1">
        <v>129</v>
      </c>
      <c r="I1168" s="1">
        <v>137</v>
      </c>
      <c r="J1168" s="1">
        <v>119</v>
      </c>
      <c r="K1168" s="1">
        <v>122</v>
      </c>
      <c r="L1168" s="1">
        <v>132</v>
      </c>
      <c r="M1168" s="1">
        <v>6</v>
      </c>
      <c r="N1168" s="1">
        <v>42</v>
      </c>
      <c r="O1168" s="1">
        <v>103</v>
      </c>
      <c r="P1168" s="1">
        <v>104</v>
      </c>
      <c r="Q1168" s="1">
        <v>6</v>
      </c>
      <c r="R1168" s="1">
        <v>6</v>
      </c>
      <c r="S1168" s="1">
        <v>5</v>
      </c>
    </row>
    <row r="1169" spans="1:19">
      <c r="A1169" s="1">
        <v>2018</v>
      </c>
      <c r="B1169" s="1">
        <v>148</v>
      </c>
      <c r="C1169" s="1" t="s">
        <v>218</v>
      </c>
      <c r="D1169" s="1" t="e">
        <f t="array" aca="1" ref="D1169" ca="1">_xludf.XLOOKUP(C1169,'country region mapping'!$A$2:$A$250, 'country region mapping'!$E$2:$E$250)</f>
        <v>#NAME?</v>
      </c>
      <c r="E1169" s="1" t="e">
        <f t="array" aca="1" ref="E1169" ca="1">_xludf.XLOOKUP(C1169,'country region mapping'!$A$2:$A$267,'country region mapping'!$F$2:$F$267)</f>
        <v>#NAME?</v>
      </c>
      <c r="F1169" s="1" t="e">
        <f t="array" aca="1" ref="F1169" ca="1">_xludf.XLOOKUP(C1169,'country region mapping'!$A$2:$A$267,'country region mapping'!$G$2:$G$267)</f>
        <v>#NAME?</v>
      </c>
      <c r="G1169" s="1">
        <v>3.488</v>
      </c>
      <c r="H1169" s="1">
        <v>105</v>
      </c>
      <c r="I1169" s="1">
        <v>90</v>
      </c>
      <c r="J1169" s="1">
        <v>63</v>
      </c>
      <c r="K1169" s="1">
        <v>116</v>
      </c>
      <c r="L1169" s="1">
        <v>61</v>
      </c>
      <c r="M1169" s="1">
        <v>138</v>
      </c>
      <c r="N1169" s="1">
        <v>77</v>
      </c>
      <c r="O1169" s="1">
        <v>62</v>
      </c>
      <c r="P1169" s="1">
        <v>57</v>
      </c>
      <c r="Q1169" s="1">
        <v>138</v>
      </c>
      <c r="R1169" s="1">
        <v>110</v>
      </c>
      <c r="S1169" s="1">
        <v>12</v>
      </c>
    </row>
    <row r="1170" spans="1:19">
      <c r="A1170" s="1">
        <v>2018</v>
      </c>
      <c r="B1170" s="1">
        <v>149</v>
      </c>
      <c r="C1170" s="1" t="s">
        <v>248</v>
      </c>
      <c r="D1170" s="1" t="e">
        <f t="array" aca="1" ref="D1170" ca="1">_xludf.XLOOKUP(C1170,'country region mapping'!$A$2:$A$267,'country region mapping'!$E$2:$E$267)</f>
        <v>#NAME?</v>
      </c>
      <c r="E1170" s="1" t="e">
        <f t="array" aca="1" ref="E1170" ca="1">_xludf.XLOOKUP(C1170,'country region mapping'!$A$2:$A$267,'country region mapping'!$F$2:$F$267)</f>
        <v>#NAME?</v>
      </c>
      <c r="F1170" s="1" t="e">
        <f t="array" aca="1" ref="F1170" ca="1">_xludf.XLOOKUP(C1170,'country region mapping'!$A$2:$A$267,'country region mapping'!$G$2:$G$267)</f>
        <v>#NAME?</v>
      </c>
      <c r="G1170" s="1">
        <v>3.4620000000000002</v>
      </c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</row>
    <row r="1171" spans="1:19">
      <c r="A1171" s="1">
        <v>2018</v>
      </c>
      <c r="B1171" s="1">
        <v>150</v>
      </c>
      <c r="C1171" s="1" t="s">
        <v>210</v>
      </c>
      <c r="D1171" s="1" t="e">
        <f t="array" aca="1" ref="D1171" ca="1">_xludf.XLOOKUP(C1171,'country region mapping'!$A$2:$A$250, 'country region mapping'!$E$2:$E$250)</f>
        <v>#NAME?</v>
      </c>
      <c r="E1171" s="1" t="e">
        <f t="array" aca="1" ref="E1171" ca="1">_xludf.XLOOKUP(C1171,'country region mapping'!$A$2:$A$267,'country region mapping'!$F$2:$F$267)</f>
        <v>#NAME?</v>
      </c>
      <c r="F1171" s="1" t="e">
        <f t="array" aca="1" ref="F1171" ca="1">_xludf.XLOOKUP(C1171,'country region mapping'!$A$2:$A$267,'country region mapping'!$G$2:$G$267)</f>
        <v>#NAME?</v>
      </c>
      <c r="G1171" s="1">
        <v>3.41</v>
      </c>
      <c r="H1171" s="1">
        <v>132</v>
      </c>
      <c r="I1171" s="1">
        <v>138</v>
      </c>
      <c r="J1171" s="1">
        <v>137</v>
      </c>
      <c r="K1171" s="1">
        <v>119</v>
      </c>
      <c r="L1171" s="1">
        <v>69</v>
      </c>
      <c r="M1171" s="1">
        <v>87</v>
      </c>
      <c r="N1171" s="1">
        <v>56</v>
      </c>
      <c r="O1171" s="1">
        <v>114</v>
      </c>
      <c r="P1171" s="1">
        <v>108</v>
      </c>
      <c r="Q1171" s="1">
        <v>87</v>
      </c>
      <c r="R1171" s="1">
        <v>36</v>
      </c>
      <c r="S1171" s="1">
        <v>14</v>
      </c>
    </row>
    <row r="1172" spans="1:19">
      <c r="A1172" s="1">
        <v>2018</v>
      </c>
      <c r="B1172" s="1">
        <v>151</v>
      </c>
      <c r="C1172" s="1" t="s">
        <v>233</v>
      </c>
      <c r="D1172" s="1" t="e">
        <f t="array" aca="1" ref="D1172" ca="1">_xludf.XLOOKUP(C1172,'country region mapping'!$A$2:$A$250, 'country region mapping'!$E$2:$E$250)</f>
        <v>#NAME?</v>
      </c>
      <c r="E1172" s="1" t="e">
        <f t="array" aca="1" ref="E1172" ca="1">_xludf.XLOOKUP(C1172,'country region mapping'!$A$2:$A$267,'country region mapping'!$F$2:$F$267)</f>
        <v>#NAME?</v>
      </c>
      <c r="F1172" s="1" t="e">
        <f t="array" aca="1" ref="F1172" ca="1">_xludf.XLOOKUP(C1172,'country region mapping'!$A$2:$A$267,'country region mapping'!$G$2:$G$267)</f>
        <v>#NAME?</v>
      </c>
      <c r="G1172" s="1">
        <v>3.38</v>
      </c>
      <c r="H1172" s="1">
        <v>87</v>
      </c>
      <c r="I1172" s="1">
        <v>93</v>
      </c>
      <c r="J1172" s="1">
        <v>133</v>
      </c>
      <c r="K1172" s="1">
        <v>110</v>
      </c>
      <c r="L1172" s="1">
        <v>136</v>
      </c>
      <c r="M1172" s="1">
        <v>139</v>
      </c>
      <c r="N1172" s="1">
        <v>65</v>
      </c>
      <c r="O1172" s="1">
        <v>135</v>
      </c>
      <c r="P1172" s="1">
        <v>88</v>
      </c>
      <c r="Q1172" s="1">
        <v>139</v>
      </c>
      <c r="R1172" s="1">
        <v>131</v>
      </c>
      <c r="S1172" s="1">
        <v>80</v>
      </c>
    </row>
    <row r="1173" spans="1:19">
      <c r="A1173" s="1">
        <v>2018</v>
      </c>
      <c r="B1173" s="1">
        <v>152</v>
      </c>
      <c r="C1173" s="1" t="s">
        <v>242</v>
      </c>
      <c r="D1173" s="1" t="e">
        <f t="array" aca="1" ref="D1173" ca="1">_xludf.XLOOKUP(C1173,'country region mapping'!$A$2:$A$250, 'country region mapping'!$E$2:$E$250)</f>
        <v>#NAME?</v>
      </c>
      <c r="E1173" s="1" t="e">
        <f t="array" aca="1" ref="E1173" ca="1">_xludf.XLOOKUP(C1173,'country region mapping'!$A$2:$A$267,'country region mapping'!$F$2:$F$267)</f>
        <v>#NAME?</v>
      </c>
      <c r="F1173" s="1" t="e">
        <f t="array" aca="1" ref="F1173" ca="1">_xludf.XLOOKUP(C1173,'country region mapping'!$A$2:$A$267,'country region mapping'!$G$2:$G$267)</f>
        <v>#NAME?</v>
      </c>
      <c r="G1173" s="1">
        <v>3.3340000000000001</v>
      </c>
      <c r="H1173" s="1">
        <v>83</v>
      </c>
      <c r="I1173" s="1">
        <v>132</v>
      </c>
      <c r="J1173" s="1">
        <v>128</v>
      </c>
      <c r="K1173" s="1">
        <v>104</v>
      </c>
      <c r="L1173" s="1">
        <v>15</v>
      </c>
      <c r="M1173" s="1">
        <v>70</v>
      </c>
      <c r="N1173" s="1">
        <v>3</v>
      </c>
      <c r="O1173" s="1">
        <v>18</v>
      </c>
      <c r="P1173" s="1">
        <v>87</v>
      </c>
      <c r="Q1173" s="1">
        <v>70</v>
      </c>
      <c r="R1173" s="1">
        <v>72</v>
      </c>
      <c r="S1173" s="1">
        <v>97</v>
      </c>
    </row>
    <row r="1174" spans="1:19">
      <c r="A1174" s="1">
        <v>2018</v>
      </c>
      <c r="B1174" s="1">
        <v>153</v>
      </c>
      <c r="C1174" s="1" t="s">
        <v>236</v>
      </c>
      <c r="D1174" s="1" t="e">
        <f t="array" aca="1" ref="D1174" ca="1">_xludf.XLOOKUP(C1174,'country region mapping'!$A$2:$A$267,'country region mapping'!$E$2:$E$267)</f>
        <v>#NAME?</v>
      </c>
      <c r="E1174" s="1" t="e">
        <f t="array" aca="1" ref="E1174" ca="1">_xludf.XLOOKUP(C1174,'country region mapping'!$A$2:$A$267,'country region mapping'!$F$2:$F$267)</f>
        <v>#NAME?</v>
      </c>
      <c r="F1174" s="1" t="e">
        <f t="array" aca="1" ref="F1174" ca="1">_xludf.XLOOKUP(C1174,'country region mapping'!$A$2:$A$267,'country region mapping'!$G$2:$G$267)</f>
        <v>#NAME?</v>
      </c>
      <c r="G1174" s="1">
        <v>3.2309999999999999</v>
      </c>
      <c r="H1174" s="1">
        <v>110</v>
      </c>
      <c r="I1174" s="1">
        <v>121</v>
      </c>
      <c r="J1174" s="1">
        <v>122</v>
      </c>
      <c r="K1174" s="1">
        <v>105</v>
      </c>
      <c r="L1174" s="1">
        <v>68</v>
      </c>
      <c r="M1174" s="1">
        <v>39</v>
      </c>
      <c r="N1174" s="1">
        <v>23</v>
      </c>
      <c r="O1174" s="1">
        <v>57</v>
      </c>
      <c r="P1174" s="1">
        <v>38</v>
      </c>
      <c r="Q1174" s="1">
        <v>39</v>
      </c>
      <c r="R1174" s="1">
        <v>84</v>
      </c>
      <c r="S1174" s="1">
        <v>92</v>
      </c>
    </row>
    <row r="1175" spans="1:19">
      <c r="A1175" s="1">
        <v>2018</v>
      </c>
      <c r="B1175" s="1">
        <v>154</v>
      </c>
      <c r="C1175" s="1" t="s">
        <v>245</v>
      </c>
      <c r="D1175" s="1" t="e">
        <f t="array" aca="1" ref="D1175" ca="1">_xludf.XLOOKUP(C1175,'country region mapping'!$A$2:$A$250, 'country region mapping'!$E$2:$E$250)</f>
        <v>#NAME?</v>
      </c>
      <c r="E1175" s="1" t="e">
        <f t="array" aca="1" ref="E1175" ca="1">_xludf.XLOOKUP(C1175,'country region mapping'!$A$2:$A$267,'country region mapping'!$F$2:$F$267)</f>
        <v>#NAME?</v>
      </c>
      <c r="F1175" s="1" t="e">
        <f t="array" aca="1" ref="F1175" ca="1">_xludf.XLOOKUP(C1175,'country region mapping'!$A$2:$A$267,'country region mapping'!$G$2:$G$267)</f>
        <v>#NAME?</v>
      </c>
      <c r="G1175" s="1">
        <v>3.2029999999999998</v>
      </c>
      <c r="H1175" s="1">
        <v>4</v>
      </c>
      <c r="I1175" s="1">
        <v>139</v>
      </c>
      <c r="J1175" s="1">
        <v>124</v>
      </c>
      <c r="K1175" s="1">
        <v>132</v>
      </c>
      <c r="L1175" s="1">
        <v>140</v>
      </c>
      <c r="M1175" s="1">
        <v>133</v>
      </c>
      <c r="N1175" s="1">
        <v>130</v>
      </c>
      <c r="O1175" s="1">
        <v>138</v>
      </c>
      <c r="P1175" s="1">
        <v>123</v>
      </c>
      <c r="Q1175" s="1">
        <v>133</v>
      </c>
      <c r="R1175" s="1">
        <v>87</v>
      </c>
      <c r="S1175" s="1">
        <v>87</v>
      </c>
    </row>
    <row r="1176" spans="1:19">
      <c r="A1176" s="1">
        <v>2018</v>
      </c>
      <c r="B1176" s="1">
        <v>155</v>
      </c>
      <c r="C1176" s="1" t="s">
        <v>332</v>
      </c>
      <c r="D1176" s="1" t="e">
        <f t="array" aca="1" ref="D1176" ca="1">_xludf.XLOOKUP(C1176,'country region mapping'!$A$2:$A$250, 'country region mapping'!$E$2:$E$250)</f>
        <v>#NAME?</v>
      </c>
      <c r="E1176" s="1" t="e">
        <f t="array" aca="1" ref="E1176" ca="1">_xludf.XLOOKUP(C1176,'country region mapping'!$A$2:$A$267,'country region mapping'!$F$2:$F$267)</f>
        <v>#NAME?</v>
      </c>
      <c r="F1176" s="1" t="e">
        <f t="array" aca="1" ref="F1176" ca="1">_xludf.XLOOKUP(C1176,'country region mapping'!$A$2:$A$267,'country region mapping'!$G$2:$G$267)</f>
        <v>#NAME?</v>
      </c>
      <c r="G1176" s="1">
        <v>3.0830000000000002</v>
      </c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</row>
    <row r="1177" spans="1:19">
      <c r="A1177" s="1">
        <v>2018</v>
      </c>
      <c r="B1177" s="1">
        <v>156</v>
      </c>
      <c r="C1177" s="1" t="s">
        <v>226</v>
      </c>
      <c r="D1177" s="1" t="e">
        <f t="array" aca="1" ref="D1177" ca="1">_xludf.XLOOKUP(C1177,'country region mapping'!$A$2:$A$250, 'country region mapping'!$E$2:$E$250)</f>
        <v>#NAME?</v>
      </c>
      <c r="E1177" s="1" t="e">
        <f t="array" aca="1" ref="E1177" ca="1">_xludf.XLOOKUP(C1177,'country region mapping'!$A$2:$A$267,'country region mapping'!$F$2:$F$267)</f>
        <v>#NAME?</v>
      </c>
      <c r="F1177" s="1" t="e">
        <f t="array" aca="1" ref="F1177" ca="1">_xludf.XLOOKUP(C1177,'country region mapping'!$A$2:$A$267,'country region mapping'!$G$2:$G$267)</f>
        <v>#NAME?</v>
      </c>
      <c r="G1177" s="1">
        <v>2.8530000000000002</v>
      </c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</row>
    <row r="1178" spans="1:19">
      <c r="A1178" s="1">
        <v>2017</v>
      </c>
      <c r="B1178" s="1"/>
      <c r="C1178" s="1" t="s">
        <v>403</v>
      </c>
      <c r="D1178" s="1" t="e">
        <f t="array" aca="1" ref="D1178" ca="1">_xludf.XLOOKUP(C1178,'country region mapping'!$A$2:$A$250, 'country region mapping'!$E$2:$E$250)</f>
        <v>#NAME?</v>
      </c>
      <c r="E1178" s="1" t="e">
        <f t="array" aca="1" ref="E1178" ca="1">_xludf.XLOOKUP(C1178,'country region mapping'!$A$2:$A$267,'country region mapping'!$F$2:$F$267)</f>
        <v>#NAME?</v>
      </c>
      <c r="F1178" s="1" t="e">
        <f t="array" aca="1" ref="F1178" ca="1">_xludf.XLOOKUP(C1178,'country region mapping'!$A$2:$A$267,'country region mapping'!$G$2:$G$267)</f>
        <v>#NAME?</v>
      </c>
      <c r="G1178" s="1"/>
      <c r="H1178" s="1">
        <v>102</v>
      </c>
      <c r="I1178" s="1">
        <v>118</v>
      </c>
      <c r="J1178" s="1">
        <v>131</v>
      </c>
      <c r="K1178" s="1">
        <v>114</v>
      </c>
      <c r="L1178" s="1">
        <v>74</v>
      </c>
      <c r="M1178" s="1">
        <v>63</v>
      </c>
      <c r="N1178" s="1">
        <v>20</v>
      </c>
      <c r="O1178" s="1">
        <v>18</v>
      </c>
      <c r="P1178" s="1">
        <v>71</v>
      </c>
      <c r="Q1178" s="1">
        <v>63</v>
      </c>
      <c r="R1178" s="1">
        <v>34</v>
      </c>
      <c r="S1178" s="1">
        <v>7</v>
      </c>
    </row>
    <row r="1179" spans="1:19">
      <c r="A1179" s="1">
        <v>2017</v>
      </c>
      <c r="B1179" s="1">
        <v>1</v>
      </c>
      <c r="C1179" s="1" t="s">
        <v>37</v>
      </c>
      <c r="D1179" s="1" t="e">
        <f t="array" aca="1" ref="D1179" ca="1">_xludf.XLOOKUP(C1179,'country region mapping'!$A$2:$A$250, 'country region mapping'!$E$2:$E$250)</f>
        <v>#NAME?</v>
      </c>
      <c r="E1179" s="1" t="e">
        <f t="array" aca="1" ref="E1179" ca="1">_xludf.XLOOKUP(C1179,'country region mapping'!$A$2:$A$267,'country region mapping'!$F$2:$F$267)</f>
        <v>#NAME?</v>
      </c>
      <c r="F1179" s="1" t="e">
        <f t="array" aca="1" ref="F1179" ca="1">_xludf.XLOOKUP(C1179,'country region mapping'!$A$2:$A$267,'country region mapping'!$G$2:$G$267)</f>
        <v>#NAME?</v>
      </c>
      <c r="G1179" s="1">
        <v>7.6319999999999997</v>
      </c>
      <c r="H1179" s="1">
        <v>2</v>
      </c>
      <c r="I1179" s="1">
        <v>2</v>
      </c>
      <c r="J1179" s="1">
        <v>18</v>
      </c>
      <c r="K1179" s="1">
        <v>21</v>
      </c>
      <c r="L1179" s="1">
        <v>3</v>
      </c>
      <c r="M1179" s="1">
        <v>37</v>
      </c>
      <c r="N1179" s="1">
        <v>3</v>
      </c>
      <c r="O1179" s="1">
        <v>23</v>
      </c>
      <c r="P1179" s="1">
        <v>10</v>
      </c>
      <c r="Q1179" s="1">
        <v>37</v>
      </c>
      <c r="R1179" s="1">
        <v>49</v>
      </c>
      <c r="S1179" s="1">
        <v>60</v>
      </c>
    </row>
    <row r="1180" spans="1:19">
      <c r="A1180" s="1">
        <v>2017</v>
      </c>
      <c r="B1180" s="1">
        <v>2</v>
      </c>
      <c r="C1180" s="1" t="s">
        <v>35</v>
      </c>
      <c r="D1180" s="1" t="e">
        <f t="array" aca="1" ref="D1180" ca="1">_xludf.XLOOKUP(C1180,'country region mapping'!$A$2:$A$250, 'country region mapping'!$E$2:$E$250)</f>
        <v>#NAME?</v>
      </c>
      <c r="E1180" s="1" t="e">
        <f t="array" aca="1" ref="E1180" ca="1">_xludf.XLOOKUP(C1180,'country region mapping'!$A$2:$A$267,'country region mapping'!$F$2:$F$267)</f>
        <v>#NAME?</v>
      </c>
      <c r="F1180" s="1" t="e">
        <f t="array" aca="1" ref="F1180" ca="1">_xludf.XLOOKUP(C1180,'country region mapping'!$A$2:$A$267,'country region mapping'!$G$2:$G$267)</f>
        <v>#NAME?</v>
      </c>
      <c r="G1180" s="1">
        <v>7.5940000000000003</v>
      </c>
      <c r="H1180" s="1">
        <v>15</v>
      </c>
      <c r="I1180" s="1">
        <v>5</v>
      </c>
      <c r="J1180" s="1">
        <v>4</v>
      </c>
      <c r="K1180" s="1">
        <v>11</v>
      </c>
      <c r="L1180" s="1">
        <v>6</v>
      </c>
      <c r="M1180" s="1">
        <v>8</v>
      </c>
      <c r="N1180" s="1">
        <v>7</v>
      </c>
      <c r="O1180" s="1">
        <v>4</v>
      </c>
      <c r="P1180" s="1">
        <v>25</v>
      </c>
      <c r="Q1180" s="1">
        <v>8</v>
      </c>
      <c r="R1180" s="1">
        <v>29</v>
      </c>
      <c r="S1180" s="1">
        <v>55</v>
      </c>
    </row>
    <row r="1181" spans="1:19">
      <c r="A1181" s="1">
        <v>2017</v>
      </c>
      <c r="B1181" s="1">
        <v>3</v>
      </c>
      <c r="C1181" s="1" t="s">
        <v>30</v>
      </c>
      <c r="D1181" s="1" t="e">
        <f t="array" aca="1" ref="D1181" ca="1">_xludf.XLOOKUP(C1181,'country region mapping'!$A$2:$A$250, 'country region mapping'!$E$2:$E$250)</f>
        <v>#NAME?</v>
      </c>
      <c r="E1181" s="1" t="e">
        <f t="array" aca="1" ref="E1181" ca="1">_xludf.XLOOKUP(C1181,'country region mapping'!$A$2:$A$267,'country region mapping'!$F$2:$F$267)</f>
        <v>#NAME?</v>
      </c>
      <c r="F1181" s="1" t="e">
        <f t="array" aca="1" ref="F1181" ca="1">_xludf.XLOOKUP(C1181,'country region mapping'!$A$2:$A$267,'country region mapping'!$G$2:$G$267)</f>
        <v>#NAME?</v>
      </c>
      <c r="G1181" s="1">
        <v>7.5549999999999997</v>
      </c>
      <c r="H1181" s="1">
        <v>23</v>
      </c>
      <c r="I1181" s="1">
        <v>4</v>
      </c>
      <c r="J1181" s="1">
        <v>10</v>
      </c>
      <c r="K1181" s="1">
        <v>20</v>
      </c>
      <c r="L1181" s="1">
        <v>5</v>
      </c>
      <c r="M1181" s="1">
        <v>16</v>
      </c>
      <c r="N1181" s="1">
        <v>2</v>
      </c>
      <c r="O1181" s="1">
        <v>14</v>
      </c>
      <c r="P1181" s="1">
        <v>27</v>
      </c>
      <c r="Q1181" s="1">
        <v>16</v>
      </c>
      <c r="R1181" s="1">
        <v>54</v>
      </c>
      <c r="S1181" s="1">
        <v>40</v>
      </c>
    </row>
    <row r="1182" spans="1:19">
      <c r="A1182" s="1">
        <v>2017</v>
      </c>
      <c r="B1182" s="1">
        <v>4</v>
      </c>
      <c r="C1182" s="1" t="s">
        <v>34</v>
      </c>
      <c r="D1182" s="1" t="e">
        <f t="array" aca="1" ref="D1182" ca="1">_xludf.XLOOKUP(C1182,'country region mapping'!$A$2:$A$250, 'country region mapping'!$E$2:$E$250)</f>
        <v>#NAME?</v>
      </c>
      <c r="E1182" s="1" t="e">
        <f t="array" aca="1" ref="E1182" ca="1">_xludf.XLOOKUP(C1182,'country region mapping'!$A$2:$A$267,'country region mapping'!$F$2:$F$267)</f>
        <v>#NAME?</v>
      </c>
      <c r="F1182" s="1" t="e">
        <f t="array" aca="1" ref="F1182" ca="1">_xludf.XLOOKUP(C1182,'country region mapping'!$A$2:$A$267,'country region mapping'!$G$2:$G$267)</f>
        <v>#NAME?</v>
      </c>
      <c r="G1182" s="1">
        <v>7.4950000000000001</v>
      </c>
      <c r="H1182" s="1">
        <v>18</v>
      </c>
      <c r="I1182" s="1">
        <v>1</v>
      </c>
      <c r="J1182" s="1">
        <v>11</v>
      </c>
      <c r="K1182" s="1">
        <v>7</v>
      </c>
      <c r="L1182" s="1">
        <v>9</v>
      </c>
      <c r="M1182" s="1">
        <v>7</v>
      </c>
      <c r="N1182" s="1">
        <v>46</v>
      </c>
      <c r="O1182" s="1">
        <v>1</v>
      </c>
      <c r="P1182" s="1">
        <v>2</v>
      </c>
      <c r="Q1182" s="1">
        <v>7</v>
      </c>
      <c r="R1182" s="1">
        <v>41</v>
      </c>
      <c r="S1182" s="1">
        <v>80</v>
      </c>
    </row>
    <row r="1183" spans="1:19">
      <c r="A1183" s="1">
        <v>2017</v>
      </c>
      <c r="B1183" s="1">
        <v>5</v>
      </c>
      <c r="C1183" s="1" t="s">
        <v>32</v>
      </c>
      <c r="D1183" s="1" t="e">
        <f t="array" aca="1" ref="D1183" ca="1">_xludf.XLOOKUP(C1183,'country region mapping'!$A$2:$A$250, 'country region mapping'!$E$2:$E$250)</f>
        <v>#NAME?</v>
      </c>
      <c r="E1183" s="1" t="e">
        <f t="array" aca="1" ref="E1183" ca="1">_xludf.XLOOKUP(C1183,'country region mapping'!$A$2:$A$267,'country region mapping'!$F$2:$F$267)</f>
        <v>#NAME?</v>
      </c>
      <c r="F1183" s="1" t="e">
        <f t="array" aca="1" ref="F1183" ca="1">_xludf.XLOOKUP(C1183,'country region mapping'!$A$2:$A$267,'country region mapping'!$G$2:$G$267)</f>
        <v>#NAME?</v>
      </c>
      <c r="G1183" s="1">
        <v>7.4870000000000001</v>
      </c>
      <c r="H1183" s="1">
        <v>10</v>
      </c>
      <c r="I1183" s="1">
        <v>7</v>
      </c>
      <c r="J1183" s="1">
        <v>5</v>
      </c>
      <c r="K1183" s="1">
        <v>8</v>
      </c>
      <c r="L1183" s="1">
        <v>14</v>
      </c>
      <c r="M1183" s="1">
        <v>13</v>
      </c>
      <c r="N1183" s="1">
        <v>8</v>
      </c>
      <c r="O1183" s="1">
        <v>36</v>
      </c>
      <c r="P1183" s="1">
        <v>20</v>
      </c>
      <c r="Q1183" s="1">
        <v>13</v>
      </c>
      <c r="R1183" s="1">
        <v>11</v>
      </c>
      <c r="S1183" s="1">
        <v>118</v>
      </c>
    </row>
    <row r="1184" spans="1:19">
      <c r="A1184" s="1">
        <v>2017</v>
      </c>
      <c r="B1184" s="1">
        <v>6</v>
      </c>
      <c r="C1184" s="1" t="s">
        <v>40</v>
      </c>
      <c r="D1184" s="1" t="e">
        <f t="array" aca="1" ref="D1184" ca="1">_xludf.XLOOKUP(C1184,'country region mapping'!$A$2:$A$267,'country region mapping'!$E$2:$E$267)</f>
        <v>#NAME?</v>
      </c>
      <c r="E1184" s="1" t="e">
        <f t="array" aca="1" ref="E1184" ca="1">_xludf.XLOOKUP(C1184,'country region mapping'!$A$2:$A$267,'country region mapping'!$F$2:$F$267)</f>
        <v>#NAME?</v>
      </c>
      <c r="F1184" s="1" t="e">
        <f t="array" aca="1" ref="F1184" ca="1">_xludf.XLOOKUP(C1184,'country region mapping'!$A$2:$A$267,'country region mapping'!$G$2:$G$267)</f>
        <v>#NAME?</v>
      </c>
      <c r="G1184" s="1">
        <v>7.4409999999999998</v>
      </c>
      <c r="H1184" s="1">
        <v>1</v>
      </c>
      <c r="I1184" s="1">
        <v>13</v>
      </c>
      <c r="J1184" s="1">
        <v>9</v>
      </c>
      <c r="K1184" s="1"/>
      <c r="L1184" s="1">
        <v>19</v>
      </c>
      <c r="M1184" s="1">
        <v>6</v>
      </c>
      <c r="N1184" s="1">
        <v>12</v>
      </c>
      <c r="O1184" s="1">
        <v>38</v>
      </c>
      <c r="P1184" s="1">
        <v>15</v>
      </c>
      <c r="Q1184" s="1">
        <v>6</v>
      </c>
      <c r="R1184" s="1">
        <v>12</v>
      </c>
      <c r="S1184" s="1">
        <v>70</v>
      </c>
    </row>
    <row r="1185" spans="1:19">
      <c r="A1185" s="1">
        <v>2017</v>
      </c>
      <c r="B1185" s="1">
        <v>7</v>
      </c>
      <c r="C1185" s="1" t="s">
        <v>38</v>
      </c>
      <c r="D1185" s="1" t="e">
        <f t="array" aca="1" ref="D1185" ca="1">_xludf.XLOOKUP(C1185,'country region mapping'!$A$2:$A$250, 'country region mapping'!$E$2:$E$250)</f>
        <v>#NAME?</v>
      </c>
      <c r="E1185" s="1" t="e">
        <f t="array" aca="1" ref="E1185" ca="1">_xludf.XLOOKUP(C1185,'country region mapping'!$A$2:$A$267,'country region mapping'!$F$2:$F$267)</f>
        <v>#NAME?</v>
      </c>
      <c r="F1185" s="1" t="e">
        <f t="array" aca="1" ref="F1185" ca="1">_xludf.XLOOKUP(C1185,'country region mapping'!$A$2:$A$267,'country region mapping'!$G$2:$G$267)</f>
        <v>#NAME?</v>
      </c>
      <c r="G1185" s="1">
        <v>7.3280000000000003</v>
      </c>
      <c r="H1185" s="1">
        <v>13</v>
      </c>
      <c r="I1185" s="1">
        <v>15</v>
      </c>
      <c r="J1185" s="1">
        <v>17</v>
      </c>
      <c r="K1185" s="1">
        <v>19</v>
      </c>
      <c r="L1185" s="1">
        <v>7</v>
      </c>
      <c r="M1185" s="1">
        <v>17</v>
      </c>
      <c r="N1185" s="1">
        <v>11</v>
      </c>
      <c r="O1185" s="1">
        <v>6</v>
      </c>
      <c r="P1185" s="1">
        <v>36</v>
      </c>
      <c r="Q1185" s="1">
        <v>17</v>
      </c>
      <c r="R1185" s="1">
        <v>26</v>
      </c>
      <c r="S1185" s="1">
        <v>45</v>
      </c>
    </row>
    <row r="1186" spans="1:19">
      <c r="A1186" s="1">
        <v>2017</v>
      </c>
      <c r="B1186" s="1">
        <v>8</v>
      </c>
      <c r="C1186" s="1" t="s">
        <v>42</v>
      </c>
      <c r="D1186" s="1" t="e">
        <f t="array" aca="1" ref="D1186" ca="1">_xludf.XLOOKUP(C1186,'country region mapping'!$A$2:$A$250, 'country region mapping'!$E$2:$E$250)</f>
        <v>#NAME?</v>
      </c>
      <c r="E1186" s="1" t="e">
        <f t="array" aca="1" ref="E1186" ca="1">_xludf.XLOOKUP(C1186,'country region mapping'!$A$2:$A$267,'country region mapping'!$F$2:$F$267)</f>
        <v>#NAME?</v>
      </c>
      <c r="F1186" s="1" t="e">
        <f t="array" aca="1" ref="F1186" ca="1">_xludf.XLOOKUP(C1186,'country region mapping'!$A$2:$A$267,'country region mapping'!$G$2:$G$267)</f>
        <v>#NAME?</v>
      </c>
      <c r="G1186" s="1">
        <v>7.3239999999999998</v>
      </c>
      <c r="H1186" s="1">
        <v>20</v>
      </c>
      <c r="I1186" s="1">
        <v>3</v>
      </c>
      <c r="J1186" s="1">
        <v>27</v>
      </c>
      <c r="K1186" s="1">
        <v>29</v>
      </c>
      <c r="L1186" s="1">
        <v>8</v>
      </c>
      <c r="M1186" s="1">
        <v>5</v>
      </c>
      <c r="N1186" s="1">
        <v>5</v>
      </c>
      <c r="O1186" s="1">
        <v>22</v>
      </c>
      <c r="P1186" s="1">
        <v>7</v>
      </c>
      <c r="Q1186" s="1">
        <v>5</v>
      </c>
      <c r="R1186" s="1">
        <v>5</v>
      </c>
      <c r="S1186" s="1">
        <v>21</v>
      </c>
    </row>
    <row r="1187" spans="1:19">
      <c r="A1187" s="1">
        <v>2017</v>
      </c>
      <c r="B1187" s="1">
        <v>9</v>
      </c>
      <c r="C1187" s="1" t="s">
        <v>45</v>
      </c>
      <c r="D1187" s="1" t="e">
        <f t="array" aca="1" ref="D1187" ca="1">_xludf.XLOOKUP(C1187,'country region mapping'!$A$2:$A$250, 'country region mapping'!$E$2:$E$250)</f>
        <v>#NAME?</v>
      </c>
      <c r="E1187" s="1" t="e">
        <f t="array" aca="1" ref="E1187" ca="1">_xludf.XLOOKUP(C1187,'country region mapping'!$A$2:$A$267,'country region mapping'!$F$2:$F$267)</f>
        <v>#NAME?</v>
      </c>
      <c r="F1187" s="1" t="e">
        <f t="array" aca="1" ref="F1187" ca="1">_xludf.XLOOKUP(C1187,'country region mapping'!$A$2:$A$267,'country region mapping'!$G$2:$G$267)</f>
        <v>#NAME?</v>
      </c>
      <c r="G1187" s="1">
        <v>7.3140000000000001</v>
      </c>
      <c r="H1187" s="1">
        <v>31</v>
      </c>
      <c r="I1187" s="1">
        <v>27</v>
      </c>
      <c r="J1187" s="1">
        <v>14</v>
      </c>
      <c r="K1187" s="1">
        <v>12</v>
      </c>
      <c r="L1187" s="1">
        <v>11</v>
      </c>
      <c r="M1187" s="1">
        <v>15</v>
      </c>
      <c r="N1187" s="1">
        <v>6</v>
      </c>
      <c r="O1187" s="1">
        <v>24</v>
      </c>
      <c r="P1187" s="1">
        <v>8</v>
      </c>
      <c r="Q1187" s="1">
        <v>15</v>
      </c>
      <c r="R1187" s="1">
        <v>112</v>
      </c>
      <c r="S1187" s="1">
        <v>73</v>
      </c>
    </row>
    <row r="1188" spans="1:19">
      <c r="A1188" s="1">
        <v>2017</v>
      </c>
      <c r="B1188" s="1">
        <v>10</v>
      </c>
      <c r="C1188" s="1" t="s">
        <v>43</v>
      </c>
      <c r="D1188" s="1" t="e">
        <f t="array" aca="1" ref="D1188" ca="1">_xludf.XLOOKUP(C1188,'country region mapping'!$A$2:$A$250, 'country region mapping'!$E$2:$E$250)</f>
        <v>#NAME?</v>
      </c>
      <c r="E1188" s="1" t="e">
        <f t="array" aca="1" ref="E1188" ca="1">_xludf.XLOOKUP(C1188,'country region mapping'!$A$2:$A$267,'country region mapping'!$F$2:$F$267)</f>
        <v>#NAME?</v>
      </c>
      <c r="F1188" s="1" t="e">
        <f t="array" aca="1" ref="F1188" ca="1">_xludf.XLOOKUP(C1188,'country region mapping'!$A$2:$A$267,'country region mapping'!$G$2:$G$267)</f>
        <v>#NAME?</v>
      </c>
      <c r="G1188" s="1">
        <v>7.2720000000000002</v>
      </c>
      <c r="H1188" s="1">
        <v>27</v>
      </c>
      <c r="I1188" s="1">
        <v>6</v>
      </c>
      <c r="J1188" s="1">
        <v>16</v>
      </c>
      <c r="K1188" s="1">
        <v>16</v>
      </c>
      <c r="L1188" s="1">
        <v>22</v>
      </c>
      <c r="M1188" s="1">
        <v>3</v>
      </c>
      <c r="N1188" s="1">
        <v>13</v>
      </c>
      <c r="O1188" s="1">
        <v>39</v>
      </c>
      <c r="P1188" s="1">
        <v>38</v>
      </c>
      <c r="Q1188" s="1">
        <v>3</v>
      </c>
      <c r="R1188" s="1">
        <v>6</v>
      </c>
      <c r="S1188" s="1">
        <v>24</v>
      </c>
    </row>
    <row r="1189" spans="1:19">
      <c r="A1189" s="1">
        <v>2017</v>
      </c>
      <c r="B1189" s="1">
        <v>11</v>
      </c>
      <c r="C1189" s="1" t="s">
        <v>47</v>
      </c>
      <c r="D1189" s="1" t="e">
        <f t="array" aca="1" ref="D1189" ca="1">_xludf.XLOOKUP(C1189,'country region mapping'!$A$2:$A$250, 'country region mapping'!$E$2:$E$250)</f>
        <v>#NAME?</v>
      </c>
      <c r="E1189" s="1" t="e">
        <f t="array" aca="1" ref="E1189" ca="1">_xludf.XLOOKUP(C1189,'country region mapping'!$A$2:$A$267,'country region mapping'!$F$2:$F$267)</f>
        <v>#NAME?</v>
      </c>
      <c r="F1189" s="1" t="e">
        <f t="array" aca="1" ref="F1189" ca="1">_xludf.XLOOKUP(C1189,'country region mapping'!$A$2:$A$267,'country region mapping'!$G$2:$G$267)</f>
        <v>#NAME?</v>
      </c>
      <c r="G1189" s="1">
        <v>7.19</v>
      </c>
      <c r="H1189" s="1">
        <v>9</v>
      </c>
      <c r="I1189" s="1">
        <v>24</v>
      </c>
      <c r="J1189" s="1">
        <v>32</v>
      </c>
      <c r="K1189" s="1">
        <v>6</v>
      </c>
      <c r="L1189" s="1">
        <v>84</v>
      </c>
      <c r="M1189" s="1">
        <v>25</v>
      </c>
      <c r="N1189" s="1">
        <v>74</v>
      </c>
      <c r="O1189" s="1">
        <v>89</v>
      </c>
      <c r="P1189" s="1">
        <v>70</v>
      </c>
      <c r="Q1189" s="1">
        <v>25</v>
      </c>
      <c r="R1189" s="1">
        <v>55</v>
      </c>
      <c r="S1189" s="1">
        <v>79</v>
      </c>
    </row>
    <row r="1190" spans="1:19">
      <c r="A1190" s="1">
        <v>2017</v>
      </c>
      <c r="B1190" s="1">
        <v>12</v>
      </c>
      <c r="C1190" s="1" t="s">
        <v>49</v>
      </c>
      <c r="D1190" s="1" t="e">
        <f t="array" aca="1" ref="D1190" ca="1">_xludf.XLOOKUP(C1190,'country region mapping'!$A$2:$A$250, 'country region mapping'!$E$2:$E$250)</f>
        <v>#NAME?</v>
      </c>
      <c r="E1190" s="1" t="e">
        <f t="array" aca="1" ref="E1190" ca="1">_xludf.XLOOKUP(C1190,'country region mapping'!$A$2:$A$267,'country region mapping'!$F$2:$F$267)</f>
        <v>#NAME?</v>
      </c>
      <c r="F1190" s="1" t="e">
        <f t="array" aca="1" ref="F1190" ca="1">_xludf.XLOOKUP(C1190,'country region mapping'!$A$2:$A$267,'country region mapping'!$G$2:$G$267)</f>
        <v>#NAME?</v>
      </c>
      <c r="G1190" s="1">
        <v>7.1390000000000002</v>
      </c>
      <c r="H1190" s="1">
        <v>11</v>
      </c>
      <c r="I1190" s="1">
        <v>36</v>
      </c>
      <c r="J1190" s="1">
        <v>12</v>
      </c>
      <c r="K1190" s="1">
        <v>17</v>
      </c>
      <c r="L1190" s="1">
        <v>34</v>
      </c>
      <c r="M1190" s="1">
        <v>21</v>
      </c>
      <c r="N1190" s="1">
        <v>18</v>
      </c>
      <c r="O1190" s="1">
        <v>59</v>
      </c>
      <c r="P1190" s="1">
        <v>12</v>
      </c>
      <c r="Q1190" s="1">
        <v>21</v>
      </c>
      <c r="R1190" s="1">
        <v>50</v>
      </c>
      <c r="S1190" s="1">
        <v>62</v>
      </c>
    </row>
    <row r="1191" spans="1:19">
      <c r="A1191" s="1">
        <v>2017</v>
      </c>
      <c r="B1191" s="1">
        <v>13</v>
      </c>
      <c r="C1191" s="1" t="s">
        <v>52</v>
      </c>
      <c r="D1191" s="1" t="e">
        <f t="array" aca="1" ref="D1191" ca="1">_xludf.XLOOKUP(C1191,'country region mapping'!$A$2:$A$250, 'country region mapping'!$E$2:$E$250)</f>
        <v>#NAME?</v>
      </c>
      <c r="E1191" s="1" t="e">
        <f t="array" aca="1" ref="E1191" ca="1">_xludf.XLOOKUP(C1191,'country region mapping'!$A$2:$A$267,'country region mapping'!$F$2:$F$267)</f>
        <v>#NAME?</v>
      </c>
      <c r="F1191" s="1" t="e">
        <f t="array" aca="1" ref="F1191" ca="1">_xludf.XLOOKUP(C1191,'country region mapping'!$A$2:$A$267,'country region mapping'!$G$2:$G$267)</f>
        <v>#NAME?</v>
      </c>
      <c r="G1191" s="1">
        <v>7.0720000000000001</v>
      </c>
      <c r="H1191" s="1">
        <v>56</v>
      </c>
      <c r="I1191" s="1">
        <v>20</v>
      </c>
      <c r="J1191" s="1">
        <v>57</v>
      </c>
      <c r="K1191" s="1">
        <v>31</v>
      </c>
      <c r="L1191" s="1">
        <v>10</v>
      </c>
      <c r="M1191" s="1">
        <v>71</v>
      </c>
      <c r="N1191" s="1">
        <v>52</v>
      </c>
      <c r="O1191" s="1">
        <v>11</v>
      </c>
      <c r="P1191" s="1">
        <v>68</v>
      </c>
      <c r="Q1191" s="1">
        <v>71</v>
      </c>
      <c r="R1191" s="1">
        <v>86</v>
      </c>
      <c r="S1191" s="1">
        <v>39</v>
      </c>
    </row>
    <row r="1192" spans="1:19">
      <c r="A1192" s="1">
        <v>2017</v>
      </c>
      <c r="B1192" s="1">
        <v>14</v>
      </c>
      <c r="C1192" s="1" t="s">
        <v>57</v>
      </c>
      <c r="D1192" s="1" t="e">
        <f t="array" aca="1" ref="D1192" ca="1">_xludf.XLOOKUP(C1192,'country region mapping'!$A$2:$A$250, 'country region mapping'!$E$2:$E$250)</f>
        <v>#NAME?</v>
      </c>
      <c r="E1192" s="1" t="e">
        <f t="array" aca="1" ref="E1192" ca="1">_xludf.XLOOKUP(C1192,'country region mapping'!$A$2:$A$267,'country region mapping'!$F$2:$F$267)</f>
        <v>#NAME?</v>
      </c>
      <c r="F1192" s="1" t="e">
        <f t="array" aca="1" ref="F1192" ca="1">_xludf.XLOOKUP(C1192,'country region mapping'!$A$2:$A$267,'country region mapping'!$G$2:$G$267)</f>
        <v>#NAME?</v>
      </c>
      <c r="G1192" s="1">
        <v>6.9770000000000003</v>
      </c>
      <c r="H1192" s="1">
        <v>29</v>
      </c>
      <c r="I1192" s="1">
        <v>8</v>
      </c>
      <c r="J1192" s="1">
        <v>3</v>
      </c>
      <c r="K1192" s="1">
        <v>18</v>
      </c>
      <c r="L1192" s="1">
        <v>25</v>
      </c>
      <c r="M1192" s="1">
        <v>9</v>
      </c>
      <c r="N1192" s="1">
        <v>10</v>
      </c>
      <c r="O1192" s="1">
        <v>17</v>
      </c>
      <c r="P1192" s="1">
        <v>32</v>
      </c>
      <c r="Q1192" s="1">
        <v>9</v>
      </c>
      <c r="R1192" s="1">
        <v>7</v>
      </c>
      <c r="S1192" s="1">
        <v>25</v>
      </c>
    </row>
    <row r="1193" spans="1:19">
      <c r="A1193" s="1">
        <v>2017</v>
      </c>
      <c r="B1193" s="1">
        <v>15</v>
      </c>
      <c r="C1193" s="1" t="s">
        <v>539</v>
      </c>
      <c r="D1193" s="1" t="e">
        <f t="array" aca="1" ref="D1193" ca="1">_xludf.XLOOKUP(C1193,'country region mapping'!$A$2:$A$250, 'country region mapping'!$E$2:$E$250)</f>
        <v>#NAME?</v>
      </c>
      <c r="E1193" s="1" t="e">
        <f t="array" aca="1" ref="E1193" ca="1">_xludf.XLOOKUP(C1193,'country region mapping'!$A$2:$A$267,'country region mapping'!$F$2:$F$267)</f>
        <v>#NAME?</v>
      </c>
      <c r="F1193" s="1" t="e">
        <f t="array" aca="1" ref="F1193" ca="1">_xludf.XLOOKUP(C1193,'country region mapping'!$A$2:$A$267,'country region mapping'!$G$2:$G$267)</f>
        <v>#NAME?</v>
      </c>
      <c r="G1193" s="1">
        <v>6.9649999999999999</v>
      </c>
      <c r="H1193" s="1">
        <v>6</v>
      </c>
      <c r="I1193" s="1">
        <v>49</v>
      </c>
      <c r="J1193" s="1">
        <v>13</v>
      </c>
      <c r="K1193" s="1">
        <v>28</v>
      </c>
      <c r="L1193" s="1">
        <v>55</v>
      </c>
      <c r="M1193" s="1">
        <v>19</v>
      </c>
      <c r="N1193" s="1">
        <v>14</v>
      </c>
      <c r="O1193" s="1">
        <v>52</v>
      </c>
      <c r="P1193" s="1">
        <v>21</v>
      </c>
      <c r="Q1193" s="1">
        <v>19</v>
      </c>
      <c r="R1193" s="1">
        <v>45</v>
      </c>
      <c r="S1193" s="1">
        <v>42</v>
      </c>
    </row>
    <row r="1194" spans="1:19">
      <c r="A1194" s="1">
        <v>2017</v>
      </c>
      <c r="B1194" s="1">
        <v>16</v>
      </c>
      <c r="C1194" s="1" t="s">
        <v>415</v>
      </c>
      <c r="D1194" s="1" t="e">
        <f t="array" aca="1" ref="D1194" ca="1">_xludf.XLOOKUP(C1194,'country region mapping'!$A$2:$A$250, 'country region mapping'!$E$2:$E$250)</f>
        <v>#NAME?</v>
      </c>
      <c r="E1194" s="1" t="e">
        <f t="array" aca="1" ref="E1194" ca="1">_xludf.XLOOKUP(C1194,'country region mapping'!$A$2:$A$267,'country region mapping'!$F$2:$F$267)</f>
        <v>#NAME?</v>
      </c>
      <c r="F1194" s="1" t="e">
        <f t="array" aca="1" ref="F1194" ca="1">_xludf.XLOOKUP(C1194,'country region mapping'!$A$2:$A$267,'country region mapping'!$G$2:$G$267)</f>
        <v>#NAME?</v>
      </c>
      <c r="G1194" s="1">
        <v>6.9269999999999996</v>
      </c>
      <c r="H1194" s="1">
        <v>8</v>
      </c>
      <c r="I1194" s="1">
        <v>21</v>
      </c>
      <c r="J1194" s="1">
        <v>15</v>
      </c>
      <c r="K1194" s="1">
        <v>24</v>
      </c>
      <c r="L1194" s="1">
        <v>49</v>
      </c>
      <c r="M1194" s="1">
        <v>27</v>
      </c>
      <c r="N1194" s="1">
        <v>19</v>
      </c>
      <c r="O1194" s="1">
        <v>46</v>
      </c>
      <c r="P1194" s="1">
        <v>47</v>
      </c>
      <c r="Q1194" s="1">
        <v>27</v>
      </c>
      <c r="R1194" s="1">
        <v>44</v>
      </c>
      <c r="S1194" s="1">
        <v>75</v>
      </c>
    </row>
    <row r="1195" spans="1:19">
      <c r="A1195" s="1">
        <v>2017</v>
      </c>
      <c r="B1195" s="1">
        <v>17</v>
      </c>
      <c r="C1195" s="1" t="s">
        <v>59</v>
      </c>
      <c r="D1195" s="1" t="e">
        <f t="array" aca="1" ref="D1195" ca="1">_xludf.XLOOKUP(C1195,'country region mapping'!$A$2:$A$250, 'country region mapping'!$E$2:$E$250)</f>
        <v>#NAME?</v>
      </c>
      <c r="E1195" s="1" t="e">
        <f t="array" aca="1" ref="E1195" ca="1">_xludf.XLOOKUP(C1195,'country region mapping'!$A$2:$A$267,'country region mapping'!$F$2:$F$267)</f>
        <v>#NAME?</v>
      </c>
      <c r="F1195" s="1" t="e">
        <f t="array" aca="1" ref="F1195" ca="1">_xludf.XLOOKUP(C1195,'country region mapping'!$A$2:$A$267,'country region mapping'!$G$2:$G$267)</f>
        <v>#NAME?</v>
      </c>
      <c r="G1195" s="1">
        <v>6.91</v>
      </c>
      <c r="H1195" s="1">
        <v>4</v>
      </c>
      <c r="I1195" s="1">
        <v>37</v>
      </c>
      <c r="J1195" s="1">
        <v>1</v>
      </c>
      <c r="K1195" s="1">
        <v>4</v>
      </c>
      <c r="L1195" s="1">
        <v>27</v>
      </c>
      <c r="M1195" s="1">
        <v>26</v>
      </c>
      <c r="N1195" s="1">
        <v>9</v>
      </c>
      <c r="O1195" s="1">
        <v>40</v>
      </c>
      <c r="P1195" s="1">
        <v>14</v>
      </c>
      <c r="Q1195" s="1">
        <v>26</v>
      </c>
      <c r="R1195" s="1">
        <v>25</v>
      </c>
      <c r="S1195" s="1">
        <v>116</v>
      </c>
    </row>
    <row r="1196" spans="1:19">
      <c r="A1196" s="1">
        <v>2017</v>
      </c>
      <c r="B1196" s="1">
        <v>18</v>
      </c>
      <c r="C1196" s="1" t="s">
        <v>51</v>
      </c>
      <c r="D1196" s="1" t="e">
        <f t="array" aca="1" ref="D1196" ca="1">_xludf.XLOOKUP(C1196,'country region mapping'!$A$2:$A$267,'country region mapping'!$E$2:$E$267)</f>
        <v>#NAME?</v>
      </c>
      <c r="E1196" s="1" t="e">
        <f t="array" aca="1" ref="E1196" ca="1">_xludf.XLOOKUP(C1196,'country region mapping'!$A$2:$A$267,'country region mapping'!$F$2:$F$267)</f>
        <v>#NAME?</v>
      </c>
      <c r="F1196" s="1" t="e">
        <f t="array" aca="1" ref="F1196" ca="1">_xludf.XLOOKUP(C1196,'country region mapping'!$A$2:$A$267,'country region mapping'!$G$2:$G$267)</f>
        <v>#NAME?</v>
      </c>
      <c r="G1196" s="1">
        <v>6.8860000000000001</v>
      </c>
      <c r="H1196" s="1">
        <v>42</v>
      </c>
      <c r="I1196" s="1">
        <v>22</v>
      </c>
      <c r="J1196" s="1">
        <v>7</v>
      </c>
      <c r="K1196" s="1">
        <v>61</v>
      </c>
      <c r="L1196" s="1">
        <v>41</v>
      </c>
      <c r="M1196" s="1">
        <v>12</v>
      </c>
      <c r="N1196" s="1">
        <v>37</v>
      </c>
      <c r="O1196" s="1">
        <v>25</v>
      </c>
      <c r="P1196" s="1">
        <v>62</v>
      </c>
      <c r="Q1196" s="1">
        <v>12</v>
      </c>
      <c r="R1196" s="1">
        <v>8</v>
      </c>
      <c r="S1196" s="1">
        <v>10</v>
      </c>
    </row>
    <row r="1197" spans="1:19">
      <c r="A1197" s="1">
        <v>2017</v>
      </c>
      <c r="B1197" s="1">
        <v>19</v>
      </c>
      <c r="C1197" s="1" t="s">
        <v>64</v>
      </c>
      <c r="D1197" s="1" t="e">
        <f t="array" aca="1" ref="D1197" ca="1">_xludf.XLOOKUP(C1197,'country region mapping'!$A$2:$A$267,'country region mapping'!$E$2:$E$267)</f>
        <v>#NAME?</v>
      </c>
      <c r="E1197" s="1" t="e">
        <f t="array" aca="1" ref="E1197" ca="1">_xludf.XLOOKUP(C1197,'country region mapping'!$A$2:$A$267,'country region mapping'!$F$2:$F$267)</f>
        <v>#NAME?</v>
      </c>
      <c r="F1197" s="1" t="e">
        <f t="array" aca="1" ref="F1197" ca="1">_xludf.XLOOKUP(C1197,'country region mapping'!$A$2:$A$267,'country region mapping'!$G$2:$G$267)</f>
        <v>#NAME?</v>
      </c>
      <c r="G1197" s="1">
        <v>6.8140000000000001</v>
      </c>
      <c r="H1197" s="1">
        <v>14</v>
      </c>
      <c r="I1197" s="1">
        <v>11</v>
      </c>
      <c r="J1197" s="1">
        <v>24</v>
      </c>
      <c r="K1197" s="1">
        <v>26</v>
      </c>
      <c r="L1197" s="1">
        <v>73</v>
      </c>
      <c r="M1197" s="1">
        <v>4</v>
      </c>
      <c r="N1197" s="1">
        <v>16</v>
      </c>
      <c r="O1197" s="1">
        <v>47</v>
      </c>
      <c r="P1197" s="1">
        <v>29</v>
      </c>
      <c r="Q1197" s="1">
        <v>4</v>
      </c>
      <c r="R1197" s="1">
        <v>23</v>
      </c>
      <c r="S1197" s="1">
        <v>29</v>
      </c>
    </row>
    <row r="1198" spans="1:19">
      <c r="A1198" s="1">
        <v>2017</v>
      </c>
      <c r="B1198" s="1">
        <v>20</v>
      </c>
      <c r="C1198" s="1" t="s">
        <v>71</v>
      </c>
      <c r="D1198" s="1" t="e">
        <f t="array" aca="1" ref="D1198" ca="1">_xludf.XLOOKUP(C1198,'country region mapping'!$A$2:$A$250, 'country region mapping'!$E$2:$E$250)</f>
        <v>#NAME?</v>
      </c>
      <c r="E1198" s="1" t="e">
        <f t="array" aca="1" ref="E1198" ca="1">_xludf.XLOOKUP(C1198,'country region mapping'!$A$2:$A$267,'country region mapping'!$F$2:$F$267)</f>
        <v>#NAME?</v>
      </c>
      <c r="F1198" s="1" t="e">
        <f t="array" aca="1" ref="F1198" ca="1">_xludf.XLOOKUP(C1198,'country region mapping'!$A$2:$A$267,'country region mapping'!$G$2:$G$267)</f>
        <v>#NAME?</v>
      </c>
      <c r="G1198" s="1">
        <v>6.774</v>
      </c>
      <c r="H1198" s="1">
        <v>53</v>
      </c>
      <c r="I1198" s="1">
        <v>69</v>
      </c>
      <c r="J1198" s="1">
        <v>6</v>
      </c>
      <c r="K1198" s="1">
        <v>27</v>
      </c>
      <c r="L1198" s="1">
        <v>4</v>
      </c>
      <c r="M1198" s="1">
        <v>11</v>
      </c>
      <c r="O1198" s="14">
        <v>34</v>
      </c>
      <c r="P1198" s="14">
        <v>28</v>
      </c>
      <c r="Q1198" s="14">
        <v>11</v>
      </c>
      <c r="R1198" s="14">
        <v>58</v>
      </c>
      <c r="S1198" s="14">
        <v>16</v>
      </c>
    </row>
    <row r="1199" spans="1:19">
      <c r="A1199" s="1">
        <v>2017</v>
      </c>
      <c r="B1199" s="1">
        <v>21</v>
      </c>
      <c r="C1199" s="1" t="s">
        <v>70</v>
      </c>
      <c r="D1199" s="1" t="e">
        <f t="array" aca="1" ref="D1199" ca="1">_xludf.XLOOKUP(C1199,'country region mapping'!$A$2:$A$250, 'country region mapping'!$E$2:$E$250)</f>
        <v>#NAME?</v>
      </c>
      <c r="E1199" s="1" t="e">
        <f t="array" aca="1" ref="E1199" ca="1">_xludf.XLOOKUP(C1199,'country region mapping'!$A$2:$A$267,'country region mapping'!$F$2:$F$267)</f>
        <v>#NAME?</v>
      </c>
      <c r="F1199" s="1" t="e">
        <f t="array" aca="1" ref="F1199" ca="1">_xludf.XLOOKUP(C1199,'country region mapping'!$A$2:$A$267,'country region mapping'!$G$2:$G$267)</f>
        <v>#NAME?</v>
      </c>
      <c r="G1199" s="1">
        <v>6.7110000000000003</v>
      </c>
      <c r="H1199" s="1">
        <v>25</v>
      </c>
      <c r="I1199" s="1">
        <v>41</v>
      </c>
      <c r="J1199" s="1">
        <v>29</v>
      </c>
      <c r="K1199" s="1">
        <v>35</v>
      </c>
      <c r="L1199" s="1">
        <v>61</v>
      </c>
      <c r="M1199" s="1">
        <v>90</v>
      </c>
      <c r="N1199" s="1">
        <v>111</v>
      </c>
      <c r="O1199" s="1">
        <v>69</v>
      </c>
      <c r="P1199" s="1">
        <v>39</v>
      </c>
      <c r="Q1199" s="1">
        <v>90</v>
      </c>
      <c r="R1199" s="1">
        <v>72</v>
      </c>
      <c r="S1199" s="1">
        <v>142</v>
      </c>
    </row>
    <row r="1200" spans="1:19">
      <c r="A1200" s="1">
        <v>2017</v>
      </c>
      <c r="B1200" s="1">
        <v>22</v>
      </c>
      <c r="C1200" s="1" t="s">
        <v>74</v>
      </c>
      <c r="D1200" s="1" t="e">
        <f t="array" aca="1" ref="D1200" ca="1">_xludf.XLOOKUP(C1200,'country region mapping'!$A$2:$A$250, 'country region mapping'!$E$2:$E$250)</f>
        <v>#NAME?</v>
      </c>
      <c r="E1200" s="1" t="e">
        <f t="array" aca="1" ref="E1200" ca="1">_xludf.XLOOKUP(C1200,'country region mapping'!$A$2:$A$267,'country region mapping'!$F$2:$F$267)</f>
        <v>#NAME?</v>
      </c>
      <c r="F1200" s="1" t="e">
        <f t="array" aca="1" ref="F1200" ca="1">_xludf.XLOOKUP(C1200,'country region mapping'!$A$2:$A$267,'country region mapping'!$G$2:$G$267)</f>
        <v>#NAME?</v>
      </c>
      <c r="G1200" s="1">
        <v>6.6269999999999998</v>
      </c>
      <c r="H1200" s="1">
        <v>51</v>
      </c>
      <c r="I1200" s="1">
        <v>12</v>
      </c>
      <c r="J1200" s="1">
        <v>25</v>
      </c>
      <c r="K1200" s="1">
        <v>9</v>
      </c>
      <c r="L1200" s="1">
        <v>15</v>
      </c>
      <c r="M1200" s="1">
        <v>10</v>
      </c>
      <c r="N1200" s="1">
        <v>39</v>
      </c>
      <c r="O1200" s="1">
        <v>73</v>
      </c>
      <c r="P1200" s="1">
        <v>88</v>
      </c>
      <c r="Q1200" s="1">
        <v>10</v>
      </c>
      <c r="R1200" s="1">
        <v>51</v>
      </c>
      <c r="S1200" s="1">
        <v>58</v>
      </c>
    </row>
    <row r="1201" spans="1:19">
      <c r="A1201" s="1">
        <v>2017</v>
      </c>
      <c r="B1201" s="1">
        <v>23</v>
      </c>
      <c r="C1201" s="1" t="s">
        <v>76</v>
      </c>
      <c r="D1201" s="1" t="e">
        <f t="array" aca="1" ref="D1201" ca="1">_xludf.XLOOKUP(C1201,'country region mapping'!$A$2:$A$250, 'country region mapping'!$E$2:$E$250)</f>
        <v>#NAME?</v>
      </c>
      <c r="E1201" s="1" t="e">
        <f t="array" aca="1" ref="E1201" ca="1">_xludf.XLOOKUP(C1201,'country region mapping'!$A$2:$A$267,'country region mapping'!$F$2:$F$267)</f>
        <v>#NAME?</v>
      </c>
      <c r="F1201" s="1" t="e">
        <f t="array" aca="1" ref="F1201" ca="1">_xludf.XLOOKUP(C1201,'country region mapping'!$A$2:$A$267,'country region mapping'!$G$2:$G$267)</f>
        <v>#NAME?</v>
      </c>
      <c r="G1201" s="1">
        <v>6.4889999999999999</v>
      </c>
      <c r="H1201" s="1">
        <v>19</v>
      </c>
      <c r="I1201" s="1">
        <v>16</v>
      </c>
      <c r="J1201" s="1">
        <v>23</v>
      </c>
      <c r="K1201" s="1">
        <v>15</v>
      </c>
      <c r="L1201" s="1">
        <v>58</v>
      </c>
      <c r="M1201" s="1">
        <v>67</v>
      </c>
      <c r="N1201" s="1">
        <v>23</v>
      </c>
      <c r="O1201" s="1">
        <v>42</v>
      </c>
      <c r="P1201" s="1">
        <v>51</v>
      </c>
      <c r="Q1201" s="1">
        <v>67</v>
      </c>
      <c r="R1201" s="1">
        <v>31</v>
      </c>
      <c r="S1201" s="1">
        <v>124</v>
      </c>
    </row>
    <row r="1202" spans="1:19">
      <c r="A1202" s="1">
        <v>2017</v>
      </c>
      <c r="B1202" s="1">
        <v>24</v>
      </c>
      <c r="C1202" s="1" t="s">
        <v>61</v>
      </c>
      <c r="D1202" s="1" t="e">
        <f t="array" aca="1" ref="D1202" ca="1">_xludf.XLOOKUP(C1202,'country region mapping'!$A$2:$A$250, 'country region mapping'!$E$2:$E$250)</f>
        <v>#NAME?</v>
      </c>
      <c r="E1202" s="1" t="e">
        <f t="array" aca="1" ref="E1202" ca="1">_xludf.XLOOKUP(C1202,'country region mapping'!$A$2:$A$267,'country region mapping'!$F$2:$F$267)</f>
        <v>#NAME?</v>
      </c>
      <c r="F1202" s="1" t="e">
        <f t="array" aca="1" ref="F1202" ca="1">_xludf.XLOOKUP(C1202,'country region mapping'!$A$2:$A$267,'country region mapping'!$G$2:$G$267)</f>
        <v>#NAME?</v>
      </c>
      <c r="G1202" s="1">
        <v>6.4880000000000004</v>
      </c>
      <c r="H1202" s="1">
        <v>75</v>
      </c>
      <c r="I1202" s="1">
        <v>87</v>
      </c>
      <c r="J1202" s="1">
        <v>58</v>
      </c>
      <c r="K1202" s="1">
        <v>67</v>
      </c>
      <c r="L1202" s="1">
        <v>44</v>
      </c>
      <c r="M1202" s="1">
        <v>117</v>
      </c>
      <c r="N1202" s="1">
        <v>79</v>
      </c>
      <c r="O1202" s="1">
        <v>16</v>
      </c>
      <c r="P1202" s="1">
        <v>42</v>
      </c>
      <c r="Q1202" s="1">
        <v>117</v>
      </c>
      <c r="R1202" s="1">
        <v>105</v>
      </c>
      <c r="S1202" s="1">
        <v>100</v>
      </c>
    </row>
    <row r="1203" spans="1:19">
      <c r="A1203" s="1">
        <v>2017</v>
      </c>
      <c r="B1203" s="1">
        <v>25</v>
      </c>
      <c r="C1203" s="1" t="s">
        <v>66</v>
      </c>
      <c r="D1203" s="1" t="e">
        <f t="array" aca="1" ref="D1203" ca="1">_xludf.XLOOKUP(C1203,'country region mapping'!$A$2:$A$250, 'country region mapping'!$E$2:$E$250)</f>
        <v>#NAME?</v>
      </c>
      <c r="E1203" s="1" t="e">
        <f t="array" aca="1" ref="E1203" ca="1">_xludf.XLOOKUP(C1203,'country region mapping'!$A$2:$A$267,'country region mapping'!$F$2:$F$267)</f>
        <v>#NAME?</v>
      </c>
      <c r="F1203" s="1" t="e">
        <f t="array" aca="1" ref="F1203" ca="1">_xludf.XLOOKUP(C1203,'country region mapping'!$A$2:$A$267,'country region mapping'!$G$2:$G$267)</f>
        <v>#NAME?</v>
      </c>
      <c r="G1203" s="1">
        <v>6.476</v>
      </c>
      <c r="H1203" s="1">
        <v>64</v>
      </c>
      <c r="I1203" s="1">
        <v>56</v>
      </c>
      <c r="J1203" s="1">
        <v>51</v>
      </c>
      <c r="K1203" s="1">
        <v>32</v>
      </c>
      <c r="L1203" s="1">
        <v>78</v>
      </c>
      <c r="M1203" s="1">
        <v>50</v>
      </c>
      <c r="N1203" s="1">
        <v>91</v>
      </c>
      <c r="O1203" s="1">
        <v>20</v>
      </c>
      <c r="P1203" s="1">
        <v>80</v>
      </c>
      <c r="Q1203" s="1">
        <v>50</v>
      </c>
      <c r="R1203" s="1">
        <v>102</v>
      </c>
      <c r="S1203" s="1">
        <v>52</v>
      </c>
    </row>
    <row r="1204" spans="1:19">
      <c r="A1204" s="1">
        <v>2017</v>
      </c>
      <c r="B1204" s="1">
        <v>26</v>
      </c>
      <c r="C1204" s="1" t="s">
        <v>81</v>
      </c>
      <c r="D1204" s="1" t="e">
        <f t="array" aca="1" ref="D1204" ca="1">_xludf.XLOOKUP(C1204,'country region mapping'!$A$2:$A$267,'country region mapping'!$E$2:$E$267)</f>
        <v>#NAME?</v>
      </c>
      <c r="E1204" s="1" t="e">
        <f t="array" aca="1" ref="E1204" ca="1">_xludf.XLOOKUP(C1204,'country region mapping'!$A$2:$A$267,'country region mapping'!$F$2:$F$267)</f>
        <v>#NAME?</v>
      </c>
      <c r="F1204" s="1" t="e">
        <f t="array" aca="1" ref="F1204" ca="1">_xludf.XLOOKUP(C1204,'country region mapping'!$A$2:$A$267,'country region mapping'!$G$2:$G$267)</f>
        <v>#NAME?</v>
      </c>
      <c r="G1204" s="1">
        <v>6.4409999999999998</v>
      </c>
      <c r="H1204" s="1">
        <v>41</v>
      </c>
      <c r="I1204" s="1">
        <v>50</v>
      </c>
      <c r="J1204" s="1">
        <v>21</v>
      </c>
      <c r="K1204" s="1"/>
      <c r="L1204" s="1">
        <v>88</v>
      </c>
      <c r="M1204" s="1">
        <v>49</v>
      </c>
      <c r="N1204" s="1">
        <v>53</v>
      </c>
      <c r="O1204" s="1">
        <v>45</v>
      </c>
      <c r="P1204" s="1">
        <v>1</v>
      </c>
      <c r="Q1204" s="1">
        <v>49</v>
      </c>
      <c r="R1204" s="1">
        <v>76</v>
      </c>
      <c r="S1204" s="1">
        <v>85</v>
      </c>
    </row>
    <row r="1205" spans="1:19">
      <c r="A1205" s="1">
        <v>2017</v>
      </c>
      <c r="B1205" s="1">
        <v>27</v>
      </c>
      <c r="C1205" s="1" t="s">
        <v>67</v>
      </c>
      <c r="D1205" s="1" t="e">
        <f t="array" aca="1" ref="D1205" ca="1">_xludf.XLOOKUP(C1205,'country region mapping'!$A$2:$A$250, 'country region mapping'!$E$2:$E$250)</f>
        <v>#NAME?</v>
      </c>
      <c r="E1205" s="1" t="e">
        <f t="array" aca="1" ref="E1205" ca="1">_xludf.XLOOKUP(C1205,'country region mapping'!$A$2:$A$267,'country region mapping'!$F$2:$F$267)</f>
        <v>#NAME?</v>
      </c>
      <c r="F1205" s="1" t="e">
        <f t="array" aca="1" ref="F1205" ca="1">_xludf.XLOOKUP(C1205,'country region mapping'!$A$2:$A$267,'country region mapping'!$G$2:$G$267)</f>
        <v>#NAME?</v>
      </c>
      <c r="G1205" s="1">
        <v>6.43</v>
      </c>
      <c r="H1205" s="1">
        <v>124</v>
      </c>
      <c r="I1205" s="1">
        <v>31</v>
      </c>
      <c r="J1205" s="1">
        <v>46</v>
      </c>
      <c r="K1205" s="1">
        <v>39</v>
      </c>
      <c r="L1205" s="1">
        <v>28</v>
      </c>
      <c r="M1205" s="1">
        <v>94</v>
      </c>
      <c r="N1205" s="1">
        <v>94</v>
      </c>
      <c r="O1205" s="1">
        <v>8</v>
      </c>
      <c r="P1205" s="1">
        <v>52</v>
      </c>
      <c r="Q1205" s="1">
        <v>94</v>
      </c>
      <c r="R1205" s="1">
        <v>62</v>
      </c>
      <c r="S1205" s="1">
        <v>88</v>
      </c>
    </row>
    <row r="1206" spans="1:19">
      <c r="A1206" s="1">
        <v>2017</v>
      </c>
      <c r="B1206" s="1">
        <v>28</v>
      </c>
      <c r="C1206" s="1" t="s">
        <v>54</v>
      </c>
      <c r="D1206" s="1" t="e">
        <f t="array" aca="1" ref="D1206" ca="1">_xludf.XLOOKUP(C1206,'country region mapping'!$A$2:$A$250, 'country region mapping'!$E$2:$E$250)</f>
        <v>#NAME?</v>
      </c>
      <c r="E1206" s="1" t="e">
        <f t="array" aca="1" ref="E1206" ca="1">_xludf.XLOOKUP(C1206,'country region mapping'!$A$2:$A$267,'country region mapping'!$F$2:$F$267)</f>
        <v>#NAME?</v>
      </c>
      <c r="F1206" s="1" t="e">
        <f t="array" aca="1" ref="F1206" ca="1">_xludf.XLOOKUP(C1206,'country region mapping'!$A$2:$A$267,'country region mapping'!$G$2:$G$267)</f>
        <v>#NAME?</v>
      </c>
      <c r="G1206" s="1">
        <v>6.4189999999999996</v>
      </c>
      <c r="H1206" s="1">
        <v>110</v>
      </c>
      <c r="I1206" s="1">
        <v>38</v>
      </c>
      <c r="J1206" s="1">
        <v>65</v>
      </c>
      <c r="K1206" s="1">
        <v>76</v>
      </c>
      <c r="L1206" s="1">
        <v>87</v>
      </c>
      <c r="M1206" s="1">
        <v>114</v>
      </c>
      <c r="N1206" s="1">
        <v>75</v>
      </c>
      <c r="O1206" s="1">
        <v>71</v>
      </c>
      <c r="P1206" s="1">
        <v>92</v>
      </c>
      <c r="Q1206" s="1">
        <v>114</v>
      </c>
      <c r="R1206" s="1">
        <v>110</v>
      </c>
      <c r="S1206" s="1">
        <v>107</v>
      </c>
    </row>
    <row r="1207" spans="1:19">
      <c r="A1207" s="1">
        <v>2017</v>
      </c>
      <c r="B1207" s="1">
        <v>29</v>
      </c>
      <c r="C1207" s="1" t="s">
        <v>69</v>
      </c>
      <c r="D1207" s="1" t="e">
        <f t="array" aca="1" ref="D1207" ca="1">_xludf.XLOOKUP(C1207,'country region mapping'!$A$2:$A$250, 'country region mapping'!$E$2:$E$250)</f>
        <v>#NAME?</v>
      </c>
      <c r="E1207" s="1" t="e">
        <f t="array" aca="1" ref="E1207" ca="1">_xludf.XLOOKUP(C1207,'country region mapping'!$A$2:$A$267,'country region mapping'!$F$2:$F$267)</f>
        <v>#NAME?</v>
      </c>
      <c r="F1207" s="1" t="e">
        <f t="array" aca="1" ref="F1207" ca="1">_xludf.XLOOKUP(C1207,'country region mapping'!$A$2:$A$267,'country region mapping'!$G$2:$G$267)</f>
        <v>#NAME?</v>
      </c>
      <c r="G1207" s="1">
        <v>6.3879999999999999</v>
      </c>
      <c r="H1207" s="1">
        <v>94</v>
      </c>
      <c r="I1207" s="1">
        <v>35</v>
      </c>
      <c r="J1207" s="1">
        <v>50</v>
      </c>
      <c r="K1207" s="1">
        <v>52</v>
      </c>
      <c r="L1207" s="1">
        <v>60</v>
      </c>
      <c r="M1207" s="1">
        <v>104</v>
      </c>
      <c r="N1207" s="1">
        <v>95</v>
      </c>
      <c r="O1207" s="1">
        <v>44</v>
      </c>
      <c r="P1207" s="1">
        <v>81</v>
      </c>
      <c r="Q1207" s="1">
        <v>104</v>
      </c>
      <c r="R1207" s="1">
        <v>99</v>
      </c>
      <c r="S1207" s="1">
        <v>69</v>
      </c>
    </row>
    <row r="1208" spans="1:19">
      <c r="A1208" s="1">
        <v>2017</v>
      </c>
      <c r="B1208" s="1">
        <v>30</v>
      </c>
      <c r="C1208" s="1" t="s">
        <v>86</v>
      </c>
      <c r="D1208" s="1" t="e">
        <f t="array" aca="1" ref="D1208" ca="1">_xludf.XLOOKUP(C1208,'country region mapping'!$A$2:$A$250, 'country region mapping'!$E$2:$E$250)</f>
        <v>#NAME?</v>
      </c>
      <c r="E1208" s="1" t="e">
        <f t="array" aca="1" ref="E1208" ca="1">_xludf.XLOOKUP(C1208,'country region mapping'!$A$2:$A$267,'country region mapping'!$F$2:$F$267)</f>
        <v>#NAME?</v>
      </c>
      <c r="F1208" s="1" t="e">
        <f t="array" aca="1" ref="F1208" ca="1">_xludf.XLOOKUP(C1208,'country region mapping'!$A$2:$A$267,'country region mapping'!$G$2:$G$267)</f>
        <v>#NAME?</v>
      </c>
      <c r="G1208" s="1">
        <v>6.3819999999999997</v>
      </c>
      <c r="H1208" s="1">
        <v>136</v>
      </c>
      <c r="I1208" s="1">
        <v>75</v>
      </c>
      <c r="J1208" s="1">
        <v>91</v>
      </c>
      <c r="K1208" s="1">
        <v>91</v>
      </c>
      <c r="L1208" s="1">
        <v>20</v>
      </c>
      <c r="M1208" s="1">
        <v>85</v>
      </c>
      <c r="N1208" s="1">
        <v>78</v>
      </c>
      <c r="O1208" s="1">
        <v>3</v>
      </c>
      <c r="P1208" s="1">
        <v>93</v>
      </c>
      <c r="Q1208" s="1">
        <v>85</v>
      </c>
      <c r="R1208" s="1">
        <v>38</v>
      </c>
      <c r="S1208" s="1">
        <v>71</v>
      </c>
    </row>
    <row r="1209" spans="1:19">
      <c r="A1209" s="1">
        <v>2017</v>
      </c>
      <c r="B1209" s="1">
        <v>31</v>
      </c>
      <c r="C1209" s="1" t="s">
        <v>73</v>
      </c>
      <c r="D1209" s="1" t="e">
        <f t="array" aca="1" ref="D1209" ca="1">_xludf.XLOOKUP(C1209,'country region mapping'!$A$2:$A$250, 'country region mapping'!$E$2:$E$250)</f>
        <v>#NAME?</v>
      </c>
      <c r="E1209" s="1" t="e">
        <f t="array" aca="1" ref="E1209" ca="1">_xludf.XLOOKUP(C1209,'country region mapping'!$A$2:$A$267,'country region mapping'!$F$2:$F$267)</f>
        <v>#NAME?</v>
      </c>
      <c r="F1209" s="1" t="e">
        <f t="array" aca="1" ref="F1209" ca="1">_xludf.XLOOKUP(C1209,'country region mapping'!$A$2:$A$267,'country region mapping'!$G$2:$G$267)</f>
        <v>#NAME?</v>
      </c>
      <c r="G1209" s="1">
        <v>6.3789999999999996</v>
      </c>
      <c r="H1209" s="1">
        <v>84</v>
      </c>
      <c r="I1209" s="1">
        <v>28</v>
      </c>
      <c r="J1209" s="1">
        <v>49</v>
      </c>
      <c r="K1209" s="1">
        <v>49</v>
      </c>
      <c r="L1209" s="1">
        <v>30</v>
      </c>
      <c r="M1209" s="1">
        <v>74</v>
      </c>
      <c r="N1209" s="1">
        <v>25</v>
      </c>
      <c r="O1209" s="1">
        <v>32</v>
      </c>
      <c r="P1209" s="1">
        <v>74</v>
      </c>
      <c r="Q1209" s="1">
        <v>74</v>
      </c>
      <c r="R1209" s="1">
        <v>97</v>
      </c>
      <c r="S1209" s="1">
        <v>84</v>
      </c>
    </row>
    <row r="1210" spans="1:19">
      <c r="A1210" s="1">
        <v>2017</v>
      </c>
      <c r="B1210" s="1">
        <v>32</v>
      </c>
      <c r="C1210" s="1" t="s">
        <v>349</v>
      </c>
      <c r="D1210" s="1" t="e">
        <f t="array" aca="1" ref="D1210" ca="1">_xludf.XLOOKUP(C1210,'country region mapping'!$A$2:$A$250, 'country region mapping'!$E$2:$E$250)</f>
        <v>#NAME?</v>
      </c>
      <c r="E1210" s="1" t="e">
        <f t="array" aca="1" ref="E1210" ca="1">_xludf.XLOOKUP(C1210,'country region mapping'!$A$2:$A$267,'country region mapping'!$F$2:$F$267)</f>
        <v>#NAME?</v>
      </c>
      <c r="F1210" s="1" t="e">
        <f t="array" aca="1" ref="F1210" ca="1">_xludf.XLOOKUP(C1210,'country region mapping'!$A$2:$A$267,'country region mapping'!$G$2:$G$267)</f>
        <v>#NAME?</v>
      </c>
      <c r="G1210" s="1">
        <v>6.3739999999999997</v>
      </c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</row>
    <row r="1211" spans="1:19">
      <c r="A1211" s="1">
        <v>2017</v>
      </c>
      <c r="B1211" s="1">
        <v>33</v>
      </c>
      <c r="C1211" s="1" t="s">
        <v>79</v>
      </c>
      <c r="D1211" s="1" t="e">
        <f t="array" aca="1" ref="D1211" ca="1">_xludf.XLOOKUP(C1211,'country region mapping'!$A$2:$A$250, 'country region mapping'!$E$2:$E$250)</f>
        <v>#NAME?</v>
      </c>
      <c r="E1211" s="1" t="e">
        <f t="array" aca="1" ref="E1211" ca="1">_xludf.XLOOKUP(C1211,'country region mapping'!$A$2:$A$267,'country region mapping'!$F$2:$F$267)</f>
        <v>#NAME?</v>
      </c>
      <c r="F1211" s="1" t="e">
        <f t="array" aca="1" ref="F1211" ca="1">_xludf.XLOOKUP(C1211,'country region mapping'!$A$2:$A$267,'country region mapping'!$G$2:$G$267)</f>
        <v>#NAME?</v>
      </c>
      <c r="G1211" s="1">
        <v>6.3710000000000004</v>
      </c>
      <c r="H1211" s="1">
        <v>106</v>
      </c>
      <c r="I1211" s="1">
        <v>67</v>
      </c>
      <c r="J1211" s="1">
        <v>20</v>
      </c>
      <c r="K1211" s="1">
        <v>60</v>
      </c>
      <c r="L1211" s="1">
        <v>72</v>
      </c>
      <c r="M1211" s="1">
        <v>68</v>
      </c>
      <c r="N1211" s="1">
        <v>54</v>
      </c>
      <c r="P1211" s="14">
        <v>90</v>
      </c>
      <c r="Q1211" s="14">
        <v>68</v>
      </c>
      <c r="R1211" s="14">
        <v>117</v>
      </c>
      <c r="S1211" s="14">
        <v>8</v>
      </c>
    </row>
    <row r="1212" spans="1:19">
      <c r="A1212" s="1">
        <v>2017</v>
      </c>
      <c r="B1212" s="1">
        <v>34</v>
      </c>
      <c r="C1212" s="1" t="s">
        <v>63</v>
      </c>
      <c r="D1212" s="1" t="e">
        <f t="array" aca="1" ref="D1212" ca="1">_xludf.XLOOKUP(C1212,'country region mapping'!$A$2:$A$250, 'country region mapping'!$E$2:$E$250)</f>
        <v>#NAME?</v>
      </c>
      <c r="E1212" s="1" t="e">
        <f t="array" aca="1" ref="E1212" ca="1">_xludf.XLOOKUP(C1212,'country region mapping'!$A$2:$A$267,'country region mapping'!$F$2:$F$267)</f>
        <v>#NAME?</v>
      </c>
      <c r="F1212" s="1" t="e">
        <f t="array" aca="1" ref="F1212" ca="1">_xludf.XLOOKUP(C1212,'country region mapping'!$A$2:$A$267,'country region mapping'!$G$2:$G$267)</f>
        <v>#NAME?</v>
      </c>
      <c r="G1212" s="1">
        <v>6.343</v>
      </c>
      <c r="H1212" s="1">
        <v>3</v>
      </c>
      <c r="I1212" s="1">
        <v>44</v>
      </c>
      <c r="J1212" s="1">
        <v>2</v>
      </c>
      <c r="K1212" s="1">
        <v>2</v>
      </c>
      <c r="L1212" s="1">
        <v>12</v>
      </c>
      <c r="M1212" s="1">
        <v>14</v>
      </c>
      <c r="N1212" s="1">
        <v>1</v>
      </c>
      <c r="O1212" s="1">
        <v>30</v>
      </c>
      <c r="P1212" s="1">
        <v>11</v>
      </c>
      <c r="Q1212" s="1">
        <v>14</v>
      </c>
      <c r="R1212" s="1">
        <v>9</v>
      </c>
      <c r="S1212" s="1">
        <v>18</v>
      </c>
    </row>
    <row r="1213" spans="1:19">
      <c r="A1213" s="1">
        <v>2017</v>
      </c>
      <c r="B1213" s="1">
        <v>35</v>
      </c>
      <c r="C1213" s="1" t="s">
        <v>97</v>
      </c>
      <c r="D1213" s="1" t="e">
        <f t="array" aca="1" ref="D1213" ca="1">_xludf.XLOOKUP(C1213,'country region mapping'!$A$2:$A$250, 'country region mapping'!$E$2:$E$250)</f>
        <v>#NAME?</v>
      </c>
      <c r="E1213" s="1" t="e">
        <f t="array" aca="1" ref="E1213" ca="1">_xludf.XLOOKUP(C1213,'country region mapping'!$A$2:$A$267,'country region mapping'!$F$2:$F$267)</f>
        <v>#NAME?</v>
      </c>
      <c r="F1213" s="1" t="e">
        <f t="array" aca="1" ref="F1213" ca="1">_xludf.XLOOKUP(C1213,'country region mapping'!$A$2:$A$267,'country region mapping'!$G$2:$G$267)</f>
        <v>#NAME?</v>
      </c>
      <c r="G1213" s="1">
        <v>6.3220000000000001</v>
      </c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</row>
    <row r="1214" spans="1:19">
      <c r="A1214" s="1">
        <v>2017</v>
      </c>
      <c r="B1214" s="1">
        <v>36</v>
      </c>
      <c r="C1214" s="1" t="s">
        <v>274</v>
      </c>
      <c r="D1214" s="1" t="e">
        <f t="array" aca="1" ref="D1214" ca="1">_xludf.XLOOKUP(C1214,'country region mapping'!$A$2:$A$250, 'country region mapping'!$E$2:$E$250)</f>
        <v>#NAME?</v>
      </c>
      <c r="E1214" s="1" t="e">
        <f t="array" aca="1" ref="E1214" ca="1">_xludf.XLOOKUP(C1214,'country region mapping'!$A$2:$A$267,'country region mapping'!$F$2:$F$267)</f>
        <v>#NAME?</v>
      </c>
      <c r="F1214" s="1" t="e">
        <f t="array" aca="1" ref="F1214" ca="1">_xludf.XLOOKUP(C1214,'country region mapping'!$A$2:$A$267,'country region mapping'!$G$2:$G$267)</f>
        <v>#NAME?</v>
      </c>
      <c r="G1214" s="1">
        <v>6.31</v>
      </c>
      <c r="H1214" s="1">
        <v>35</v>
      </c>
      <c r="I1214" s="1">
        <v>39</v>
      </c>
      <c r="J1214" s="1">
        <v>28</v>
      </c>
      <c r="K1214" s="1">
        <v>5</v>
      </c>
      <c r="L1214" s="1">
        <v>91</v>
      </c>
      <c r="M1214" s="1">
        <v>45</v>
      </c>
      <c r="N1214" s="1">
        <v>72</v>
      </c>
      <c r="O1214" s="1">
        <v>99</v>
      </c>
      <c r="P1214" s="1">
        <v>87</v>
      </c>
      <c r="Q1214" s="1">
        <v>45</v>
      </c>
      <c r="R1214" s="1">
        <v>84</v>
      </c>
      <c r="S1214" s="1">
        <v>47</v>
      </c>
    </row>
    <row r="1215" spans="1:19">
      <c r="A1215" s="1">
        <v>2017</v>
      </c>
      <c r="B1215" s="1">
        <v>37</v>
      </c>
      <c r="C1215" s="1" t="s">
        <v>75</v>
      </c>
      <c r="D1215" s="1" t="e">
        <f t="array" aca="1" ref="D1215" ca="1">_xludf.XLOOKUP(C1215,'country region mapping'!$A$2:$A$250, 'country region mapping'!$E$2:$E$250)</f>
        <v>#NAME?</v>
      </c>
      <c r="E1215" s="1" t="e">
        <f t="array" aca="1" ref="E1215" ca="1">_xludf.XLOOKUP(C1215,'country region mapping'!$A$2:$A$267,'country region mapping'!$F$2:$F$267)</f>
        <v>#NAME?</v>
      </c>
      <c r="F1215" s="1" t="e">
        <f t="array" aca="1" ref="F1215" ca="1">_xludf.XLOOKUP(C1215,'country region mapping'!$A$2:$A$267,'country region mapping'!$G$2:$G$267)</f>
        <v>#NAME?</v>
      </c>
      <c r="G1215" s="1">
        <v>6.26</v>
      </c>
      <c r="H1215" s="1">
        <v>112</v>
      </c>
      <c r="I1215" s="1">
        <v>33</v>
      </c>
      <c r="J1215" s="1">
        <v>67</v>
      </c>
      <c r="K1215" s="1">
        <v>40</v>
      </c>
      <c r="L1215" s="1">
        <v>57</v>
      </c>
      <c r="M1215" s="1">
        <v>106</v>
      </c>
      <c r="N1215" s="1">
        <v>118</v>
      </c>
      <c r="O1215" s="1">
        <v>12</v>
      </c>
      <c r="P1215" s="1">
        <v>84</v>
      </c>
      <c r="Q1215" s="1">
        <v>106</v>
      </c>
      <c r="R1215" s="1">
        <v>88</v>
      </c>
      <c r="S1215" s="1">
        <v>50</v>
      </c>
    </row>
    <row r="1216" spans="1:19">
      <c r="A1216" s="1">
        <v>2017</v>
      </c>
      <c r="B1216" s="1">
        <v>38</v>
      </c>
      <c r="C1216" s="1" t="s">
        <v>91</v>
      </c>
      <c r="D1216" s="1" t="e">
        <f t="array" aca="1" ref="D1216" ca="1">_xludf.XLOOKUP(C1216,'country region mapping'!$A$2:$A$250, 'country region mapping'!$E$2:$E$250)</f>
        <v>#NAME?</v>
      </c>
      <c r="E1216" s="1" t="e">
        <f t="array" aca="1" ref="E1216" ca="1">_xludf.XLOOKUP(C1216,'country region mapping'!$A$2:$A$267,'country region mapping'!$F$2:$F$267)</f>
        <v>#NAME?</v>
      </c>
      <c r="F1216" s="1" t="e">
        <f t="array" aca="1" ref="F1216" ca="1">_xludf.XLOOKUP(C1216,'country region mapping'!$A$2:$A$267,'country region mapping'!$G$2:$G$267)</f>
        <v>#NAME?</v>
      </c>
      <c r="G1216" s="1">
        <v>6.1920000000000002</v>
      </c>
      <c r="H1216" s="1">
        <v>81</v>
      </c>
      <c r="I1216" s="1">
        <v>25</v>
      </c>
      <c r="J1216" s="1">
        <v>40</v>
      </c>
      <c r="K1216" s="1">
        <v>78</v>
      </c>
      <c r="L1216" s="1">
        <v>47</v>
      </c>
      <c r="M1216" s="1">
        <v>41</v>
      </c>
      <c r="N1216" s="1">
        <v>130</v>
      </c>
      <c r="O1216" s="1">
        <v>21</v>
      </c>
      <c r="P1216" s="1">
        <v>56</v>
      </c>
      <c r="Q1216" s="1">
        <v>41</v>
      </c>
      <c r="R1216" s="1">
        <v>30</v>
      </c>
      <c r="S1216" s="1">
        <v>13</v>
      </c>
    </row>
    <row r="1217" spans="1:19">
      <c r="A1217" s="1">
        <v>2017</v>
      </c>
      <c r="B1217" s="1">
        <v>39</v>
      </c>
      <c r="C1217" s="1" t="s">
        <v>95</v>
      </c>
      <c r="D1217" s="1" t="e">
        <f t="array" aca="1" ref="D1217" ca="1">_xludf.XLOOKUP(C1217,'country region mapping'!$A$2:$A$250, 'country region mapping'!$E$2:$E$250)</f>
        <v>#NAME?</v>
      </c>
      <c r="E1217" s="1" t="e">
        <f t="array" aca="1" ref="E1217" ca="1">_xludf.XLOOKUP(C1217,'country region mapping'!$A$2:$A$267,'country region mapping'!$F$2:$F$267)</f>
        <v>#NAME?</v>
      </c>
      <c r="F1217" s="1" t="e">
        <f t="array" aca="1" ref="F1217" ca="1">_xludf.XLOOKUP(C1217,'country region mapping'!$A$2:$A$267,'country region mapping'!$G$2:$G$267)</f>
        <v>#NAME?</v>
      </c>
      <c r="G1217" s="1">
        <v>6.173</v>
      </c>
      <c r="H1217" s="1">
        <v>45</v>
      </c>
      <c r="I1217" s="1">
        <v>29</v>
      </c>
      <c r="J1217" s="1">
        <v>39</v>
      </c>
      <c r="K1217" s="1">
        <v>48</v>
      </c>
      <c r="L1217" s="1">
        <v>109</v>
      </c>
      <c r="M1217" s="1">
        <v>55</v>
      </c>
      <c r="N1217" s="1">
        <v>131</v>
      </c>
      <c r="O1217" s="1">
        <v>51</v>
      </c>
      <c r="P1217" s="1">
        <v>31</v>
      </c>
      <c r="Q1217" s="1">
        <v>55</v>
      </c>
      <c r="R1217" s="1">
        <v>61</v>
      </c>
      <c r="S1217" s="1">
        <v>136</v>
      </c>
    </row>
    <row r="1218" spans="1:19">
      <c r="A1218" s="1">
        <v>2017</v>
      </c>
      <c r="B1218" s="1">
        <v>40</v>
      </c>
      <c r="C1218" s="1" t="s">
        <v>96</v>
      </c>
      <c r="D1218" s="1" t="e">
        <f t="array" aca="1" ref="D1218" ca="1">_xludf.XLOOKUP(C1218,'country region mapping'!$A$2:$A$250, 'country region mapping'!$E$2:$E$250)</f>
        <v>#NAME?</v>
      </c>
      <c r="E1218" s="1" t="e">
        <f t="array" aca="1" ref="E1218" ca="1">_xludf.XLOOKUP(C1218,'country region mapping'!$A$2:$A$267,'country region mapping'!$F$2:$F$267)</f>
        <v>#NAME?</v>
      </c>
      <c r="F1218" s="1" t="e">
        <f t="array" aca="1" ref="F1218" ca="1">_xludf.XLOOKUP(C1218,'country region mapping'!$A$2:$A$267,'country region mapping'!$G$2:$G$267)</f>
        <v>#NAME?</v>
      </c>
      <c r="G1218" s="1">
        <v>6.1669999999999998</v>
      </c>
      <c r="H1218" s="1">
        <v>101</v>
      </c>
      <c r="I1218" s="1">
        <v>73</v>
      </c>
      <c r="J1218" s="1">
        <v>94</v>
      </c>
      <c r="K1218" s="1">
        <v>79</v>
      </c>
      <c r="L1218" s="1">
        <v>89</v>
      </c>
      <c r="M1218" s="1">
        <v>131</v>
      </c>
      <c r="N1218" s="1">
        <v>68</v>
      </c>
      <c r="O1218" s="1">
        <v>5</v>
      </c>
      <c r="P1218" s="1">
        <v>63</v>
      </c>
      <c r="Q1218" s="1">
        <v>131</v>
      </c>
      <c r="R1218" s="1">
        <v>96</v>
      </c>
      <c r="S1218" s="1">
        <v>120</v>
      </c>
    </row>
    <row r="1219" spans="1:19">
      <c r="A1219" s="1">
        <v>2017</v>
      </c>
      <c r="B1219" s="1">
        <v>41</v>
      </c>
      <c r="C1219" s="1" t="s">
        <v>98</v>
      </c>
      <c r="D1219" s="1" t="e">
        <f t="array" aca="1" ref="D1219" ca="1">_xludf.XLOOKUP(C1219,'country region mapping'!$A$2:$A$250, 'country region mapping'!$E$2:$E$250)</f>
        <v>#NAME?</v>
      </c>
      <c r="E1219" s="1" t="e">
        <f t="array" aca="1" ref="E1219" ca="1">_xludf.XLOOKUP(C1219,'country region mapping'!$A$2:$A$267,'country region mapping'!$F$2:$F$267)</f>
        <v>#NAME?</v>
      </c>
      <c r="F1219" s="1" t="e">
        <f t="array" aca="1" ref="F1219" ca="1">_xludf.XLOOKUP(C1219,'country region mapping'!$A$2:$A$267,'country region mapping'!$G$2:$G$267)</f>
        <v>#NAME?</v>
      </c>
      <c r="G1219" s="1">
        <v>6.141</v>
      </c>
      <c r="H1219" s="1">
        <v>121</v>
      </c>
      <c r="I1219" s="1">
        <v>68</v>
      </c>
      <c r="J1219" s="1">
        <v>103</v>
      </c>
      <c r="K1219" s="1">
        <v>43</v>
      </c>
      <c r="L1219" s="1">
        <v>17</v>
      </c>
      <c r="M1219" s="1">
        <v>69</v>
      </c>
      <c r="N1219" s="1">
        <v>35</v>
      </c>
      <c r="O1219" s="1">
        <v>9</v>
      </c>
      <c r="P1219" s="1">
        <v>95</v>
      </c>
      <c r="Q1219" s="1">
        <v>69</v>
      </c>
      <c r="R1219" s="1">
        <v>59</v>
      </c>
      <c r="S1219" s="1">
        <v>65</v>
      </c>
    </row>
    <row r="1220" spans="1:19">
      <c r="A1220" s="1">
        <v>2017</v>
      </c>
      <c r="B1220" s="1">
        <v>42</v>
      </c>
      <c r="C1220" s="1" t="s">
        <v>109</v>
      </c>
      <c r="D1220" s="1" t="e">
        <f t="array" aca="1" ref="D1220" ca="1">_xludf.XLOOKUP(C1220,'country region mapping'!$A$2:$A$250, 'country region mapping'!$E$2:$E$250)</f>
        <v>#NAME?</v>
      </c>
      <c r="E1220" s="1" t="e">
        <f t="array" aca="1" ref="E1220" ca="1">_xludf.XLOOKUP(C1220,'country region mapping'!$A$2:$A$267,'country region mapping'!$F$2:$F$267)</f>
        <v>#NAME?</v>
      </c>
      <c r="F1220" s="1" t="e">
        <f t="array" aca="1" ref="F1220" ca="1">_xludf.XLOOKUP(C1220,'country region mapping'!$A$2:$A$267,'country region mapping'!$G$2:$G$267)</f>
        <v>#NAME?</v>
      </c>
      <c r="G1220" s="1">
        <v>6.1230000000000002</v>
      </c>
      <c r="H1220" s="1">
        <v>17</v>
      </c>
      <c r="I1220" s="1">
        <v>54</v>
      </c>
      <c r="J1220" s="1">
        <v>41</v>
      </c>
      <c r="K1220" s="1">
        <v>42</v>
      </c>
      <c r="L1220" s="1">
        <v>62</v>
      </c>
      <c r="M1220" s="1">
        <v>78</v>
      </c>
      <c r="N1220" s="1">
        <v>27</v>
      </c>
      <c r="O1220" s="1">
        <v>111</v>
      </c>
      <c r="P1220" s="1">
        <v>26</v>
      </c>
      <c r="Q1220" s="1">
        <v>78</v>
      </c>
      <c r="R1220" s="1">
        <v>98</v>
      </c>
      <c r="S1220" s="1">
        <v>133</v>
      </c>
    </row>
    <row r="1221" spans="1:19">
      <c r="A1221" s="1">
        <v>2017</v>
      </c>
      <c r="B1221" s="1">
        <v>43</v>
      </c>
      <c r="C1221" s="1" t="s">
        <v>90</v>
      </c>
      <c r="D1221" s="1" t="e">
        <f t="array" aca="1" ref="D1221" ca="1">_xludf.XLOOKUP(C1221,'country region mapping'!$A$2:$A$250, 'country region mapping'!$E$2:$E$250)</f>
        <v>#NAME?</v>
      </c>
      <c r="E1221" s="1" t="e">
        <f t="array" aca="1" ref="E1221" ca="1">_xludf.XLOOKUP(C1221,'country region mapping'!$A$2:$A$267,'country region mapping'!$F$2:$F$267)</f>
        <v>#NAME?</v>
      </c>
      <c r="F1221" s="1" t="e">
        <f t="array" aca="1" ref="F1221" ca="1">_xludf.XLOOKUP(C1221,'country region mapping'!$A$2:$A$267,'country region mapping'!$G$2:$G$267)</f>
        <v>#NAME?</v>
      </c>
      <c r="G1221" s="1">
        <v>6.1050000000000004</v>
      </c>
      <c r="H1221" s="1">
        <v>72</v>
      </c>
      <c r="I1221" s="1">
        <v>60</v>
      </c>
      <c r="J1221" s="1">
        <v>19</v>
      </c>
      <c r="K1221" s="1">
        <v>65</v>
      </c>
      <c r="L1221" s="1">
        <v>24</v>
      </c>
      <c r="M1221" s="1">
        <v>23</v>
      </c>
      <c r="O1221" s="14">
        <v>26</v>
      </c>
      <c r="P1221" s="14">
        <v>78</v>
      </c>
      <c r="Q1221" s="14">
        <v>23</v>
      </c>
      <c r="R1221" s="14">
        <v>24</v>
      </c>
      <c r="S1221" s="14">
        <v>6</v>
      </c>
    </row>
    <row r="1222" spans="1:19">
      <c r="A1222" s="1">
        <v>2017</v>
      </c>
      <c r="B1222" s="1">
        <v>44</v>
      </c>
      <c r="C1222" s="1" t="s">
        <v>99</v>
      </c>
      <c r="D1222" s="1" t="e">
        <f t="array" aca="1" ref="D1222" ca="1">_xludf.XLOOKUP(C1222,'country region mapping'!$A$2:$A$250, 'country region mapping'!$E$2:$E$250)</f>
        <v>#NAME?</v>
      </c>
      <c r="E1222" s="1" t="e">
        <f t="array" aca="1" ref="E1222" ca="1">_xludf.XLOOKUP(C1222,'country region mapping'!$A$2:$A$267,'country region mapping'!$F$2:$F$267)</f>
        <v>#NAME?</v>
      </c>
      <c r="F1222" s="1" t="e">
        <f t="array" aca="1" ref="F1222" ca="1">_xludf.XLOOKUP(C1222,'country region mapping'!$A$2:$A$267,'country region mapping'!$G$2:$G$267)</f>
        <v>#NAME?</v>
      </c>
      <c r="G1222" s="1">
        <v>6.0960000000000001</v>
      </c>
      <c r="H1222" s="1">
        <v>90</v>
      </c>
      <c r="I1222" s="1">
        <v>9</v>
      </c>
      <c r="J1222" s="1">
        <v>100</v>
      </c>
      <c r="K1222" s="1">
        <v>94</v>
      </c>
      <c r="L1222" s="1">
        <v>1</v>
      </c>
      <c r="M1222" s="1">
        <v>39</v>
      </c>
      <c r="N1222" s="1">
        <v>17</v>
      </c>
      <c r="O1222" s="1">
        <v>31</v>
      </c>
      <c r="P1222" s="1">
        <v>24</v>
      </c>
      <c r="Q1222" s="1">
        <v>39</v>
      </c>
      <c r="R1222" s="1">
        <v>68</v>
      </c>
      <c r="S1222" s="1">
        <v>74</v>
      </c>
    </row>
    <row r="1223" spans="1:19">
      <c r="A1223" s="1">
        <v>2017</v>
      </c>
      <c r="B1223" s="1">
        <v>45</v>
      </c>
      <c r="C1223" s="1" t="s">
        <v>88</v>
      </c>
      <c r="D1223" s="1" t="e">
        <f t="array" aca="1" ref="D1223" ca="1">_xludf.XLOOKUP(C1223,'country region mapping'!$A$2:$A$250, 'country region mapping'!$E$2:$E$250)</f>
        <v>#NAME?</v>
      </c>
      <c r="E1223" s="1" t="e">
        <f t="array" aca="1" ref="E1223" ca="1">_xludf.XLOOKUP(C1223,'country region mapping'!$A$2:$A$267,'country region mapping'!$F$2:$F$267)</f>
        <v>#NAME?</v>
      </c>
      <c r="F1223" s="1" t="e">
        <f t="array" aca="1" ref="F1223" ca="1">_xludf.XLOOKUP(C1223,'country region mapping'!$A$2:$A$267,'country region mapping'!$G$2:$G$267)</f>
        <v>#NAME?</v>
      </c>
      <c r="G1223" s="1">
        <v>6.0830000000000002</v>
      </c>
      <c r="H1223" s="1">
        <v>89</v>
      </c>
      <c r="I1223" s="1">
        <v>63</v>
      </c>
      <c r="J1223" s="1">
        <v>22</v>
      </c>
      <c r="K1223" s="1">
        <v>14</v>
      </c>
      <c r="L1223" s="1">
        <v>37</v>
      </c>
      <c r="M1223" s="1">
        <v>35</v>
      </c>
      <c r="O1223" s="14">
        <v>80</v>
      </c>
      <c r="P1223" s="14">
        <v>91</v>
      </c>
      <c r="Q1223" s="14">
        <v>35</v>
      </c>
      <c r="R1223" s="14">
        <v>121</v>
      </c>
      <c r="S1223" s="14">
        <v>3</v>
      </c>
    </row>
    <row r="1224" spans="1:19">
      <c r="A1224" s="1">
        <v>2017</v>
      </c>
      <c r="B1224" s="1">
        <v>46</v>
      </c>
      <c r="C1224" s="1" t="s">
        <v>78</v>
      </c>
      <c r="D1224" s="1" t="e">
        <f t="array" aca="1" ref="D1224" ca="1">_xludf.XLOOKUP(C1224,'country region mapping'!$A$2:$A$250, 'country region mapping'!$E$2:$E$250)</f>
        <v>#NAME?</v>
      </c>
      <c r="E1224" s="1" t="e">
        <f t="array" aca="1" ref="E1224" ca="1">_xludf.XLOOKUP(C1224,'country region mapping'!$A$2:$A$267,'country region mapping'!$F$2:$F$267)</f>
        <v>#NAME?</v>
      </c>
      <c r="F1224" s="1" t="e">
        <f t="array" aca="1" ref="F1224" ca="1">_xludf.XLOOKUP(C1224,'country region mapping'!$A$2:$A$267,'country region mapping'!$G$2:$G$267)</f>
        <v>#NAME?</v>
      </c>
      <c r="G1224" s="1">
        <v>6.0720000000000001</v>
      </c>
      <c r="H1224" s="1">
        <v>76</v>
      </c>
      <c r="I1224" s="1">
        <v>57</v>
      </c>
      <c r="J1224" s="1">
        <v>60</v>
      </c>
      <c r="K1224" s="1">
        <v>44</v>
      </c>
      <c r="L1224" s="1">
        <v>16</v>
      </c>
      <c r="M1224" s="1">
        <v>22</v>
      </c>
      <c r="N1224" s="1">
        <v>122</v>
      </c>
      <c r="O1224" s="1">
        <v>15</v>
      </c>
      <c r="P1224" s="1">
        <v>43</v>
      </c>
      <c r="Q1224" s="1">
        <v>22</v>
      </c>
      <c r="R1224" s="1">
        <v>114</v>
      </c>
      <c r="S1224" s="1">
        <v>129</v>
      </c>
    </row>
    <row r="1225" spans="1:19">
      <c r="A1225" s="1">
        <v>2017</v>
      </c>
      <c r="B1225" s="1">
        <v>47</v>
      </c>
      <c r="C1225" s="1" t="s">
        <v>100</v>
      </c>
      <c r="D1225" s="1" t="e">
        <f t="array" aca="1" ref="D1225" ca="1">_xludf.XLOOKUP(C1225,'country region mapping'!$A$2:$A$250, 'country region mapping'!$E$2:$E$250)</f>
        <v>#NAME?</v>
      </c>
      <c r="E1225" s="1" t="e">
        <f t="array" aca="1" ref="E1225" ca="1">_xludf.XLOOKUP(C1225,'country region mapping'!$A$2:$A$267,'country region mapping'!$F$2:$F$267)</f>
        <v>#NAME?</v>
      </c>
      <c r="F1225" s="1" t="e">
        <f t="array" aca="1" ref="F1225" ca="1">_xludf.XLOOKUP(C1225,'country region mapping'!$A$2:$A$267,'country region mapping'!$G$2:$G$267)</f>
        <v>#NAME?</v>
      </c>
      <c r="G1225" s="1">
        <v>6</v>
      </c>
      <c r="H1225" s="1">
        <v>47</v>
      </c>
      <c r="I1225" s="1">
        <v>23</v>
      </c>
      <c r="J1225" s="1">
        <v>26</v>
      </c>
      <c r="K1225" s="1">
        <v>10</v>
      </c>
      <c r="L1225" s="1">
        <v>124</v>
      </c>
      <c r="M1225" s="1">
        <v>44</v>
      </c>
      <c r="N1225" s="1">
        <v>112</v>
      </c>
      <c r="O1225" s="1">
        <v>94</v>
      </c>
      <c r="P1225" s="1">
        <v>104</v>
      </c>
      <c r="Q1225" s="1">
        <v>44</v>
      </c>
      <c r="R1225" s="1">
        <v>82</v>
      </c>
      <c r="S1225" s="1">
        <v>97</v>
      </c>
    </row>
    <row r="1226" spans="1:19">
      <c r="A1226" s="1">
        <v>2017</v>
      </c>
      <c r="B1226" s="1">
        <v>48</v>
      </c>
      <c r="C1226" s="1" t="s">
        <v>102</v>
      </c>
      <c r="D1226" s="1" t="e">
        <f t="array" aca="1" ref="D1226" ca="1">_xludf.XLOOKUP(C1226,'country region mapping'!$A$2:$A$250, 'country region mapping'!$E$2:$E$250)</f>
        <v>#NAME?</v>
      </c>
      <c r="E1226" s="1" t="e">
        <f t="array" aca="1" ref="E1226" ca="1">_xludf.XLOOKUP(C1226,'country region mapping'!$A$2:$A$267,'country region mapping'!$F$2:$F$267)</f>
        <v>#NAME?</v>
      </c>
      <c r="F1226" s="1" t="e">
        <f t="array" aca="1" ref="F1226" ca="1">_xludf.XLOOKUP(C1226,'country region mapping'!$A$2:$A$267,'country region mapping'!$G$2:$G$267)</f>
        <v>#NAME?</v>
      </c>
      <c r="G1226" s="1">
        <v>5.9729999999999999</v>
      </c>
      <c r="H1226" s="1">
        <v>127</v>
      </c>
      <c r="I1226" s="1">
        <v>65</v>
      </c>
      <c r="J1226" s="1">
        <v>83</v>
      </c>
      <c r="K1226" s="1">
        <v>45</v>
      </c>
      <c r="L1226" s="1">
        <v>39</v>
      </c>
      <c r="M1226" s="1">
        <v>120</v>
      </c>
      <c r="N1226" s="1">
        <v>49</v>
      </c>
      <c r="O1226" s="1">
        <v>10</v>
      </c>
      <c r="P1226" s="1">
        <v>98</v>
      </c>
      <c r="Q1226" s="1">
        <v>120</v>
      </c>
      <c r="R1226" s="1">
        <v>79</v>
      </c>
      <c r="S1226" s="1">
        <v>117</v>
      </c>
    </row>
    <row r="1227" spans="1:19">
      <c r="A1227" s="1">
        <v>2017</v>
      </c>
      <c r="B1227" s="1">
        <v>49</v>
      </c>
      <c r="C1227" s="1" t="s">
        <v>103</v>
      </c>
      <c r="D1227" s="1" t="e">
        <f t="array" aca="1" ref="D1227" ca="1">_xludf.XLOOKUP(C1227,'country region mapping'!$A$2:$A$250, 'country region mapping'!$E$2:$E$250)</f>
        <v>#NAME?</v>
      </c>
      <c r="E1227" s="1" t="e">
        <f t="array" aca="1" ref="E1227" ca="1">_xludf.XLOOKUP(C1227,'country region mapping'!$A$2:$A$267,'country region mapping'!$F$2:$F$267)</f>
        <v>#NAME?</v>
      </c>
      <c r="F1227" s="1" t="e">
        <f t="array" aca="1" ref="F1227" ca="1">_xludf.XLOOKUP(C1227,'country region mapping'!$A$2:$A$267,'country region mapping'!$G$2:$G$267)</f>
        <v>#NAME?</v>
      </c>
      <c r="G1227" s="1">
        <v>5.9560000000000004</v>
      </c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</row>
    <row r="1228" spans="1:19">
      <c r="A1228" s="1">
        <v>2017</v>
      </c>
      <c r="B1228" s="1">
        <v>50</v>
      </c>
      <c r="C1228" s="1" t="s">
        <v>114</v>
      </c>
      <c r="D1228" s="1" t="e">
        <f t="array" aca="1" ref="D1228" ca="1">_xludf.XLOOKUP(C1228,'country region mapping'!$A$2:$A$250, 'country region mapping'!$E$2:$E$250)</f>
        <v>#NAME?</v>
      </c>
      <c r="E1228" s="1" t="e">
        <f t="array" aca="1" ref="E1228" ca="1">_xludf.XLOOKUP(C1228,'country region mapping'!$A$2:$A$267,'country region mapping'!$F$2:$F$267)</f>
        <v>#NAME?</v>
      </c>
      <c r="F1228" s="1" t="e">
        <f t="array" aca="1" ref="F1228" ca="1">_xludf.XLOOKUP(C1228,'country region mapping'!$A$2:$A$267,'country region mapping'!$G$2:$G$267)</f>
        <v>#NAME?</v>
      </c>
      <c r="G1228" s="1">
        <v>5.952</v>
      </c>
      <c r="H1228" s="1">
        <v>65</v>
      </c>
      <c r="I1228" s="1">
        <v>18</v>
      </c>
      <c r="J1228" s="1">
        <v>36</v>
      </c>
      <c r="K1228" s="1">
        <v>64</v>
      </c>
      <c r="L1228" s="1">
        <v>96</v>
      </c>
      <c r="M1228" s="1">
        <v>92</v>
      </c>
      <c r="N1228" s="1">
        <v>71</v>
      </c>
      <c r="O1228" s="1">
        <v>103</v>
      </c>
      <c r="P1228" s="1">
        <v>19</v>
      </c>
      <c r="Q1228" s="1">
        <v>92</v>
      </c>
      <c r="R1228" s="1">
        <v>77</v>
      </c>
      <c r="S1228" s="1">
        <v>90</v>
      </c>
    </row>
    <row r="1229" spans="1:19">
      <c r="A1229" s="1">
        <v>2017</v>
      </c>
      <c r="B1229" s="1">
        <v>51</v>
      </c>
      <c r="C1229" s="1" t="s">
        <v>116</v>
      </c>
      <c r="D1229" s="1" t="e">
        <f t="array" aca="1" ref="D1229" ca="1">_xludf.XLOOKUP(C1229,'country region mapping'!$A$2:$A$250, 'country region mapping'!$E$2:$E$250)</f>
        <v>#NAME?</v>
      </c>
      <c r="E1229" s="1" t="e">
        <f t="array" aca="1" ref="E1229" ca="1">_xludf.XLOOKUP(C1229,'country region mapping'!$A$2:$A$267,'country region mapping'!$F$2:$F$267)</f>
        <v>#NAME?</v>
      </c>
      <c r="F1229" s="1" t="e">
        <f t="array" aca="1" ref="F1229" ca="1">_xludf.XLOOKUP(C1229,'country region mapping'!$A$2:$A$267,'country region mapping'!$G$2:$G$267)</f>
        <v>#NAME?</v>
      </c>
      <c r="G1229" s="1">
        <v>5.9480000000000004</v>
      </c>
      <c r="H1229" s="1">
        <v>50</v>
      </c>
      <c r="I1229" s="1">
        <v>17</v>
      </c>
      <c r="J1229" s="1">
        <v>34</v>
      </c>
      <c r="K1229" s="1">
        <v>23</v>
      </c>
      <c r="L1229" s="1">
        <v>18</v>
      </c>
      <c r="M1229" s="1">
        <v>43</v>
      </c>
      <c r="N1229" s="1">
        <v>87</v>
      </c>
      <c r="O1229" s="1">
        <v>105</v>
      </c>
      <c r="P1229" s="1">
        <v>76</v>
      </c>
      <c r="Q1229" s="1">
        <v>43</v>
      </c>
      <c r="R1229" s="1">
        <v>19</v>
      </c>
      <c r="S1229" s="1">
        <v>93</v>
      </c>
    </row>
    <row r="1230" spans="1:19">
      <c r="A1230" s="1">
        <v>2017</v>
      </c>
      <c r="B1230" s="1">
        <v>52</v>
      </c>
      <c r="C1230" s="1" t="s">
        <v>128</v>
      </c>
      <c r="D1230" s="1" t="e">
        <f t="array" aca="1" ref="D1230" ca="1">_xludf.XLOOKUP(C1230,'country region mapping'!$A$2:$A$250, 'country region mapping'!$E$2:$E$250)</f>
        <v>#NAME?</v>
      </c>
      <c r="E1230" s="1" t="e">
        <f t="array" aca="1" ref="E1230" ca="1">_xludf.XLOOKUP(C1230,'country region mapping'!$A$2:$A$267,'country region mapping'!$F$2:$F$267)</f>
        <v>#NAME?</v>
      </c>
      <c r="F1230" s="1" t="e">
        <f t="array" aca="1" ref="F1230" ca="1">_xludf.XLOOKUP(C1230,'country region mapping'!$A$2:$A$267,'country region mapping'!$G$2:$G$267)</f>
        <v>#NAME?</v>
      </c>
      <c r="G1230" s="1">
        <v>5.9450000000000003</v>
      </c>
      <c r="H1230" s="1">
        <v>62</v>
      </c>
      <c r="I1230" s="1">
        <v>82</v>
      </c>
      <c r="J1230" s="1">
        <v>44</v>
      </c>
      <c r="K1230" s="1">
        <v>62</v>
      </c>
      <c r="L1230" s="1">
        <v>56</v>
      </c>
      <c r="M1230" s="1">
        <v>93</v>
      </c>
      <c r="N1230" s="1">
        <v>134</v>
      </c>
      <c r="O1230" s="1">
        <v>87</v>
      </c>
      <c r="P1230" s="1">
        <v>41</v>
      </c>
      <c r="Q1230" s="1">
        <v>93</v>
      </c>
      <c r="R1230" s="1">
        <v>139</v>
      </c>
      <c r="S1230" s="1">
        <v>57</v>
      </c>
    </row>
    <row r="1231" spans="1:19">
      <c r="A1231" s="1">
        <v>2017</v>
      </c>
      <c r="B1231" s="1">
        <v>53</v>
      </c>
      <c r="C1231" s="1" t="s">
        <v>123</v>
      </c>
      <c r="D1231" s="1" t="e">
        <f t="array" aca="1" ref="D1231" ca="1">_xludf.XLOOKUP(C1231,'country region mapping'!$A$2:$A$250, 'country region mapping'!$E$2:$E$250)</f>
        <v>#NAME?</v>
      </c>
      <c r="E1231" s="1" t="e">
        <f t="array" aca="1" ref="E1231" ca="1">_xludf.XLOOKUP(C1231,'country region mapping'!$A$2:$A$267,'country region mapping'!$F$2:$F$267)</f>
        <v>#NAME?</v>
      </c>
      <c r="F1231" s="1" t="e">
        <f t="array" aca="1" ref="F1231" ca="1">_xludf.XLOOKUP(C1231,'country region mapping'!$A$2:$A$267,'country region mapping'!$G$2:$G$267)</f>
        <v>#NAME?</v>
      </c>
      <c r="G1231" s="1">
        <v>5.9329999999999998</v>
      </c>
      <c r="H1231" s="1">
        <v>36</v>
      </c>
      <c r="I1231" s="1">
        <v>47</v>
      </c>
      <c r="J1231" s="1">
        <v>43</v>
      </c>
      <c r="K1231" s="1">
        <v>66</v>
      </c>
      <c r="L1231" s="1">
        <v>113</v>
      </c>
      <c r="M1231" s="1">
        <v>89</v>
      </c>
      <c r="N1231" s="1">
        <v>77</v>
      </c>
      <c r="O1231" s="1">
        <v>113</v>
      </c>
      <c r="P1231" s="1">
        <v>44</v>
      </c>
      <c r="Q1231" s="1">
        <v>89</v>
      </c>
      <c r="R1231" s="1">
        <v>129</v>
      </c>
      <c r="S1231" s="1">
        <v>141</v>
      </c>
    </row>
    <row r="1232" spans="1:19">
      <c r="A1232" s="1">
        <v>2017</v>
      </c>
      <c r="B1232" s="1">
        <v>54</v>
      </c>
      <c r="C1232" s="1" t="s">
        <v>104</v>
      </c>
      <c r="D1232" s="1" t="e">
        <f t="array" aca="1" ref="D1232" ca="1">_xludf.XLOOKUP(C1232,'country region mapping'!$A$2:$A$250, 'country region mapping'!$E$2:$E$250)</f>
        <v>#NAME?</v>
      </c>
      <c r="E1232" s="1" t="e">
        <f t="array" aca="1" ref="E1232" ca="1">_xludf.XLOOKUP(C1232,'country region mapping'!$A$2:$A$267,'country region mapping'!$F$2:$F$267)</f>
        <v>#NAME?</v>
      </c>
      <c r="F1232" s="1" t="e">
        <f t="array" aca="1" ref="F1232" ca="1">_xludf.XLOOKUP(C1232,'country region mapping'!$A$2:$A$267,'country region mapping'!$G$2:$G$267)</f>
        <v>#NAME?</v>
      </c>
      <c r="G1232" s="1">
        <v>5.915</v>
      </c>
      <c r="H1232" s="1">
        <v>49</v>
      </c>
      <c r="I1232" s="1">
        <v>53</v>
      </c>
      <c r="J1232" s="1">
        <v>30</v>
      </c>
      <c r="K1232" s="1">
        <v>1</v>
      </c>
      <c r="L1232" s="1">
        <v>52</v>
      </c>
      <c r="M1232" s="1">
        <v>100</v>
      </c>
      <c r="N1232" s="1">
        <v>32</v>
      </c>
      <c r="O1232" s="1">
        <v>63</v>
      </c>
      <c r="P1232" s="1">
        <v>9</v>
      </c>
      <c r="Q1232" s="1">
        <v>100</v>
      </c>
      <c r="R1232" s="1">
        <v>56</v>
      </c>
      <c r="S1232" s="1">
        <v>144</v>
      </c>
    </row>
    <row r="1233" spans="1:19">
      <c r="A1233" s="1">
        <v>2017</v>
      </c>
      <c r="B1233" s="1">
        <v>55</v>
      </c>
      <c r="C1233" s="1" t="s">
        <v>121</v>
      </c>
      <c r="D1233" s="1" t="e">
        <f t="array" aca="1" ref="D1233" ca="1">_xludf.XLOOKUP(C1233,'country region mapping'!$A$2:$A$250, 'country region mapping'!$E$2:$E$250)</f>
        <v>#NAME?</v>
      </c>
      <c r="E1233" s="1" t="e">
        <f t="array" aca="1" ref="E1233" ca="1">_xludf.XLOOKUP(C1233,'country region mapping'!$A$2:$A$267,'country region mapping'!$F$2:$F$267)</f>
        <v>#NAME?</v>
      </c>
      <c r="F1233" s="1" t="e">
        <f t="array" aca="1" ref="F1233" ca="1">_xludf.XLOOKUP(C1233,'country region mapping'!$A$2:$A$267,'country region mapping'!$G$2:$G$267)</f>
        <v>#NAME?</v>
      </c>
      <c r="G1233" s="1">
        <v>5.891</v>
      </c>
      <c r="H1233" s="1">
        <v>77</v>
      </c>
      <c r="I1233" s="1">
        <v>32</v>
      </c>
      <c r="J1233" s="1">
        <v>55</v>
      </c>
      <c r="K1233" s="1">
        <v>74</v>
      </c>
      <c r="L1233" s="1">
        <v>21</v>
      </c>
      <c r="M1233" s="1">
        <v>29</v>
      </c>
      <c r="N1233" s="1">
        <v>83</v>
      </c>
      <c r="O1233" s="1">
        <v>66</v>
      </c>
      <c r="P1233" s="1">
        <v>5</v>
      </c>
      <c r="Q1233" s="1">
        <v>29</v>
      </c>
      <c r="R1233" s="1">
        <v>10</v>
      </c>
      <c r="S1233" s="1">
        <v>46</v>
      </c>
    </row>
    <row r="1234" spans="1:19">
      <c r="A1234" s="1">
        <v>2017</v>
      </c>
      <c r="B1234" s="1">
        <v>56</v>
      </c>
      <c r="C1234" s="1" t="s">
        <v>130</v>
      </c>
      <c r="D1234" s="1" t="e">
        <f t="array" aca="1" ref="D1234" ca="1">_xludf.XLOOKUP(C1234,'country region mapping'!$A$2:$A$250, 'country region mapping'!$E$2:$E$250)</f>
        <v>#NAME?</v>
      </c>
      <c r="E1234" s="1" t="e">
        <f t="array" aca="1" ref="E1234" ca="1">_xludf.XLOOKUP(C1234,'country region mapping'!$A$2:$A$267,'country region mapping'!$F$2:$F$267)</f>
        <v>#NAME?</v>
      </c>
      <c r="F1234" s="1" t="e">
        <f t="array" aca="1" ref="F1234" ca="1">_xludf.XLOOKUP(C1234,'country region mapping'!$A$2:$A$267,'country region mapping'!$G$2:$G$267)</f>
        <v>#NAME?</v>
      </c>
      <c r="G1234" s="1">
        <v>5.89</v>
      </c>
      <c r="H1234" s="1">
        <v>93</v>
      </c>
      <c r="I1234" s="1">
        <v>30</v>
      </c>
      <c r="J1234" s="1">
        <v>95</v>
      </c>
      <c r="K1234" s="1">
        <v>82</v>
      </c>
      <c r="L1234" s="1">
        <v>45</v>
      </c>
      <c r="M1234" s="1">
        <v>107</v>
      </c>
      <c r="N1234" s="1">
        <v>121</v>
      </c>
      <c r="O1234" s="1">
        <v>57</v>
      </c>
      <c r="P1234" s="1">
        <v>53</v>
      </c>
      <c r="Q1234" s="1">
        <v>107</v>
      </c>
      <c r="R1234" s="1">
        <v>37</v>
      </c>
      <c r="S1234" s="1">
        <v>28</v>
      </c>
    </row>
    <row r="1235" spans="1:19">
      <c r="A1235" s="1">
        <v>2017</v>
      </c>
      <c r="B1235" s="1">
        <v>57</v>
      </c>
      <c r="C1235" s="1" t="s">
        <v>110</v>
      </c>
      <c r="D1235" s="1" t="e">
        <f t="array" aca="1" ref="D1235" ca="1">_xludf.XLOOKUP(C1235,'country region mapping'!$A$2:$A$267,'country region mapping'!$E$2:$E$267)</f>
        <v>#NAME?</v>
      </c>
      <c r="E1235" s="1" t="e">
        <f t="array" aca="1" ref="E1235" ca="1">_xludf.XLOOKUP(C1235,'country region mapping'!$A$2:$A$267,'country region mapping'!$F$2:$F$267)</f>
        <v>#NAME?</v>
      </c>
      <c r="F1235" s="1" t="e">
        <f t="array" aca="1" ref="F1235" ca="1">_xludf.XLOOKUP(C1235,'country region mapping'!$A$2:$A$267,'country region mapping'!$G$2:$G$267)</f>
        <v>#NAME?</v>
      </c>
      <c r="G1235" s="1">
        <v>5.875</v>
      </c>
      <c r="H1235" s="1">
        <v>55</v>
      </c>
      <c r="I1235" s="1">
        <v>84</v>
      </c>
      <c r="J1235" s="1">
        <v>31</v>
      </c>
      <c r="K1235" s="1">
        <v>3</v>
      </c>
      <c r="L1235" s="1">
        <v>139</v>
      </c>
      <c r="M1235" s="1">
        <v>33</v>
      </c>
      <c r="N1235" s="1">
        <v>101</v>
      </c>
      <c r="O1235" s="1">
        <v>120</v>
      </c>
      <c r="P1235" s="1">
        <v>49</v>
      </c>
      <c r="Q1235" s="1">
        <v>33</v>
      </c>
      <c r="R1235" s="1">
        <v>95</v>
      </c>
      <c r="S1235" s="1">
        <v>94</v>
      </c>
    </row>
    <row r="1236" spans="1:19">
      <c r="A1236" s="1">
        <v>2017</v>
      </c>
      <c r="B1236" s="1">
        <v>59</v>
      </c>
      <c r="C1236" s="1" t="s">
        <v>108</v>
      </c>
      <c r="D1236" s="1" t="e">
        <f t="array" aca="1" ref="D1236" ca="1">_xludf.XLOOKUP(C1236,'country region mapping'!$A$2:$A$250, 'country region mapping'!$E$2:$E$250)</f>
        <v>#NAME?</v>
      </c>
      <c r="E1236" s="1" t="e">
        <f t="array" aca="1" ref="E1236" ca="1">_xludf.XLOOKUP(C1236,'country region mapping'!$A$2:$A$267,'country region mapping'!$F$2:$F$267)</f>
        <v>#NAME?</v>
      </c>
      <c r="F1236" s="1" t="e">
        <f t="array" aca="1" ref="F1236" ca="1">_xludf.XLOOKUP(C1236,'country region mapping'!$A$2:$A$267,'country region mapping'!$G$2:$G$267)</f>
        <v>#NAME?</v>
      </c>
      <c r="G1236" s="1">
        <v>5.81</v>
      </c>
      <c r="H1236" s="1">
        <v>59</v>
      </c>
      <c r="I1236" s="1">
        <v>45</v>
      </c>
      <c r="J1236" s="1">
        <v>38</v>
      </c>
      <c r="K1236" s="1">
        <v>88</v>
      </c>
      <c r="L1236" s="1">
        <v>102</v>
      </c>
      <c r="M1236" s="1">
        <v>87</v>
      </c>
      <c r="N1236" s="1">
        <v>106</v>
      </c>
      <c r="O1236" s="1">
        <v>79</v>
      </c>
      <c r="P1236" s="1">
        <v>18</v>
      </c>
      <c r="Q1236" s="1">
        <v>87</v>
      </c>
      <c r="R1236" s="1">
        <v>119</v>
      </c>
      <c r="S1236" s="1">
        <v>103</v>
      </c>
    </row>
    <row r="1237" spans="1:19">
      <c r="A1237" s="1">
        <v>2017</v>
      </c>
      <c r="B1237" s="1">
        <v>60</v>
      </c>
      <c r="C1237" s="1" t="s">
        <v>106</v>
      </c>
      <c r="D1237" s="1" t="e">
        <f t="array" aca="1" ref="D1237" ca="1">_xludf.XLOOKUP(C1237,'country region mapping'!$A$2:$A$250, 'country region mapping'!$E$2:$E$250)</f>
        <v>#NAME?</v>
      </c>
      <c r="E1237" s="1" t="e">
        <f t="array" aca="1" ref="E1237" ca="1">_xludf.XLOOKUP(C1237,'country region mapping'!$A$2:$A$267,'country region mapping'!$F$2:$F$267)</f>
        <v>#NAME?</v>
      </c>
      <c r="F1237" s="1" t="e">
        <f t="array" aca="1" ref="F1237" ca="1">_xludf.XLOOKUP(C1237,'country region mapping'!$A$2:$A$267,'country region mapping'!$G$2:$G$267)</f>
        <v>#NAME?</v>
      </c>
      <c r="G1237" s="1">
        <v>5.79</v>
      </c>
      <c r="H1237" s="1">
        <v>26</v>
      </c>
      <c r="I1237" s="1">
        <v>26</v>
      </c>
      <c r="J1237" s="1">
        <v>48</v>
      </c>
      <c r="K1237" s="1">
        <v>80</v>
      </c>
      <c r="L1237" s="1">
        <v>97</v>
      </c>
      <c r="M1237" s="1">
        <v>53</v>
      </c>
      <c r="N1237" s="1">
        <v>56</v>
      </c>
      <c r="O1237" s="1">
        <v>60</v>
      </c>
      <c r="P1237" s="1">
        <v>6</v>
      </c>
      <c r="Q1237" s="1">
        <v>53</v>
      </c>
      <c r="R1237" s="1">
        <v>89</v>
      </c>
      <c r="S1237" s="1">
        <v>132</v>
      </c>
    </row>
    <row r="1238" spans="1:19">
      <c r="A1238" s="1">
        <v>2017</v>
      </c>
      <c r="B1238" s="1">
        <v>61</v>
      </c>
      <c r="C1238" s="1" t="s">
        <v>124</v>
      </c>
      <c r="D1238" s="1" t="e">
        <f t="array" aca="1" ref="D1238" ca="1">_xludf.XLOOKUP(C1238,'country region mapping'!$A$2:$A$250, 'country region mapping'!$E$2:$E$250)</f>
        <v>#NAME?</v>
      </c>
      <c r="E1238" s="1" t="e">
        <f t="array" aca="1" ref="E1238" ca="1">_xludf.XLOOKUP(C1238,'country region mapping'!$A$2:$A$267,'country region mapping'!$F$2:$F$267)</f>
        <v>#NAME?</v>
      </c>
      <c r="F1238" s="1" t="e">
        <f t="array" aca="1" ref="F1238" ca="1">_xludf.XLOOKUP(C1238,'country region mapping'!$A$2:$A$267,'country region mapping'!$G$2:$G$267)</f>
        <v>#NAME?</v>
      </c>
      <c r="G1238" s="1">
        <v>5.7619999999999996</v>
      </c>
      <c r="H1238" s="1">
        <v>91</v>
      </c>
      <c r="I1238" s="1">
        <v>79</v>
      </c>
      <c r="J1238" s="1">
        <v>33</v>
      </c>
      <c r="K1238" s="1">
        <v>13</v>
      </c>
      <c r="L1238" s="1">
        <v>75</v>
      </c>
      <c r="M1238" s="1">
        <v>30</v>
      </c>
      <c r="N1238" s="1">
        <v>102</v>
      </c>
      <c r="O1238" s="1">
        <v>70</v>
      </c>
      <c r="P1238" s="1">
        <v>86</v>
      </c>
      <c r="Q1238" s="1">
        <v>30</v>
      </c>
      <c r="R1238" s="1">
        <v>46</v>
      </c>
      <c r="S1238" s="1">
        <v>34</v>
      </c>
    </row>
    <row r="1239" spans="1:19">
      <c r="A1239" s="1">
        <v>2017</v>
      </c>
      <c r="B1239" s="1">
        <v>62</v>
      </c>
      <c r="C1239" s="1" t="s">
        <v>112</v>
      </c>
      <c r="D1239" s="1" t="e">
        <f t="array" aca="1" ref="D1239" ca="1">_xludf.XLOOKUP(C1239,'country region mapping'!$A$2:$A$267,'country region mapping'!$E$2:$E$267)</f>
        <v>#NAME?</v>
      </c>
      <c r="E1239" s="1" t="e">
        <f t="array" aca="1" ref="E1239" ca="1">_xludf.XLOOKUP(C1239,'country region mapping'!$A$2:$A$267,'country region mapping'!$F$2:$F$267)</f>
        <v>#NAME?</v>
      </c>
      <c r="F1239" s="1" t="e">
        <f t="array" aca="1" ref="F1239" ca="1">_xludf.XLOOKUP(C1239,'country region mapping'!$A$2:$A$267,'country region mapping'!$G$2:$G$267)</f>
        <v>#NAME?</v>
      </c>
      <c r="G1239" s="1">
        <v>5.7519999999999998</v>
      </c>
      <c r="H1239" s="1">
        <v>78</v>
      </c>
      <c r="I1239" s="1">
        <v>95</v>
      </c>
      <c r="J1239" s="1">
        <v>96</v>
      </c>
      <c r="K1239" s="1">
        <v>87</v>
      </c>
      <c r="L1239" s="1">
        <v>38</v>
      </c>
      <c r="M1239" s="1">
        <v>108</v>
      </c>
      <c r="N1239" s="1">
        <v>84</v>
      </c>
      <c r="O1239" s="1">
        <v>78</v>
      </c>
      <c r="P1239" s="1">
        <v>137</v>
      </c>
      <c r="Q1239" s="1">
        <v>108</v>
      </c>
      <c r="R1239" s="1">
        <v>64</v>
      </c>
      <c r="S1239" s="1">
        <v>87</v>
      </c>
    </row>
    <row r="1240" spans="1:19">
      <c r="A1240" s="1">
        <v>2017</v>
      </c>
      <c r="B1240" s="1">
        <v>63</v>
      </c>
      <c r="C1240" s="1" t="s">
        <v>129</v>
      </c>
      <c r="D1240" s="1" t="e">
        <f t="array" aca="1" ref="D1240" ca="1">_xludf.XLOOKUP(C1240,'country region mapping'!$A$2:$A$250, 'country region mapping'!$E$2:$E$250)</f>
        <v>#NAME?</v>
      </c>
      <c r="E1240" s="1" t="e">
        <f t="array" aca="1" ref="E1240" ca="1">_xludf.XLOOKUP(C1240,'country region mapping'!$A$2:$A$267,'country region mapping'!$F$2:$F$267)</f>
        <v>#NAME?</v>
      </c>
      <c r="F1240" s="1" t="e">
        <f t="array" aca="1" ref="F1240" ca="1">_xludf.XLOOKUP(C1240,'country region mapping'!$A$2:$A$267,'country region mapping'!$G$2:$G$267)</f>
        <v>#NAME?</v>
      </c>
      <c r="G1240" s="1">
        <v>5.7389999999999999</v>
      </c>
      <c r="H1240" s="1">
        <v>38</v>
      </c>
      <c r="I1240" s="1">
        <v>14</v>
      </c>
      <c r="J1240" s="1">
        <v>35</v>
      </c>
      <c r="K1240" s="1">
        <v>38</v>
      </c>
      <c r="L1240" s="1">
        <v>43</v>
      </c>
      <c r="M1240" s="1">
        <v>66</v>
      </c>
      <c r="N1240" s="1">
        <v>33</v>
      </c>
      <c r="O1240" s="1">
        <v>33</v>
      </c>
      <c r="P1240" s="1">
        <v>3</v>
      </c>
      <c r="Q1240" s="1">
        <v>66</v>
      </c>
      <c r="R1240" s="1">
        <v>92</v>
      </c>
      <c r="S1240" s="1">
        <v>134</v>
      </c>
    </row>
    <row r="1241" spans="1:19">
      <c r="A1241" s="1">
        <v>2017</v>
      </c>
      <c r="B1241" s="1">
        <v>64</v>
      </c>
      <c r="C1241" s="1" t="s">
        <v>126</v>
      </c>
      <c r="D1241" s="1" t="e">
        <f t="array" aca="1" ref="D1241" ca="1">_xludf.XLOOKUP(C1241,'country region mapping'!$A$2:$A$250, 'country region mapping'!$E$2:$E$250)</f>
        <v>#NAME?</v>
      </c>
      <c r="E1241" s="1" t="e">
        <f t="array" aca="1" ref="E1241" ca="1">_xludf.XLOOKUP(C1241,'country region mapping'!$A$2:$A$267,'country region mapping'!$F$2:$F$267)</f>
        <v>#NAME?</v>
      </c>
      <c r="F1241" s="1" t="e">
        <f t="array" aca="1" ref="F1241" ca="1">_xludf.XLOOKUP(C1241,'country region mapping'!$A$2:$A$267,'country region mapping'!$G$2:$G$267)</f>
        <v>#NAME?</v>
      </c>
      <c r="G1241" s="1">
        <v>5.681</v>
      </c>
      <c r="H1241" s="1">
        <v>97</v>
      </c>
      <c r="I1241" s="1">
        <v>40</v>
      </c>
      <c r="J1241" s="1">
        <v>75</v>
      </c>
      <c r="K1241" s="1">
        <v>70</v>
      </c>
      <c r="L1241" s="1">
        <v>32</v>
      </c>
      <c r="M1241" s="1">
        <v>57</v>
      </c>
      <c r="N1241" s="1">
        <v>81</v>
      </c>
      <c r="O1241" s="1">
        <v>2</v>
      </c>
      <c r="P1241" s="1">
        <v>45</v>
      </c>
      <c r="Q1241" s="1">
        <v>57</v>
      </c>
      <c r="R1241" s="1">
        <v>57</v>
      </c>
      <c r="S1241" s="1">
        <v>61</v>
      </c>
    </row>
    <row r="1242" spans="1:19">
      <c r="A1242" s="1">
        <v>2017</v>
      </c>
      <c r="B1242" s="1">
        <v>65</v>
      </c>
      <c r="C1242" s="1" t="s">
        <v>118</v>
      </c>
      <c r="D1242" s="1" t="e">
        <f t="array" aca="1" ref="D1242" ca="1">_xludf.XLOOKUP(C1242,'country region mapping'!$A$2:$A$250, 'country region mapping'!$E$2:$E$250)</f>
        <v>#NAME?</v>
      </c>
      <c r="E1242" s="1" t="e">
        <f t="array" aca="1" ref="E1242" ca="1">_xludf.XLOOKUP(C1242,'country region mapping'!$A$2:$A$267,'country region mapping'!$F$2:$F$267)</f>
        <v>#NAME?</v>
      </c>
      <c r="F1242" s="1" t="e">
        <f t="array" aca="1" ref="F1242" ca="1">_xludf.XLOOKUP(C1242,'country region mapping'!$A$2:$A$267,'country region mapping'!$G$2:$G$267)</f>
        <v>#NAME?</v>
      </c>
      <c r="G1242" s="1">
        <v>5.6630000000000003</v>
      </c>
      <c r="H1242" s="1">
        <v>114</v>
      </c>
      <c r="I1242" s="1">
        <v>72</v>
      </c>
      <c r="J1242" s="1">
        <v>77</v>
      </c>
      <c r="K1242" s="1">
        <v>30</v>
      </c>
      <c r="L1242" s="1">
        <v>65</v>
      </c>
      <c r="M1242" s="1">
        <v>111</v>
      </c>
      <c r="N1242" s="1">
        <v>126</v>
      </c>
      <c r="O1242" s="1">
        <v>19</v>
      </c>
      <c r="P1242" s="1">
        <v>128</v>
      </c>
      <c r="Q1242" s="1">
        <v>111</v>
      </c>
      <c r="R1242" s="1">
        <v>65</v>
      </c>
      <c r="S1242" s="1">
        <v>96</v>
      </c>
    </row>
    <row r="1243" spans="1:19">
      <c r="A1243" s="1">
        <v>2017</v>
      </c>
      <c r="B1243" s="1">
        <v>66</v>
      </c>
      <c r="C1243" s="1" t="s">
        <v>135</v>
      </c>
      <c r="D1243" s="1" t="e">
        <f t="array" aca="1" ref="D1243" ca="1">_xludf.XLOOKUP(C1243,'country region mapping'!$A$2:$A$267,'country region mapping'!$E$2:$E$267)</f>
        <v>#NAME?</v>
      </c>
      <c r="E1243" s="1" t="e">
        <f t="array" aca="1" ref="E1243" ca="1">_xludf.XLOOKUP(C1243,'country region mapping'!$A$2:$A$267,'country region mapping'!$F$2:$F$267)</f>
        <v>#NAME?</v>
      </c>
      <c r="F1243" s="1" t="e">
        <f t="array" aca="1" ref="F1243" ca="1">_xludf.XLOOKUP(C1243,'country region mapping'!$A$2:$A$267,'country region mapping'!$G$2:$G$267)</f>
        <v>#NAME?</v>
      </c>
      <c r="G1243" s="1">
        <v>5.6619999999999999</v>
      </c>
      <c r="H1243" s="1">
        <v>98</v>
      </c>
      <c r="I1243" s="1">
        <v>90</v>
      </c>
      <c r="J1243" s="1">
        <v>92</v>
      </c>
      <c r="K1243" s="1"/>
      <c r="L1243" s="1">
        <v>48</v>
      </c>
      <c r="M1243" s="1">
        <v>32</v>
      </c>
      <c r="N1243" s="1">
        <v>133</v>
      </c>
      <c r="O1243" s="1">
        <v>91</v>
      </c>
      <c r="Q1243" s="14">
        <v>32</v>
      </c>
      <c r="R1243" s="14">
        <v>124</v>
      </c>
      <c r="S1243" s="14">
        <v>83</v>
      </c>
    </row>
    <row r="1244" spans="1:19">
      <c r="A1244" s="1">
        <v>2017</v>
      </c>
      <c r="B1244" s="1">
        <v>67</v>
      </c>
      <c r="C1244" s="1" t="s">
        <v>285</v>
      </c>
      <c r="D1244" s="1" t="e">
        <f t="array" aca="1" ref="D1244" ca="1">_xludf.XLOOKUP(C1244,'country region mapping'!$A$2:$A$267,'country region mapping'!$E$2:$E$267)</f>
        <v>#NAME?</v>
      </c>
      <c r="E1244" s="1" t="e">
        <f t="array" aca="1" ref="E1244" ca="1">_xludf.XLOOKUP(C1244,'country region mapping'!$A$2:$A$267,'country region mapping'!$F$2:$F$267)</f>
        <v>#NAME?</v>
      </c>
      <c r="F1244" s="1" t="e">
        <f t="array" aca="1" ref="F1244" ca="1">_xludf.XLOOKUP(C1244,'country region mapping'!$A$2:$A$267,'country region mapping'!$G$2:$G$267)</f>
        <v>#NAME?</v>
      </c>
      <c r="G1244" s="1">
        <v>5.64</v>
      </c>
      <c r="H1244" s="1">
        <v>44</v>
      </c>
      <c r="I1244" s="1">
        <v>71</v>
      </c>
      <c r="J1244" s="1">
        <v>87</v>
      </c>
      <c r="K1244" s="1">
        <v>77</v>
      </c>
      <c r="L1244" s="1">
        <v>138</v>
      </c>
      <c r="M1244" s="1">
        <v>77</v>
      </c>
      <c r="N1244" s="1">
        <v>135</v>
      </c>
      <c r="O1244" s="1">
        <v>114</v>
      </c>
      <c r="P1244" s="1">
        <v>60</v>
      </c>
      <c r="Q1244" s="1">
        <v>77</v>
      </c>
      <c r="R1244" s="1">
        <v>109</v>
      </c>
      <c r="S1244" s="1">
        <v>101</v>
      </c>
    </row>
    <row r="1245" spans="1:19">
      <c r="A1245" s="1">
        <v>2017</v>
      </c>
      <c r="B1245" s="1">
        <v>68</v>
      </c>
      <c r="C1245" s="1" t="s">
        <v>120</v>
      </c>
      <c r="D1245" s="1" t="e">
        <f t="array" aca="1" ref="D1245" ca="1">_xludf.XLOOKUP(C1245,'country region mapping'!$A$2:$A$250, 'country region mapping'!$E$2:$E$250)</f>
        <v>#NAME?</v>
      </c>
      <c r="E1245" s="1" t="e">
        <f t="array" aca="1" ref="E1245" ca="1">_xludf.XLOOKUP(C1245,'country region mapping'!$A$2:$A$267,'country region mapping'!$F$2:$F$267)</f>
        <v>#NAME?</v>
      </c>
      <c r="F1245" s="1" t="e">
        <f t="array" aca="1" ref="F1245" ca="1">_xludf.XLOOKUP(C1245,'country region mapping'!$A$2:$A$267,'country region mapping'!$G$2:$G$267)</f>
        <v>#NAME?</v>
      </c>
      <c r="G1245" s="1">
        <v>5.6360000000000001</v>
      </c>
      <c r="H1245" s="1">
        <v>5</v>
      </c>
      <c r="I1245" s="1">
        <v>34</v>
      </c>
      <c r="J1245" s="1">
        <v>84</v>
      </c>
      <c r="K1245" s="1">
        <v>100</v>
      </c>
      <c r="L1245" s="1">
        <v>105</v>
      </c>
      <c r="M1245" s="1">
        <v>40</v>
      </c>
      <c r="O1245" s="14">
        <v>135</v>
      </c>
      <c r="P1245" s="14">
        <v>110</v>
      </c>
      <c r="Q1245" s="14">
        <v>40</v>
      </c>
      <c r="R1245" s="14">
        <v>18</v>
      </c>
      <c r="S1245" s="14">
        <v>89</v>
      </c>
    </row>
    <row r="1246" spans="1:19">
      <c r="A1246" s="1">
        <v>2017</v>
      </c>
      <c r="B1246" s="1">
        <v>69</v>
      </c>
      <c r="C1246" s="1" t="s">
        <v>151</v>
      </c>
      <c r="D1246" s="1" t="e">
        <f t="array" aca="1" ref="D1246" ca="1">_xludf.XLOOKUP(C1246,'country region mapping'!$A$2:$A$250, 'country region mapping'!$E$2:$E$250)</f>
        <v>#NAME?</v>
      </c>
      <c r="E1246" s="1" t="e">
        <f t="array" aca="1" ref="E1246" ca="1">_xludf.XLOOKUP(C1246,'country region mapping'!$A$2:$A$267,'country region mapping'!$F$2:$F$267)</f>
        <v>#NAME?</v>
      </c>
      <c r="F1246" s="1" t="e">
        <f t="array" aca="1" ref="F1246" ca="1">_xludf.XLOOKUP(C1246,'country region mapping'!$A$2:$A$267,'country region mapping'!$G$2:$G$267)</f>
        <v>#NAME?</v>
      </c>
      <c r="G1246" s="1">
        <v>5.62</v>
      </c>
      <c r="H1246" s="1">
        <v>34</v>
      </c>
      <c r="I1246" s="1">
        <v>58</v>
      </c>
      <c r="J1246" s="1">
        <v>42</v>
      </c>
      <c r="K1246" s="1">
        <v>57</v>
      </c>
      <c r="L1246" s="1">
        <v>119</v>
      </c>
      <c r="M1246" s="1">
        <v>82</v>
      </c>
      <c r="N1246" s="1">
        <v>123</v>
      </c>
      <c r="O1246" s="1">
        <v>81</v>
      </c>
      <c r="P1246" s="1">
        <v>13</v>
      </c>
      <c r="Q1246" s="1">
        <v>82</v>
      </c>
      <c r="R1246" s="1">
        <v>116</v>
      </c>
      <c r="S1246" s="1">
        <v>127</v>
      </c>
    </row>
    <row r="1247" spans="1:19">
      <c r="A1247" s="1">
        <v>2017</v>
      </c>
      <c r="B1247" s="1">
        <v>70</v>
      </c>
      <c r="C1247" s="1" t="s">
        <v>122</v>
      </c>
      <c r="D1247" s="1" t="e">
        <f t="array" aca="1" ref="D1247" ca="1">_xludf.XLOOKUP(C1247,'country region mapping'!$A$2:$A$250, 'country region mapping'!$E$2:$E$250)</f>
        <v>#NAME?</v>
      </c>
      <c r="E1247" s="1" t="e">
        <f t="array" aca="1" ref="E1247" ca="1">_xludf.XLOOKUP(C1247,'country region mapping'!$A$2:$A$267,'country region mapping'!$F$2:$F$267)</f>
        <v>#NAME?</v>
      </c>
      <c r="F1247" s="1" t="e">
        <f t="array" aca="1" ref="F1247" ca="1">_xludf.XLOOKUP(C1247,'country region mapping'!$A$2:$A$267,'country region mapping'!$G$2:$G$267)</f>
        <v>#NAME?</v>
      </c>
      <c r="G1247" s="1">
        <v>5.5659999999999998</v>
      </c>
      <c r="H1247" s="1">
        <v>105</v>
      </c>
      <c r="I1247" s="1">
        <v>78</v>
      </c>
      <c r="J1247" s="1">
        <v>74</v>
      </c>
      <c r="K1247" s="1">
        <v>89</v>
      </c>
      <c r="L1247" s="1">
        <v>81</v>
      </c>
      <c r="M1247" s="1">
        <v>62</v>
      </c>
      <c r="N1247" s="1">
        <v>36</v>
      </c>
      <c r="O1247" s="1">
        <v>82</v>
      </c>
      <c r="P1247" s="1">
        <v>122</v>
      </c>
      <c r="Q1247" s="1">
        <v>62</v>
      </c>
      <c r="R1247" s="1">
        <v>52</v>
      </c>
      <c r="S1247" s="1">
        <v>1</v>
      </c>
    </row>
    <row r="1248" spans="1:19">
      <c r="A1248" s="1">
        <v>2017</v>
      </c>
      <c r="B1248" s="1">
        <v>71</v>
      </c>
      <c r="C1248" s="1" t="s">
        <v>141</v>
      </c>
      <c r="D1248" s="1" t="e">
        <f t="array" aca="1" ref="D1248" ca="1">_xludf.XLOOKUP(C1248,'country region mapping'!$A$2:$A$250, 'country region mapping'!$E$2:$E$250)</f>
        <v>#NAME?</v>
      </c>
      <c r="E1248" s="1" t="e">
        <f t="array" aca="1" ref="E1248" ca="1">_xludf.XLOOKUP(C1248,'country region mapping'!$A$2:$A$267,'country region mapping'!$F$2:$F$267)</f>
        <v>#NAME?</v>
      </c>
      <c r="F1248" s="1" t="e">
        <f t="array" aca="1" ref="F1248" ca="1">_xludf.XLOOKUP(C1248,'country region mapping'!$A$2:$A$267,'country region mapping'!$G$2:$G$267)</f>
        <v>#NAME?</v>
      </c>
      <c r="G1248" s="1">
        <v>5.524</v>
      </c>
      <c r="H1248" s="1">
        <v>116</v>
      </c>
      <c r="I1248" s="1">
        <v>64</v>
      </c>
      <c r="J1248" s="1">
        <v>98</v>
      </c>
      <c r="K1248" s="1">
        <v>96</v>
      </c>
      <c r="L1248" s="1">
        <v>13</v>
      </c>
      <c r="M1248" s="1">
        <v>119</v>
      </c>
      <c r="N1248" s="1">
        <v>41</v>
      </c>
      <c r="O1248" s="1">
        <v>28</v>
      </c>
      <c r="P1248" s="1">
        <v>108</v>
      </c>
      <c r="Q1248" s="1">
        <v>119</v>
      </c>
      <c r="R1248" s="1">
        <v>39</v>
      </c>
      <c r="S1248" s="1">
        <v>104</v>
      </c>
    </row>
    <row r="1249" spans="1:19">
      <c r="A1249" s="1">
        <v>2017</v>
      </c>
      <c r="B1249" s="1">
        <v>72</v>
      </c>
      <c r="C1249" s="1" t="s">
        <v>167</v>
      </c>
      <c r="D1249" s="1" t="e">
        <f t="array" aca="1" ref="D1249" ca="1">_xludf.XLOOKUP(C1249,'country region mapping'!$A$2:$A$250, 'country region mapping'!$E$2:$E$250)</f>
        <v>#NAME?</v>
      </c>
      <c r="E1249" s="1" t="e">
        <f t="array" aca="1" ref="E1249" ca="1">_xludf.XLOOKUP(C1249,'country region mapping'!$A$2:$A$267,'country region mapping'!$F$2:$F$267)</f>
        <v>#NAME?</v>
      </c>
      <c r="F1249" s="1" t="e">
        <f t="array" aca="1" ref="F1249" ca="1">_xludf.XLOOKUP(C1249,'country region mapping'!$A$2:$A$267,'country region mapping'!$G$2:$G$267)</f>
        <v>#NAME?</v>
      </c>
      <c r="G1249" s="1">
        <v>5.5039999999999996</v>
      </c>
      <c r="H1249" s="1">
        <v>142</v>
      </c>
      <c r="I1249" s="1">
        <v>66</v>
      </c>
      <c r="J1249" s="1">
        <v>106</v>
      </c>
      <c r="K1249" s="1">
        <v>93</v>
      </c>
      <c r="L1249" s="1">
        <v>29</v>
      </c>
      <c r="M1249" s="1">
        <v>52</v>
      </c>
      <c r="N1249" s="1">
        <v>70</v>
      </c>
      <c r="O1249" s="1">
        <v>7</v>
      </c>
      <c r="P1249" s="1">
        <v>57</v>
      </c>
      <c r="Q1249" s="1">
        <v>52</v>
      </c>
      <c r="R1249" s="1">
        <v>27</v>
      </c>
      <c r="S1249" s="1">
        <v>54</v>
      </c>
    </row>
    <row r="1250" spans="1:19">
      <c r="A1250" s="1">
        <v>2017</v>
      </c>
      <c r="B1250" s="1">
        <v>73</v>
      </c>
      <c r="C1250" s="1" t="s">
        <v>115</v>
      </c>
      <c r="D1250" s="1" t="e">
        <f t="array" aca="1" ref="D1250" ca="1">_xludf.XLOOKUP(C1250,'country region mapping'!$A$2:$A$250, 'country region mapping'!$E$2:$E$250)</f>
        <v>#NAME?</v>
      </c>
      <c r="E1250" s="1" t="e">
        <f t="array" aca="1" ref="E1250" ca="1">_xludf.XLOOKUP(C1250,'country region mapping'!$A$2:$A$267,'country region mapping'!$F$2:$F$267)</f>
        <v>#NAME?</v>
      </c>
      <c r="F1250" s="1" t="e">
        <f t="array" aca="1" ref="F1250" ca="1">_xludf.XLOOKUP(C1250,'country region mapping'!$A$2:$A$267,'country region mapping'!$G$2:$G$267)</f>
        <v>#NAME?</v>
      </c>
      <c r="G1250" s="1">
        <v>5.4829999999999997</v>
      </c>
      <c r="H1250" s="1">
        <v>22</v>
      </c>
      <c r="I1250" s="1">
        <v>42</v>
      </c>
      <c r="J1250" s="1">
        <v>54</v>
      </c>
      <c r="K1250" s="1">
        <v>71</v>
      </c>
      <c r="L1250" s="1">
        <v>128</v>
      </c>
      <c r="M1250" s="1">
        <v>88</v>
      </c>
      <c r="N1250" s="1">
        <v>31</v>
      </c>
      <c r="O1250" s="1">
        <v>130</v>
      </c>
      <c r="P1250" s="1">
        <v>46</v>
      </c>
      <c r="Q1250" s="1">
        <v>88</v>
      </c>
      <c r="R1250" s="1">
        <v>74</v>
      </c>
      <c r="S1250" s="1">
        <v>139</v>
      </c>
    </row>
    <row r="1251" spans="1:19">
      <c r="A1251" s="1">
        <v>2017</v>
      </c>
      <c r="B1251" s="1">
        <v>74</v>
      </c>
      <c r="C1251" s="1" t="s">
        <v>136</v>
      </c>
      <c r="D1251" s="1" t="e">
        <f t="array" aca="1" ref="D1251" ca="1">_xludf.XLOOKUP(C1251,'country region mapping'!$A$2:$A$250, 'country region mapping'!$E$2:$E$250)</f>
        <v>#NAME?</v>
      </c>
      <c r="E1251" s="1" t="e">
        <f t="array" aca="1" ref="E1251" ca="1">_xludf.XLOOKUP(C1251,'country region mapping'!$A$2:$A$267,'country region mapping'!$F$2:$F$267)</f>
        <v>#NAME?</v>
      </c>
      <c r="F1251" s="1" t="e">
        <f t="array" aca="1" ref="F1251" ca="1">_xludf.XLOOKUP(C1251,'country region mapping'!$A$2:$A$267,'country region mapping'!$G$2:$G$267)</f>
        <v>#NAME?</v>
      </c>
      <c r="G1251" s="1">
        <v>5.4829999999999997</v>
      </c>
      <c r="H1251" s="1">
        <v>16</v>
      </c>
      <c r="I1251" s="1">
        <v>59</v>
      </c>
      <c r="J1251" s="1">
        <v>52</v>
      </c>
      <c r="K1251" s="1">
        <v>50</v>
      </c>
      <c r="L1251" s="1">
        <v>122</v>
      </c>
      <c r="M1251" s="1">
        <v>123</v>
      </c>
      <c r="N1251" s="1">
        <v>34</v>
      </c>
      <c r="O1251" s="1">
        <v>144</v>
      </c>
      <c r="P1251" s="1">
        <v>97</v>
      </c>
      <c r="Q1251" s="1">
        <v>123</v>
      </c>
      <c r="R1251" s="1">
        <v>127</v>
      </c>
      <c r="S1251" s="1">
        <v>115</v>
      </c>
    </row>
    <row r="1252" spans="1:19">
      <c r="A1252" s="1">
        <v>2017</v>
      </c>
      <c r="B1252" s="1">
        <v>75</v>
      </c>
      <c r="C1252" s="1" t="s">
        <v>152</v>
      </c>
      <c r="D1252" s="1" t="e">
        <f t="array" aca="1" ref="D1252" ca="1">_xludf.XLOOKUP(C1252,'country region mapping'!$A$2:$A$250, 'country region mapping'!$E$2:$E$250)</f>
        <v>#NAME?</v>
      </c>
      <c r="E1252" s="1" t="e">
        <f t="array" aca="1" ref="E1252" ca="1">_xludf.XLOOKUP(C1252,'country region mapping'!$A$2:$A$267,'country region mapping'!$F$2:$F$267)</f>
        <v>#NAME?</v>
      </c>
      <c r="F1252" s="1" t="e">
        <f t="array" aca="1" ref="F1252" ca="1">_xludf.XLOOKUP(C1252,'country region mapping'!$A$2:$A$267,'country region mapping'!$G$2:$G$267)</f>
        <v>#NAME?</v>
      </c>
      <c r="G1252" s="1">
        <v>5.4720000000000004</v>
      </c>
      <c r="H1252" s="1">
        <v>32</v>
      </c>
      <c r="I1252" s="1">
        <v>121</v>
      </c>
      <c r="J1252" s="1">
        <v>115</v>
      </c>
      <c r="K1252" s="1">
        <v>111</v>
      </c>
      <c r="L1252" s="1">
        <v>110</v>
      </c>
      <c r="M1252" s="1">
        <v>65</v>
      </c>
      <c r="N1252" s="1">
        <v>42</v>
      </c>
      <c r="O1252" s="1">
        <v>134</v>
      </c>
      <c r="P1252" s="1">
        <v>94</v>
      </c>
      <c r="Q1252" s="1">
        <v>65</v>
      </c>
      <c r="R1252" s="1">
        <v>113</v>
      </c>
      <c r="S1252" s="1">
        <v>106</v>
      </c>
    </row>
    <row r="1253" spans="1:19">
      <c r="A1253" s="1">
        <v>2017</v>
      </c>
      <c r="B1253" s="1">
        <v>76</v>
      </c>
      <c r="C1253" s="1" t="s">
        <v>132</v>
      </c>
      <c r="D1253" s="1" t="e">
        <f t="array" aca="1" ref="D1253" ca="1">_xludf.XLOOKUP(C1253,'country region mapping'!$A$2:$A$267,'country region mapping'!$E$2:$E$267)</f>
        <v>#NAME?</v>
      </c>
      <c r="E1253" s="1" t="e">
        <f t="array" aca="1" ref="E1253" ca="1">_xludf.XLOOKUP(C1253,'country region mapping'!$A$2:$A$267,'country region mapping'!$F$2:$F$267)</f>
        <v>#NAME?</v>
      </c>
      <c r="F1253" s="1" t="e">
        <f t="array" aca="1" ref="F1253" ca="1">_xludf.XLOOKUP(C1253,'country region mapping'!$A$2:$A$267,'country region mapping'!$G$2:$G$267)</f>
        <v>#NAME?</v>
      </c>
      <c r="G1253" s="1">
        <v>5.43</v>
      </c>
      <c r="H1253" s="1">
        <v>33</v>
      </c>
      <c r="I1253" s="1">
        <v>70</v>
      </c>
      <c r="J1253" s="1">
        <v>8</v>
      </c>
      <c r="K1253" s="1"/>
      <c r="L1253" s="1">
        <v>63</v>
      </c>
      <c r="M1253" s="1">
        <v>18</v>
      </c>
      <c r="N1253" s="1">
        <v>15</v>
      </c>
      <c r="O1253" s="1">
        <v>123</v>
      </c>
      <c r="P1253" s="1">
        <v>23</v>
      </c>
      <c r="Q1253" s="1">
        <v>18</v>
      </c>
      <c r="R1253" s="1">
        <v>75</v>
      </c>
      <c r="S1253" s="1">
        <v>36</v>
      </c>
    </row>
    <row r="1254" spans="1:19">
      <c r="A1254" s="1">
        <v>2017</v>
      </c>
      <c r="B1254" s="1">
        <v>77</v>
      </c>
      <c r="C1254" s="1" t="s">
        <v>155</v>
      </c>
      <c r="D1254" s="1" t="e">
        <f t="array" aca="1" ref="D1254" ca="1">_xludf.XLOOKUP(C1254,'country region mapping'!$A$2:$A$250, 'country region mapping'!$E$2:$E$250)</f>
        <v>#NAME?</v>
      </c>
      <c r="E1254" s="1" t="e">
        <f t="array" aca="1" ref="E1254" ca="1">_xludf.XLOOKUP(C1254,'country region mapping'!$A$2:$A$267,'country region mapping'!$F$2:$F$267)</f>
        <v>#NAME?</v>
      </c>
      <c r="F1254" s="1" t="e">
        <f t="array" aca="1" ref="F1254" ca="1">_xludf.XLOOKUP(C1254,'country region mapping'!$A$2:$A$267,'country region mapping'!$G$2:$G$267)</f>
        <v>#NAME?</v>
      </c>
      <c r="G1254" s="1">
        <v>5.41</v>
      </c>
      <c r="H1254" s="1">
        <v>68</v>
      </c>
      <c r="I1254" s="1">
        <v>43</v>
      </c>
      <c r="J1254" s="1">
        <v>37</v>
      </c>
      <c r="K1254" s="1">
        <v>22</v>
      </c>
      <c r="L1254" s="1">
        <v>26</v>
      </c>
      <c r="M1254" s="1">
        <v>95</v>
      </c>
      <c r="N1254" s="1">
        <v>120</v>
      </c>
      <c r="O1254" s="1">
        <v>96</v>
      </c>
      <c r="P1254" s="1">
        <v>82</v>
      </c>
      <c r="Q1254" s="1">
        <v>95</v>
      </c>
      <c r="R1254" s="1">
        <v>94</v>
      </c>
      <c r="S1254" s="1">
        <v>77</v>
      </c>
    </row>
    <row r="1255" spans="1:19">
      <c r="A1255" s="1">
        <v>2017</v>
      </c>
      <c r="B1255" s="1">
        <v>78</v>
      </c>
      <c r="C1255" s="1" t="s">
        <v>145</v>
      </c>
      <c r="D1255" s="1" t="e">
        <f t="array" aca="1" ref="D1255" ca="1">_xludf.XLOOKUP(C1255,'country region mapping'!$A$2:$A$250, 'country region mapping'!$E$2:$E$250)</f>
        <v>#NAME?</v>
      </c>
      <c r="E1255" s="1" t="e">
        <f t="array" aca="1" ref="E1255" ca="1">_xludf.XLOOKUP(C1255,'country region mapping'!$A$2:$A$267,'country region mapping'!$F$2:$F$267)</f>
        <v>#NAME?</v>
      </c>
      <c r="F1255" s="1" t="e">
        <f t="array" aca="1" ref="F1255" ca="1">_xludf.XLOOKUP(C1255,'country region mapping'!$A$2:$A$267,'country region mapping'!$G$2:$G$267)</f>
        <v>#NAME?</v>
      </c>
      <c r="G1255" s="1">
        <v>5.3979999999999997</v>
      </c>
      <c r="H1255" s="1">
        <v>92</v>
      </c>
      <c r="I1255" s="1">
        <v>51</v>
      </c>
      <c r="J1255" s="1">
        <v>63</v>
      </c>
      <c r="K1255" s="1">
        <v>56</v>
      </c>
      <c r="L1255" s="1">
        <v>116</v>
      </c>
      <c r="M1255" s="1">
        <v>76</v>
      </c>
      <c r="N1255" s="1">
        <v>103</v>
      </c>
      <c r="O1255" s="1">
        <v>137</v>
      </c>
      <c r="P1255" s="1">
        <v>105</v>
      </c>
      <c r="Q1255" s="1">
        <v>76</v>
      </c>
      <c r="R1255" s="1">
        <v>141</v>
      </c>
      <c r="S1255" s="1">
        <v>135</v>
      </c>
    </row>
    <row r="1256" spans="1:19">
      <c r="A1256" s="1">
        <v>2017</v>
      </c>
      <c r="B1256" s="1">
        <v>79</v>
      </c>
      <c r="C1256" s="1" t="s">
        <v>160</v>
      </c>
      <c r="D1256" s="1" t="e">
        <f t="array" aca="1" ref="D1256" ca="1">_xludf.XLOOKUP(C1256,'country region mapping'!$A$2:$A$250, 'country region mapping'!$E$2:$E$250)</f>
        <v>#NAME?</v>
      </c>
      <c r="E1256" s="1" t="e">
        <f t="array" aca="1" ref="E1256" ca="1">_xludf.XLOOKUP(C1256,'country region mapping'!$A$2:$A$267,'country region mapping'!$F$2:$F$267)</f>
        <v>#NAME?</v>
      </c>
      <c r="F1256" s="1" t="e">
        <f t="array" aca="1" ref="F1256" ca="1">_xludf.XLOOKUP(C1256,'country region mapping'!$A$2:$A$267,'country region mapping'!$G$2:$G$267)</f>
        <v>#NAME?</v>
      </c>
      <c r="G1256" s="1">
        <v>5.3579999999999997</v>
      </c>
      <c r="H1256" s="1">
        <v>95</v>
      </c>
      <c r="I1256" s="1">
        <v>104</v>
      </c>
      <c r="J1256" s="1">
        <v>47</v>
      </c>
      <c r="K1256" s="1">
        <v>25</v>
      </c>
      <c r="L1256" s="1">
        <v>144</v>
      </c>
      <c r="M1256" s="1">
        <v>139</v>
      </c>
      <c r="N1256" s="1">
        <v>116</v>
      </c>
      <c r="O1256" s="1">
        <v>127</v>
      </c>
      <c r="P1256" s="1">
        <v>106</v>
      </c>
      <c r="Q1256" s="1">
        <v>139</v>
      </c>
      <c r="R1256" s="1">
        <v>137</v>
      </c>
      <c r="S1256" s="1">
        <v>130</v>
      </c>
    </row>
    <row r="1257" spans="1:19">
      <c r="A1257" s="1">
        <v>2017</v>
      </c>
      <c r="B1257" s="1">
        <v>80</v>
      </c>
      <c r="C1257" s="1" t="s">
        <v>162</v>
      </c>
      <c r="D1257" s="1" t="e">
        <f t="array" aca="1" ref="D1257" ca="1">_xludf.XLOOKUP(C1257,'country region mapping'!$A$2:$A$250, 'country region mapping'!$E$2:$E$250)</f>
        <v>#NAME?</v>
      </c>
      <c r="E1257" s="1" t="e">
        <f t="array" aca="1" ref="E1257" ca="1">_xludf.XLOOKUP(C1257,'country region mapping'!$A$2:$A$267,'country region mapping'!$F$2:$F$267)</f>
        <v>#NAME?</v>
      </c>
      <c r="F1257" s="1" t="e">
        <f t="array" aca="1" ref="F1257" ca="1">_xludf.XLOOKUP(C1257,'country region mapping'!$A$2:$A$267,'country region mapping'!$G$2:$G$267)</f>
        <v>#NAME?</v>
      </c>
      <c r="G1257" s="1">
        <v>5.3520000000000003</v>
      </c>
      <c r="H1257" s="1">
        <v>70</v>
      </c>
      <c r="I1257" s="1">
        <v>126</v>
      </c>
      <c r="J1257" s="1">
        <v>125</v>
      </c>
      <c r="K1257" s="1">
        <v>73</v>
      </c>
      <c r="L1257" s="1">
        <v>59</v>
      </c>
      <c r="M1257" s="1">
        <v>51</v>
      </c>
      <c r="N1257" s="1">
        <v>44</v>
      </c>
      <c r="O1257" s="1">
        <v>106</v>
      </c>
      <c r="P1257" s="1">
        <v>73</v>
      </c>
      <c r="Q1257" s="1">
        <v>51</v>
      </c>
      <c r="R1257" s="1">
        <v>15</v>
      </c>
      <c r="S1257" s="1">
        <v>37</v>
      </c>
    </row>
    <row r="1258" spans="1:19">
      <c r="A1258" s="1">
        <v>2017</v>
      </c>
      <c r="B1258" s="1">
        <v>81</v>
      </c>
      <c r="C1258" s="1" t="s">
        <v>147</v>
      </c>
      <c r="D1258" s="1" t="e">
        <f t="array" aca="1" ref="D1258" ca="1">_xludf.XLOOKUP(C1258,'country region mapping'!$A$2:$A$250, 'country region mapping'!$E$2:$E$250)</f>
        <v>#NAME?</v>
      </c>
      <c r="E1258" s="1" t="e">
        <f t="array" aca="1" ref="E1258" ca="1">_xludf.XLOOKUP(C1258,'country region mapping'!$A$2:$A$267,'country region mapping'!$F$2:$F$267)</f>
        <v>#NAME?</v>
      </c>
      <c r="F1258" s="1" t="e">
        <f t="array" aca="1" ref="F1258" ca="1">_xludf.XLOOKUP(C1258,'country region mapping'!$A$2:$A$267,'country region mapping'!$G$2:$G$267)</f>
        <v>#NAME?</v>
      </c>
      <c r="G1258" s="1">
        <v>5.3470000000000004</v>
      </c>
      <c r="H1258" s="1">
        <v>69</v>
      </c>
      <c r="I1258" s="1">
        <v>55</v>
      </c>
      <c r="J1258" s="1">
        <v>56</v>
      </c>
      <c r="K1258" s="1">
        <v>41</v>
      </c>
      <c r="L1258" s="1">
        <v>127</v>
      </c>
      <c r="M1258" s="1">
        <v>73</v>
      </c>
      <c r="N1258" s="1">
        <v>57</v>
      </c>
      <c r="O1258" s="1">
        <v>133</v>
      </c>
      <c r="P1258" s="1">
        <v>111</v>
      </c>
      <c r="Q1258" s="1">
        <v>73</v>
      </c>
      <c r="R1258" s="1">
        <v>128</v>
      </c>
      <c r="S1258" s="1">
        <v>122</v>
      </c>
    </row>
    <row r="1259" spans="1:19">
      <c r="A1259" s="1">
        <v>2017</v>
      </c>
      <c r="B1259" s="1">
        <v>82</v>
      </c>
      <c r="C1259" s="1" t="s">
        <v>131</v>
      </c>
      <c r="D1259" s="1" t="e">
        <f t="array" aca="1" ref="D1259" ca="1">_xludf.XLOOKUP(C1259,'country region mapping'!$A$2:$A$250, 'country region mapping'!$E$2:$E$250)</f>
        <v>#NAME?</v>
      </c>
      <c r="E1259" s="1" t="e">
        <f t="array" aca="1" ref="E1259" ca="1">_xludf.XLOOKUP(C1259,'country region mapping'!$A$2:$A$267,'country region mapping'!$F$2:$F$267)</f>
        <v>#NAME?</v>
      </c>
      <c r="F1259" s="1" t="e">
        <f t="array" aca="1" ref="F1259" ca="1">_xludf.XLOOKUP(C1259,'country region mapping'!$A$2:$A$267,'country region mapping'!$G$2:$G$267)</f>
        <v>#NAME?</v>
      </c>
      <c r="G1259" s="1">
        <v>5.3209999999999997</v>
      </c>
      <c r="H1259" s="1">
        <v>12</v>
      </c>
      <c r="I1259" s="1">
        <v>99</v>
      </c>
      <c r="J1259" s="1">
        <v>45</v>
      </c>
      <c r="K1259" s="1">
        <v>36</v>
      </c>
      <c r="L1259" s="1">
        <v>108</v>
      </c>
      <c r="M1259" s="1">
        <v>72</v>
      </c>
      <c r="N1259" s="1">
        <v>125</v>
      </c>
      <c r="O1259" s="1">
        <v>90</v>
      </c>
      <c r="P1259" s="1">
        <v>99</v>
      </c>
      <c r="Q1259" s="1">
        <v>72</v>
      </c>
      <c r="R1259" s="1">
        <v>122</v>
      </c>
      <c r="S1259" s="1">
        <v>143</v>
      </c>
    </row>
    <row r="1260" spans="1:19">
      <c r="A1260" s="1">
        <v>2017</v>
      </c>
      <c r="B1260" s="1">
        <v>83</v>
      </c>
      <c r="C1260" s="1" t="s">
        <v>149</v>
      </c>
      <c r="D1260" s="1" t="e">
        <f t="array" aca="1" ref="D1260" ca="1">_xludf.XLOOKUP(C1260,'country region mapping'!$A$2:$A$250, 'country region mapping'!$E$2:$E$250)</f>
        <v>#NAME?</v>
      </c>
      <c r="E1260" s="1" t="e">
        <f t="array" aca="1" ref="E1260" ca="1">_xludf.XLOOKUP(C1260,'country region mapping'!$A$2:$A$267,'country region mapping'!$F$2:$F$267)</f>
        <v>#NAME?</v>
      </c>
      <c r="F1260" s="1" t="e">
        <f t="array" aca="1" ref="F1260" ca="1">_xludf.XLOOKUP(C1260,'country region mapping'!$A$2:$A$267,'country region mapping'!$G$2:$G$267)</f>
        <v>#NAME?</v>
      </c>
      <c r="G1260" s="1">
        <v>5.3019999999999996</v>
      </c>
      <c r="H1260" s="1">
        <v>146</v>
      </c>
      <c r="I1260" s="1">
        <v>48</v>
      </c>
      <c r="J1260" s="1">
        <v>64</v>
      </c>
      <c r="K1260" s="1">
        <v>81</v>
      </c>
      <c r="L1260" s="1">
        <v>50</v>
      </c>
      <c r="M1260" s="1">
        <v>91</v>
      </c>
      <c r="N1260" s="1">
        <v>60</v>
      </c>
      <c r="O1260" s="1">
        <v>49</v>
      </c>
      <c r="P1260" s="1">
        <v>67</v>
      </c>
      <c r="Q1260" s="1">
        <v>91</v>
      </c>
      <c r="R1260" s="1">
        <v>28</v>
      </c>
      <c r="S1260" s="1">
        <v>27</v>
      </c>
    </row>
    <row r="1261" spans="1:19">
      <c r="A1261" s="1">
        <v>2017</v>
      </c>
      <c r="B1261" s="1">
        <v>84</v>
      </c>
      <c r="C1261" s="1" t="s">
        <v>85</v>
      </c>
      <c r="D1261" s="1" t="e">
        <f t="array" aca="1" ref="D1261" ca="1">_xludf.XLOOKUP(C1261,'country region mapping'!$A$2:$A$250, 'country region mapping'!$E$2:$E$250)</f>
        <v>#NAME?</v>
      </c>
      <c r="E1261" s="1" t="e">
        <f t="array" aca="1" ref="E1261" ca="1">_xludf.XLOOKUP(C1261,'country region mapping'!$A$2:$A$267,'country region mapping'!$F$2:$F$267)</f>
        <v>#NAME?</v>
      </c>
      <c r="F1261" s="1" t="e">
        <f t="array" aca="1" ref="F1261" ca="1">_xludf.XLOOKUP(C1261,'country region mapping'!$A$2:$A$267,'country region mapping'!$G$2:$G$267)</f>
        <v>#NAME?</v>
      </c>
      <c r="G1261" s="1">
        <v>5.2949999999999999</v>
      </c>
      <c r="H1261" s="1">
        <v>54</v>
      </c>
      <c r="I1261" s="1">
        <v>85</v>
      </c>
      <c r="J1261" s="1">
        <v>73</v>
      </c>
      <c r="K1261" s="1">
        <v>59</v>
      </c>
      <c r="L1261" s="1">
        <v>145</v>
      </c>
      <c r="M1261" s="1">
        <v>121</v>
      </c>
      <c r="N1261" s="1">
        <v>40</v>
      </c>
      <c r="O1261" s="1">
        <v>115</v>
      </c>
      <c r="P1261" s="1">
        <v>77</v>
      </c>
      <c r="Q1261" s="1">
        <v>121</v>
      </c>
      <c r="R1261" s="1">
        <v>85</v>
      </c>
      <c r="S1261" s="1">
        <v>59</v>
      </c>
    </row>
    <row r="1262" spans="1:19">
      <c r="A1262" s="1">
        <v>2017</v>
      </c>
      <c r="B1262" s="1">
        <v>85</v>
      </c>
      <c r="C1262" s="1" t="s">
        <v>150</v>
      </c>
      <c r="D1262" s="1" t="e">
        <f t="array" aca="1" ref="D1262" ca="1">_xludf.XLOOKUP(C1262,'country region mapping'!$A$2:$A$250, 'country region mapping'!$E$2:$E$250)</f>
        <v>#NAME?</v>
      </c>
      <c r="E1262" s="1" t="e">
        <f t="array" aca="1" ref="E1262" ca="1">_xludf.XLOOKUP(C1262,'country region mapping'!$A$2:$A$267,'country region mapping'!$F$2:$F$267)</f>
        <v>#NAME?</v>
      </c>
      <c r="F1262" s="1" t="e">
        <f t="array" aca="1" ref="F1262" ca="1">_xludf.XLOOKUP(C1262,'country region mapping'!$A$2:$A$267,'country region mapping'!$G$2:$G$267)</f>
        <v>#NAME?</v>
      </c>
      <c r="G1262" s="1">
        <v>5.2539999999999996</v>
      </c>
      <c r="H1262" s="1">
        <v>83</v>
      </c>
      <c r="I1262" s="1">
        <v>132</v>
      </c>
      <c r="J1262" s="1">
        <v>99</v>
      </c>
      <c r="K1262" s="1">
        <v>86</v>
      </c>
      <c r="L1262" s="1">
        <v>71</v>
      </c>
      <c r="M1262" s="1">
        <v>145</v>
      </c>
      <c r="N1262" s="1">
        <v>93</v>
      </c>
      <c r="O1262" s="1">
        <v>131</v>
      </c>
      <c r="P1262" s="1">
        <v>103</v>
      </c>
      <c r="Q1262" s="1">
        <v>145</v>
      </c>
      <c r="R1262" s="1">
        <v>125</v>
      </c>
      <c r="S1262" s="1">
        <v>23</v>
      </c>
    </row>
    <row r="1263" spans="1:19">
      <c r="A1263" s="1">
        <v>2017</v>
      </c>
      <c r="B1263" s="1">
        <v>86</v>
      </c>
      <c r="C1263" s="1" t="s">
        <v>142</v>
      </c>
      <c r="D1263" s="1" t="e">
        <f t="array" aca="1" ref="D1263" ca="1">_xludf.XLOOKUP(C1263,'country region mapping'!$A$2:$A$250, 'country region mapping'!$E$2:$E$250)</f>
        <v>#NAME?</v>
      </c>
      <c r="E1263" s="1" t="e">
        <f t="array" aca="1" ref="E1263" ca="1">_xludf.XLOOKUP(C1263,'country region mapping'!$A$2:$A$267,'country region mapping'!$F$2:$F$267)</f>
        <v>#NAME?</v>
      </c>
      <c r="F1263" s="1" t="e">
        <f t="array" aca="1" ref="F1263" ca="1">_xludf.XLOOKUP(C1263,'country region mapping'!$A$2:$A$267,'country region mapping'!$G$2:$G$267)</f>
        <v>#NAME?</v>
      </c>
      <c r="G1263" s="1">
        <v>5.2460000000000004</v>
      </c>
      <c r="H1263" s="1">
        <v>80</v>
      </c>
      <c r="I1263" s="1">
        <v>98</v>
      </c>
      <c r="J1263" s="1">
        <v>68</v>
      </c>
      <c r="K1263" s="1">
        <v>34</v>
      </c>
      <c r="L1263" s="1">
        <v>40</v>
      </c>
      <c r="M1263" s="1">
        <v>115</v>
      </c>
      <c r="O1263" s="14">
        <v>67</v>
      </c>
      <c r="P1263" s="14">
        <v>35</v>
      </c>
      <c r="Q1263" s="14">
        <v>115</v>
      </c>
      <c r="R1263" s="14">
        <v>134</v>
      </c>
      <c r="S1263" s="14">
        <v>137</v>
      </c>
    </row>
    <row r="1264" spans="1:19">
      <c r="A1264" s="1">
        <v>2017</v>
      </c>
      <c r="B1264" s="1">
        <v>87</v>
      </c>
      <c r="C1264" s="1" t="s">
        <v>140</v>
      </c>
      <c r="D1264" s="1" t="e">
        <f t="array" aca="1" ref="D1264" ca="1">_xludf.XLOOKUP(C1264,'country region mapping'!$A$2:$A$250, 'country region mapping'!$E$2:$E$250)</f>
        <v>#NAME?</v>
      </c>
      <c r="E1264" s="1" t="e">
        <f t="array" aca="1" ref="E1264" ca="1">_xludf.XLOOKUP(C1264,'country region mapping'!$A$2:$A$267,'country region mapping'!$F$2:$F$267)</f>
        <v>#NAME?</v>
      </c>
      <c r="F1264" s="1" t="e">
        <f t="array" aca="1" ref="F1264" ca="1">_xludf.XLOOKUP(C1264,'country region mapping'!$A$2:$A$267,'country region mapping'!$G$2:$G$267)</f>
        <v>#NAME?</v>
      </c>
      <c r="G1264" s="1">
        <v>5.2009999999999996</v>
      </c>
      <c r="H1264" s="1">
        <v>24</v>
      </c>
      <c r="I1264" s="1">
        <v>92</v>
      </c>
      <c r="J1264" s="1">
        <v>61</v>
      </c>
      <c r="K1264" s="1">
        <v>63</v>
      </c>
      <c r="L1264" s="1">
        <v>101</v>
      </c>
      <c r="M1264" s="1">
        <v>135</v>
      </c>
      <c r="N1264" s="1">
        <v>29</v>
      </c>
      <c r="O1264" s="1">
        <v>129</v>
      </c>
      <c r="P1264" s="1">
        <v>22</v>
      </c>
      <c r="Q1264" s="1">
        <v>135</v>
      </c>
      <c r="R1264" s="1">
        <v>115</v>
      </c>
      <c r="S1264" s="1">
        <v>131</v>
      </c>
    </row>
    <row r="1265" spans="1:19">
      <c r="A1265" s="1">
        <v>2017</v>
      </c>
      <c r="B1265" s="1">
        <v>88</v>
      </c>
      <c r="C1265" s="1" t="s">
        <v>154</v>
      </c>
      <c r="D1265" s="1" t="e">
        <f t="array" aca="1" ref="D1265" ca="1">_xludf.XLOOKUP(C1265,'country region mapping'!$A$2:$A$250, 'country region mapping'!$E$2:$E$250)</f>
        <v>#NAME?</v>
      </c>
      <c r="E1265" s="1" t="e">
        <f t="array" aca="1" ref="E1265" ca="1">_xludf.XLOOKUP(C1265,'country region mapping'!$A$2:$A$267,'country region mapping'!$F$2:$F$267)</f>
        <v>#NAME?</v>
      </c>
      <c r="F1265" s="1" t="e">
        <f t="array" aca="1" ref="F1265" ca="1">_xludf.XLOOKUP(C1265,'country region mapping'!$A$2:$A$267,'country region mapping'!$G$2:$G$267)</f>
        <v>#NAME?</v>
      </c>
      <c r="G1265" s="1">
        <v>5.1989999999999998</v>
      </c>
      <c r="H1265" s="1">
        <v>48</v>
      </c>
      <c r="I1265" s="1">
        <v>96</v>
      </c>
      <c r="J1265" s="1">
        <v>71</v>
      </c>
      <c r="K1265" s="1">
        <v>46</v>
      </c>
      <c r="L1265" s="1">
        <v>132</v>
      </c>
      <c r="M1265" s="1">
        <v>75</v>
      </c>
      <c r="N1265" s="1">
        <v>128</v>
      </c>
      <c r="O1265" s="1">
        <v>138</v>
      </c>
      <c r="P1265" s="1">
        <v>54</v>
      </c>
      <c r="Q1265" s="1">
        <v>75</v>
      </c>
      <c r="R1265" s="1">
        <v>118</v>
      </c>
      <c r="S1265" s="1">
        <v>86</v>
      </c>
    </row>
    <row r="1266" spans="1:19">
      <c r="A1266" s="1">
        <v>2017</v>
      </c>
      <c r="B1266" s="1">
        <v>89</v>
      </c>
      <c r="C1266" s="1" t="s">
        <v>156</v>
      </c>
      <c r="D1266" s="1" t="e">
        <f t="array" aca="1" ref="D1266" ca="1">_xludf.XLOOKUP(C1266,'country region mapping'!$A$2:$A$250, 'country region mapping'!$E$2:$E$250)</f>
        <v>#NAME?</v>
      </c>
      <c r="E1266" s="1" t="e">
        <f t="array" aca="1" ref="E1266" ca="1">_xludf.XLOOKUP(C1266,'country region mapping'!$A$2:$A$267,'country region mapping'!$F$2:$F$267)</f>
        <v>#NAME?</v>
      </c>
      <c r="F1266" s="1" t="e">
        <f t="array" aca="1" ref="F1266" ca="1">_xludf.XLOOKUP(C1266,'country region mapping'!$A$2:$A$267,'country region mapping'!$G$2:$G$267)</f>
        <v>#NAME?</v>
      </c>
      <c r="G1266" s="1">
        <v>5.1849999999999996</v>
      </c>
      <c r="H1266" s="1">
        <v>58</v>
      </c>
      <c r="I1266" s="1">
        <v>86</v>
      </c>
      <c r="J1266" s="1">
        <v>59</v>
      </c>
      <c r="K1266" s="1">
        <v>53</v>
      </c>
      <c r="L1266" s="1">
        <v>94</v>
      </c>
      <c r="M1266" s="1">
        <v>70</v>
      </c>
      <c r="N1266" s="1">
        <v>105</v>
      </c>
      <c r="O1266" s="1">
        <v>141</v>
      </c>
      <c r="P1266" s="1">
        <v>85</v>
      </c>
      <c r="Q1266" s="1">
        <v>70</v>
      </c>
      <c r="R1266" s="1">
        <v>144</v>
      </c>
      <c r="S1266" s="1">
        <v>140</v>
      </c>
    </row>
    <row r="1267" spans="1:19">
      <c r="A1267" s="1">
        <v>2017</v>
      </c>
      <c r="B1267" s="1">
        <v>90</v>
      </c>
      <c r="C1267" s="1" t="s">
        <v>138</v>
      </c>
      <c r="D1267" s="1" t="e">
        <f t="array" aca="1" ref="D1267" ca="1">_xludf.XLOOKUP(C1267,'country region mapping'!$A$2:$A$250, 'country region mapping'!$E$2:$E$250)</f>
        <v>#NAME?</v>
      </c>
      <c r="E1267" s="1" t="e">
        <f t="array" aca="1" ref="E1267" ca="1">_xludf.XLOOKUP(C1267,'country region mapping'!$A$2:$A$267,'country region mapping'!$F$2:$F$267)</f>
        <v>#NAME?</v>
      </c>
      <c r="F1267" s="1" t="e">
        <f t="array" aca="1" ref="F1267" ca="1">_xludf.XLOOKUP(C1267,'country region mapping'!$A$2:$A$267,'country region mapping'!$G$2:$G$267)</f>
        <v>#NAME?</v>
      </c>
      <c r="G1267" s="1">
        <v>5.1609999999999996</v>
      </c>
      <c r="H1267" s="1">
        <v>109</v>
      </c>
      <c r="I1267" s="1">
        <v>81</v>
      </c>
      <c r="J1267" s="1">
        <v>97</v>
      </c>
      <c r="K1267" s="1">
        <v>37</v>
      </c>
      <c r="L1267" s="1">
        <v>86</v>
      </c>
      <c r="M1267" s="1">
        <v>118</v>
      </c>
      <c r="O1267" s="14">
        <v>116</v>
      </c>
      <c r="P1267" s="14">
        <v>126</v>
      </c>
      <c r="Q1267" s="14">
        <v>118</v>
      </c>
      <c r="R1267" s="14">
        <v>126</v>
      </c>
      <c r="S1267" s="14">
        <v>15</v>
      </c>
    </row>
    <row r="1268" spans="1:19">
      <c r="A1268" s="1">
        <v>2017</v>
      </c>
      <c r="B1268" s="1">
        <v>91</v>
      </c>
      <c r="C1268" s="1" t="s">
        <v>165</v>
      </c>
      <c r="D1268" s="1" t="e">
        <f t="array" aca="1" ref="D1268" ca="1">_xludf.XLOOKUP(C1268,'country region mapping'!$A$2:$A$250, 'country region mapping'!$E$2:$E$250)</f>
        <v>#NAME?</v>
      </c>
      <c r="E1268" s="1" t="e">
        <f t="array" aca="1" ref="E1268" ca="1">_xludf.XLOOKUP(C1268,'country region mapping'!$A$2:$A$267,'country region mapping'!$F$2:$F$267)</f>
        <v>#NAME?</v>
      </c>
      <c r="F1268" s="1" t="e">
        <f t="array" aca="1" ref="F1268" ca="1">_xludf.XLOOKUP(C1268,'country region mapping'!$A$2:$A$267,'country region mapping'!$G$2:$G$267)</f>
        <v>#NAME?</v>
      </c>
      <c r="G1268" s="1">
        <v>5.1550000000000002</v>
      </c>
      <c r="H1268" s="1">
        <v>141</v>
      </c>
      <c r="I1268" s="1">
        <v>110</v>
      </c>
      <c r="J1268" s="1">
        <v>112</v>
      </c>
      <c r="K1268" s="1">
        <v>126</v>
      </c>
      <c r="L1268" s="1">
        <v>66</v>
      </c>
      <c r="M1268" s="1">
        <v>42</v>
      </c>
      <c r="N1268" s="1">
        <v>90</v>
      </c>
      <c r="O1268" s="1">
        <v>65</v>
      </c>
      <c r="P1268" s="1">
        <v>50</v>
      </c>
      <c r="Q1268" s="1">
        <v>42</v>
      </c>
      <c r="R1268" s="1">
        <v>13</v>
      </c>
      <c r="S1268" s="1">
        <v>12</v>
      </c>
    </row>
    <row r="1269" spans="1:19">
      <c r="A1269" s="1">
        <v>2017</v>
      </c>
      <c r="B1269" s="1">
        <v>92</v>
      </c>
      <c r="C1269" s="1" t="s">
        <v>144</v>
      </c>
      <c r="D1269" s="1" t="e">
        <f t="array" aca="1" ref="D1269" ca="1">_xludf.XLOOKUP(C1269,'country region mapping'!$A$2:$A$250, 'country region mapping'!$E$2:$E$250)</f>
        <v>#NAME?</v>
      </c>
      <c r="E1269" s="1" t="e">
        <f t="array" aca="1" ref="E1269" ca="1">_xludf.XLOOKUP(C1269,'country region mapping'!$A$2:$A$267,'country region mapping'!$F$2:$F$267)</f>
        <v>#NAME?</v>
      </c>
      <c r="F1269" s="1" t="e">
        <f t="array" aca="1" ref="F1269" ca="1">_xludf.XLOOKUP(C1269,'country region mapping'!$A$2:$A$267,'country region mapping'!$G$2:$G$267)</f>
        <v>#NAME?</v>
      </c>
      <c r="G1269" s="1">
        <v>5.1310000000000002</v>
      </c>
      <c r="H1269" s="1">
        <v>46</v>
      </c>
      <c r="I1269" s="1">
        <v>52</v>
      </c>
      <c r="J1269" s="1">
        <v>111</v>
      </c>
      <c r="K1269" s="1">
        <v>75</v>
      </c>
      <c r="L1269" s="1">
        <v>46</v>
      </c>
      <c r="M1269" s="1">
        <v>38</v>
      </c>
      <c r="N1269" s="1">
        <v>117</v>
      </c>
      <c r="O1269" s="1">
        <v>84</v>
      </c>
      <c r="P1269" s="1">
        <v>4</v>
      </c>
      <c r="Q1269" s="1">
        <v>38</v>
      </c>
      <c r="R1269" s="1">
        <v>81</v>
      </c>
      <c r="S1269" s="1">
        <v>68</v>
      </c>
    </row>
    <row r="1270" spans="1:19">
      <c r="A1270" s="1">
        <v>2017</v>
      </c>
      <c r="B1270" s="1">
        <v>93</v>
      </c>
      <c r="C1270" s="1" t="s">
        <v>146</v>
      </c>
      <c r="D1270" s="1" t="e">
        <f t="array" aca="1" ref="D1270" ca="1">_xludf.XLOOKUP(C1270,'country region mapping'!$A$2:$A$250, 'country region mapping'!$E$2:$E$250)</f>
        <v>#NAME?</v>
      </c>
      <c r="E1270" s="1" t="e">
        <f t="array" aca="1" ref="E1270" ca="1">_xludf.XLOOKUP(C1270,'country region mapping'!$A$2:$A$267,'country region mapping'!$F$2:$F$267)</f>
        <v>#NAME?</v>
      </c>
      <c r="F1270" s="1" t="e">
        <f t="array" aca="1" ref="F1270" ca="1">_xludf.XLOOKUP(C1270,'country region mapping'!$A$2:$A$267,'country region mapping'!$G$2:$G$267)</f>
        <v>#NAME?</v>
      </c>
      <c r="G1270" s="1">
        <v>5.1289999999999996</v>
      </c>
      <c r="H1270" s="1">
        <v>82</v>
      </c>
      <c r="I1270" s="1">
        <v>97</v>
      </c>
      <c r="J1270" s="1">
        <v>72</v>
      </c>
      <c r="K1270" s="1">
        <v>47</v>
      </c>
      <c r="L1270" s="1">
        <v>137</v>
      </c>
      <c r="M1270" s="1">
        <v>34</v>
      </c>
      <c r="N1270" s="1">
        <v>132</v>
      </c>
      <c r="O1270" s="1">
        <v>126</v>
      </c>
      <c r="P1270" s="1">
        <v>65</v>
      </c>
      <c r="Q1270" s="1">
        <v>34</v>
      </c>
      <c r="R1270" s="1">
        <v>138</v>
      </c>
      <c r="S1270" s="1">
        <v>125</v>
      </c>
    </row>
    <row r="1271" spans="1:19">
      <c r="A1271" s="1">
        <v>2017</v>
      </c>
      <c r="B1271" s="1">
        <v>94</v>
      </c>
      <c r="C1271" s="1" t="s">
        <v>163</v>
      </c>
      <c r="D1271" s="1" t="e">
        <f t="array" aca="1" ref="D1271" ca="1">_xludf.XLOOKUP(C1271,'country region mapping'!$A$2:$A$250, 'country region mapping'!$E$2:$E$250)</f>
        <v>#NAME?</v>
      </c>
      <c r="E1271" s="1" t="e">
        <f t="array" aca="1" ref="E1271" ca="1">_xludf.XLOOKUP(C1271,'country region mapping'!$A$2:$A$267,'country region mapping'!$F$2:$F$267)</f>
        <v>#NAME?</v>
      </c>
      <c r="F1271" s="1" t="e">
        <f t="array" aca="1" ref="F1271" ca="1">_xludf.XLOOKUP(C1271,'country region mapping'!$A$2:$A$267,'country region mapping'!$G$2:$G$267)</f>
        <v>#NAME?</v>
      </c>
      <c r="G1271" s="1">
        <v>5.125</v>
      </c>
      <c r="H1271" s="1">
        <v>57</v>
      </c>
      <c r="I1271" s="1">
        <v>19</v>
      </c>
      <c r="J1271" s="1">
        <v>81</v>
      </c>
      <c r="K1271" s="1">
        <v>95</v>
      </c>
      <c r="L1271" s="1">
        <v>118</v>
      </c>
      <c r="M1271" s="1">
        <v>31</v>
      </c>
      <c r="N1271" s="1">
        <v>110</v>
      </c>
      <c r="O1271" s="1">
        <v>118</v>
      </c>
      <c r="P1271" s="1">
        <v>34</v>
      </c>
      <c r="Q1271" s="1">
        <v>31</v>
      </c>
      <c r="R1271" s="1">
        <v>16</v>
      </c>
      <c r="S1271" s="1">
        <v>113</v>
      </c>
    </row>
    <row r="1272" spans="1:19">
      <c r="A1272" s="1">
        <v>2017</v>
      </c>
      <c r="B1272" s="1">
        <v>95</v>
      </c>
      <c r="C1272" s="1" t="s">
        <v>157</v>
      </c>
      <c r="D1272" s="1" t="e">
        <f t="array" aca="1" ref="D1272" ca="1">_xludf.XLOOKUP(C1272,'country region mapping'!$A$2:$A$250, 'country region mapping'!$E$2:$E$250)</f>
        <v>#NAME?</v>
      </c>
      <c r="E1272" s="1" t="e">
        <f t="array" aca="1" ref="E1272" ca="1">_xludf.XLOOKUP(C1272,'country region mapping'!$A$2:$A$267,'country region mapping'!$F$2:$F$267)</f>
        <v>#NAME?</v>
      </c>
      <c r="F1272" s="1" t="e">
        <f t="array" aca="1" ref="F1272" ca="1">_xludf.XLOOKUP(C1272,'country region mapping'!$A$2:$A$267,'country region mapping'!$G$2:$G$267)</f>
        <v>#NAME?</v>
      </c>
      <c r="G1272" s="1">
        <v>5.1029999999999998</v>
      </c>
      <c r="H1272" s="1">
        <v>28</v>
      </c>
      <c r="I1272" s="1"/>
      <c r="J1272" s="1">
        <v>93</v>
      </c>
      <c r="K1272" s="1">
        <v>69</v>
      </c>
      <c r="L1272" s="1"/>
      <c r="M1272" s="1"/>
      <c r="N1272" s="1"/>
      <c r="O1272" s="1"/>
      <c r="P1272" s="1"/>
      <c r="Q1272" s="1"/>
      <c r="R1272" s="1"/>
      <c r="S1272" s="1"/>
    </row>
    <row r="1273" spans="1:19">
      <c r="A1273" s="1">
        <v>2017</v>
      </c>
      <c r="B1273" s="1">
        <v>96</v>
      </c>
      <c r="C1273" s="1" t="s">
        <v>137</v>
      </c>
      <c r="D1273" s="1" t="e">
        <f t="array" aca="1" ref="D1273" ca="1">_xludf.XLOOKUP(C1273,'country region mapping'!$A$2:$A$250, 'country region mapping'!$E$2:$E$250)</f>
        <v>#NAME?</v>
      </c>
      <c r="E1273" s="1" t="e">
        <f t="array" aca="1" ref="E1273" ca="1">_xludf.XLOOKUP(C1273,'country region mapping'!$A$2:$A$267,'country region mapping'!$F$2:$F$267)</f>
        <v>#NAME?</v>
      </c>
      <c r="F1273" s="1" t="e">
        <f t="array" aca="1" ref="F1273" ca="1">_xludf.XLOOKUP(C1273,'country region mapping'!$A$2:$A$267,'country region mapping'!$G$2:$G$267)</f>
        <v>#NAME?</v>
      </c>
      <c r="G1273" s="1">
        <v>5.093</v>
      </c>
      <c r="H1273" s="1">
        <v>86</v>
      </c>
      <c r="I1273" s="1">
        <v>88</v>
      </c>
      <c r="J1273" s="1">
        <v>89</v>
      </c>
      <c r="K1273" s="1">
        <v>90</v>
      </c>
      <c r="L1273" s="1">
        <v>42</v>
      </c>
      <c r="M1273" s="1">
        <v>2</v>
      </c>
      <c r="N1273" s="1">
        <v>127</v>
      </c>
      <c r="O1273" s="1">
        <v>13</v>
      </c>
      <c r="P1273" s="1">
        <v>101</v>
      </c>
      <c r="Q1273" s="1">
        <v>2</v>
      </c>
      <c r="R1273" s="1">
        <v>1</v>
      </c>
      <c r="S1273" s="1">
        <v>99</v>
      </c>
    </row>
    <row r="1274" spans="1:19">
      <c r="A1274" s="1">
        <v>2017</v>
      </c>
      <c r="B1274" s="1">
        <v>97</v>
      </c>
      <c r="C1274" s="1" t="s">
        <v>143</v>
      </c>
      <c r="D1274" s="1" t="e">
        <f t="array" aca="1" ref="D1274" ca="1">_xludf.XLOOKUP(C1274,'country region mapping'!$A$2:$A$250, 'country region mapping'!$E$2:$E$250)</f>
        <v>#NAME?</v>
      </c>
      <c r="E1274" s="1" t="e">
        <f t="array" aca="1" ref="E1274" ca="1">_xludf.XLOOKUP(C1274,'country region mapping'!$A$2:$A$267,'country region mapping'!$F$2:$F$267)</f>
        <v>#NAME?</v>
      </c>
      <c r="F1274" s="1" t="e">
        <f t="array" aca="1" ref="F1274" ca="1">_xludf.XLOOKUP(C1274,'country region mapping'!$A$2:$A$267,'country region mapping'!$G$2:$G$267)</f>
        <v>#NAME?</v>
      </c>
      <c r="G1274" s="1">
        <v>5.0819999999999999</v>
      </c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</row>
    <row r="1275" spans="1:19">
      <c r="A1275" s="1">
        <v>2017</v>
      </c>
      <c r="B1275" s="1">
        <v>98</v>
      </c>
      <c r="C1275" s="1" t="s">
        <v>134</v>
      </c>
      <c r="D1275" s="1" t="e">
        <f t="array" aca="1" ref="D1275" ca="1">_xludf.XLOOKUP(C1275,'country region mapping'!$A$2:$A$250, 'country region mapping'!$E$2:$E$250)</f>
        <v>#NAME?</v>
      </c>
      <c r="E1275" s="1" t="e">
        <f t="array" aca="1" ref="E1275" ca="1">_xludf.XLOOKUP(C1275,'country region mapping'!$A$2:$A$267,'country region mapping'!$F$2:$F$267)</f>
        <v>#NAME?</v>
      </c>
      <c r="F1275" s="1" t="e">
        <f t="array" aca="1" ref="F1275" ca="1">_xludf.XLOOKUP(C1275,'country region mapping'!$A$2:$A$267,'country region mapping'!$G$2:$G$267)</f>
        <v>#NAME?</v>
      </c>
      <c r="G1275" s="1">
        <v>4.9820000000000002</v>
      </c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</row>
    <row r="1276" spans="1:19">
      <c r="A1276" s="1">
        <v>2017</v>
      </c>
      <c r="B1276" s="1">
        <v>99</v>
      </c>
      <c r="C1276" s="1" t="s">
        <v>182</v>
      </c>
      <c r="D1276" s="1" t="e">
        <f t="array" aca="1" ref="D1276" ca="1">_xludf.XLOOKUP(C1276,'country region mapping'!$A$2:$A$250, 'country region mapping'!$E$2:$E$250)</f>
        <v>#NAME?</v>
      </c>
      <c r="E1276" s="1" t="e">
        <f t="array" aca="1" ref="E1276" ca="1">_xludf.XLOOKUP(C1276,'country region mapping'!$A$2:$A$267,'country region mapping'!$F$2:$F$267)</f>
        <v>#NAME?</v>
      </c>
      <c r="F1276" s="1" t="e">
        <f t="array" aca="1" ref="F1276" ca="1">_xludf.XLOOKUP(C1276,'country region mapping'!$A$2:$A$267,'country region mapping'!$G$2:$G$267)</f>
        <v>#NAME?</v>
      </c>
      <c r="G1276" s="1">
        <v>4.9749999999999996</v>
      </c>
      <c r="H1276" s="1">
        <v>134</v>
      </c>
      <c r="I1276" s="1">
        <v>120</v>
      </c>
      <c r="J1276" s="1">
        <v>117</v>
      </c>
      <c r="K1276" s="1">
        <v>130</v>
      </c>
      <c r="L1276" s="1">
        <v>85</v>
      </c>
      <c r="M1276" s="1">
        <v>99</v>
      </c>
      <c r="N1276" s="1">
        <v>96</v>
      </c>
      <c r="O1276" s="1">
        <v>86</v>
      </c>
      <c r="P1276" s="1">
        <v>121</v>
      </c>
      <c r="Q1276" s="1">
        <v>99</v>
      </c>
      <c r="R1276" s="1">
        <v>90</v>
      </c>
      <c r="S1276" s="1">
        <v>17</v>
      </c>
    </row>
    <row r="1277" spans="1:19">
      <c r="A1277" s="1">
        <v>2017</v>
      </c>
      <c r="B1277" s="1">
        <v>100</v>
      </c>
      <c r="C1277" s="1" t="s">
        <v>205</v>
      </c>
      <c r="D1277" s="1" t="e">
        <f t="array" aca="1" ref="D1277" ca="1">_xludf.XLOOKUP(C1277,'country region mapping'!$A$2:$A$250, 'country region mapping'!$E$2:$E$250)</f>
        <v>#NAME?</v>
      </c>
      <c r="E1277" s="1" t="e">
        <f t="array" aca="1" ref="E1277" ca="1">_xludf.XLOOKUP(C1277,'country region mapping'!$A$2:$A$267,'country region mapping'!$F$2:$F$267)</f>
        <v>#NAME?</v>
      </c>
      <c r="F1277" s="1" t="e">
        <f t="array" aca="1" ref="F1277" ca="1">_xludf.XLOOKUP(C1277,'country region mapping'!$A$2:$A$267,'country region mapping'!$G$2:$G$267)</f>
        <v>#NAME?</v>
      </c>
      <c r="G1277" s="1">
        <v>4.9329999999999998</v>
      </c>
      <c r="H1277" s="1">
        <v>39</v>
      </c>
      <c r="I1277" s="1">
        <v>10</v>
      </c>
      <c r="J1277" s="1">
        <v>53</v>
      </c>
      <c r="K1277" s="1">
        <v>68</v>
      </c>
      <c r="L1277" s="1">
        <v>114</v>
      </c>
      <c r="M1277" s="1">
        <v>98</v>
      </c>
      <c r="N1277" s="1">
        <v>129</v>
      </c>
      <c r="O1277" s="1">
        <v>121</v>
      </c>
      <c r="P1277" s="1">
        <v>17</v>
      </c>
      <c r="Q1277" s="1">
        <v>98</v>
      </c>
      <c r="R1277" s="1">
        <v>145</v>
      </c>
      <c r="S1277" s="1">
        <v>111</v>
      </c>
    </row>
    <row r="1278" spans="1:19">
      <c r="A1278" s="1">
        <v>2017</v>
      </c>
      <c r="B1278" s="1">
        <v>101</v>
      </c>
      <c r="C1278" s="1" t="s">
        <v>172</v>
      </c>
      <c r="D1278" s="1" t="e">
        <f t="array" aca="1" ref="D1278" ca="1">_xludf.XLOOKUP(C1278,'country region mapping'!$A$2:$A$250, 'country region mapping'!$E$2:$E$250)</f>
        <v>#NAME?</v>
      </c>
      <c r="E1278" s="1" t="e">
        <f t="array" aca="1" ref="E1278" ca="1">_xludf.XLOOKUP(C1278,'country region mapping'!$A$2:$A$267,'country region mapping'!$F$2:$F$267)</f>
        <v>#NAME?</v>
      </c>
      <c r="F1278" s="1" t="e">
        <f t="array" aca="1" ref="F1278" ca="1">_xludf.XLOOKUP(C1278,'country region mapping'!$A$2:$A$267,'country region mapping'!$G$2:$G$267)</f>
        <v>#NAME?</v>
      </c>
      <c r="G1278" s="1">
        <v>4.88</v>
      </c>
      <c r="H1278" s="1">
        <v>100</v>
      </c>
      <c r="I1278" s="1">
        <v>80</v>
      </c>
      <c r="J1278" s="1">
        <v>118</v>
      </c>
      <c r="K1278" s="1">
        <v>99</v>
      </c>
      <c r="L1278" s="1">
        <v>54</v>
      </c>
      <c r="M1278" s="1">
        <v>48</v>
      </c>
      <c r="N1278" s="1">
        <v>64</v>
      </c>
      <c r="O1278" s="1">
        <v>139</v>
      </c>
      <c r="P1278" s="1">
        <v>119</v>
      </c>
      <c r="Q1278" s="1">
        <v>48</v>
      </c>
      <c r="R1278" s="1">
        <v>42</v>
      </c>
      <c r="S1278" s="1">
        <v>81</v>
      </c>
    </row>
    <row r="1279" spans="1:19">
      <c r="A1279" s="1">
        <v>2017</v>
      </c>
      <c r="B1279" s="1">
        <v>102</v>
      </c>
      <c r="C1279" s="1" t="s">
        <v>93</v>
      </c>
      <c r="D1279" s="1" t="e">
        <f t="array" aca="1" ref="D1279" ca="1">_xludf.XLOOKUP(C1279,'country region mapping'!$A$2:$A$267,'country region mapping'!$E$2:$E$267)</f>
        <v>#NAME?</v>
      </c>
      <c r="E1279" s="1" t="e">
        <f t="array" aca="1" ref="E1279" ca="1">_xludf.XLOOKUP(C1279,'country region mapping'!$A$2:$A$267,'country region mapping'!$F$2:$F$267)</f>
        <v>#NAME?</v>
      </c>
      <c r="F1279" s="1" t="e">
        <f t="array" aca="1" ref="F1279" ca="1">_xludf.XLOOKUP(C1279,'country region mapping'!$A$2:$A$267,'country region mapping'!$G$2:$G$267)</f>
        <v>#NAME?</v>
      </c>
      <c r="G1279" s="1">
        <v>4.806</v>
      </c>
      <c r="H1279" s="1">
        <v>140</v>
      </c>
      <c r="I1279" s="1">
        <v>46</v>
      </c>
      <c r="J1279" s="1">
        <v>146</v>
      </c>
      <c r="K1279" s="1">
        <v>83</v>
      </c>
      <c r="L1279" s="1">
        <v>123</v>
      </c>
      <c r="M1279" s="1">
        <v>129</v>
      </c>
      <c r="N1279" s="1">
        <v>97</v>
      </c>
      <c r="O1279" s="1">
        <v>62</v>
      </c>
      <c r="P1279" s="1">
        <v>116</v>
      </c>
      <c r="Q1279" s="1">
        <v>129</v>
      </c>
      <c r="R1279" s="1">
        <v>101</v>
      </c>
      <c r="S1279" s="1">
        <v>72</v>
      </c>
    </row>
    <row r="1280" spans="1:19">
      <c r="A1280" s="1">
        <v>2017</v>
      </c>
      <c r="B1280" s="1">
        <v>103</v>
      </c>
      <c r="C1280" s="1" t="s">
        <v>306</v>
      </c>
      <c r="D1280" s="1" t="e">
        <f t="array" aca="1" ref="D1280" ca="1">_xludf.XLOOKUP(C1280,'country region mapping'!$A$2:$A$250, 'country region mapping'!$E$2:$E$250)</f>
        <v>#NAME?</v>
      </c>
      <c r="E1280" s="1" t="e">
        <f t="array" aca="1" ref="E1280" ca="1">_xludf.XLOOKUP(C1280,'country region mapping'!$A$2:$A$267,'country region mapping'!$F$2:$F$267)</f>
        <v>#NAME?</v>
      </c>
      <c r="F1280" s="1" t="e">
        <f t="array" aca="1" ref="F1280" ca="1">_xludf.XLOOKUP(C1280,'country region mapping'!$A$2:$A$267,'country region mapping'!$G$2:$G$267)</f>
        <v>#NAME?</v>
      </c>
      <c r="G1280" s="1">
        <v>4.758</v>
      </c>
      <c r="H1280" s="1">
        <v>99</v>
      </c>
      <c r="I1280" s="1">
        <v>83</v>
      </c>
      <c r="J1280" s="1">
        <v>62</v>
      </c>
      <c r="K1280" s="1">
        <v>115</v>
      </c>
      <c r="L1280" s="1">
        <v>120</v>
      </c>
      <c r="M1280" s="1">
        <v>134</v>
      </c>
      <c r="N1280" s="1">
        <v>114</v>
      </c>
      <c r="O1280" s="1">
        <v>85</v>
      </c>
      <c r="P1280" s="1">
        <v>140</v>
      </c>
      <c r="Q1280" s="1">
        <v>134</v>
      </c>
      <c r="R1280" s="1">
        <v>123</v>
      </c>
      <c r="S1280" s="1">
        <v>53</v>
      </c>
    </row>
    <row r="1281" spans="1:19">
      <c r="A1281" s="1">
        <v>2017</v>
      </c>
      <c r="B1281" s="1">
        <v>104</v>
      </c>
      <c r="C1281" s="1" t="s">
        <v>173</v>
      </c>
      <c r="D1281" s="1" t="e">
        <f t="array" aca="1" ref="D1281" ca="1">_xludf.XLOOKUP(C1281,'country region mapping'!$A$2:$A$267,'country region mapping'!$E$2:$E$267)</f>
        <v>#NAME?</v>
      </c>
      <c r="E1281" s="1" t="e">
        <f t="array" aca="1" ref="E1281" ca="1">_xludf.XLOOKUP(C1281,'country region mapping'!$A$2:$A$267,'country region mapping'!$F$2:$F$267)</f>
        <v>#NAME?</v>
      </c>
      <c r="F1281" s="1" t="e">
        <f t="array" aca="1" ref="F1281" ca="1">_xludf.XLOOKUP(C1281,'country region mapping'!$A$2:$A$267,'country region mapping'!$G$2:$G$267)</f>
        <v>#NAME?</v>
      </c>
      <c r="G1281" s="1">
        <v>4.7430000000000003</v>
      </c>
      <c r="H1281" s="1">
        <v>108</v>
      </c>
      <c r="I1281" s="1">
        <v>76</v>
      </c>
      <c r="J1281" s="1">
        <v>105</v>
      </c>
      <c r="K1281" s="1"/>
      <c r="L1281" s="1">
        <v>125</v>
      </c>
      <c r="M1281" s="1">
        <v>140</v>
      </c>
      <c r="N1281" s="1">
        <v>88</v>
      </c>
      <c r="O1281" s="1">
        <v>124</v>
      </c>
      <c r="Q1281" s="14">
        <v>140</v>
      </c>
      <c r="R1281" s="14">
        <v>131</v>
      </c>
      <c r="S1281" s="14">
        <v>126</v>
      </c>
    </row>
    <row r="1282" spans="1:19">
      <c r="A1282" s="1">
        <v>2017</v>
      </c>
      <c r="B1282" s="1">
        <v>105</v>
      </c>
      <c r="C1282" s="1" t="s">
        <v>185</v>
      </c>
      <c r="D1282" s="1" t="e">
        <f t="array" aca="1" ref="D1282" ca="1">_xludf.XLOOKUP(C1282,'country region mapping'!$A$2:$A$250, 'country region mapping'!$E$2:$E$250)</f>
        <v>#NAME?</v>
      </c>
      <c r="E1282" s="1" t="e">
        <f t="array" aca="1" ref="E1282" ca="1">_xludf.XLOOKUP(C1282,'country region mapping'!$A$2:$A$267,'country region mapping'!$F$2:$F$267)</f>
        <v>#NAME?</v>
      </c>
      <c r="F1282" s="1" t="e">
        <f t="array" aca="1" ref="F1282" ca="1">_xludf.XLOOKUP(C1282,'country region mapping'!$A$2:$A$267,'country region mapping'!$G$2:$G$267)</f>
        <v>#NAME?</v>
      </c>
      <c r="G1282" s="1">
        <v>4.7240000000000002</v>
      </c>
      <c r="H1282" s="1">
        <v>96</v>
      </c>
      <c r="I1282" s="1">
        <v>61</v>
      </c>
      <c r="J1282" s="1">
        <v>78</v>
      </c>
      <c r="K1282" s="1">
        <v>117</v>
      </c>
      <c r="L1282" s="1">
        <v>79</v>
      </c>
      <c r="M1282" s="1">
        <v>101</v>
      </c>
      <c r="N1282" s="1">
        <v>109</v>
      </c>
      <c r="O1282" s="1">
        <v>50</v>
      </c>
      <c r="P1282" s="1">
        <v>61</v>
      </c>
      <c r="Q1282" s="1">
        <v>101</v>
      </c>
      <c r="R1282" s="1">
        <v>21</v>
      </c>
      <c r="S1282" s="1">
        <v>11</v>
      </c>
    </row>
    <row r="1283" spans="1:19">
      <c r="A1283" s="1">
        <v>2017</v>
      </c>
      <c r="B1283" s="1">
        <v>106</v>
      </c>
      <c r="C1283" s="1" t="s">
        <v>169</v>
      </c>
      <c r="D1283" s="1" t="e">
        <f t="array" aca="1" ref="D1283" ca="1">_xludf.XLOOKUP(C1283,'country region mapping'!$A$2:$A$267,'country region mapping'!$E$2:$E$267)</f>
        <v>#NAME?</v>
      </c>
      <c r="E1283" s="1" t="e">
        <f t="array" aca="1" ref="E1283" ca="1">_xludf.XLOOKUP(C1283,'country region mapping'!$A$2:$A$267,'country region mapping'!$F$2:$F$267)</f>
        <v>#NAME?</v>
      </c>
      <c r="F1283" s="1" t="e">
        <f t="array" aca="1" ref="F1283" ca="1">_xludf.XLOOKUP(C1283,'country region mapping'!$A$2:$A$267,'country region mapping'!$G$2:$G$267)</f>
        <v>#NAME?</v>
      </c>
      <c r="G1283" s="1">
        <v>4.7069999999999999</v>
      </c>
      <c r="H1283" s="1">
        <v>104</v>
      </c>
      <c r="I1283" s="1">
        <v>113</v>
      </c>
      <c r="J1283" s="1">
        <v>76</v>
      </c>
      <c r="K1283" s="1">
        <v>55</v>
      </c>
      <c r="L1283" s="1">
        <v>103</v>
      </c>
      <c r="M1283" s="1">
        <v>24</v>
      </c>
      <c r="N1283" s="1">
        <v>43</v>
      </c>
      <c r="O1283" s="1">
        <v>102</v>
      </c>
      <c r="P1283" s="1">
        <v>139</v>
      </c>
      <c r="Q1283" s="1">
        <v>24</v>
      </c>
      <c r="R1283" s="1">
        <v>70</v>
      </c>
      <c r="S1283" s="1">
        <v>32</v>
      </c>
    </row>
    <row r="1284" spans="1:19">
      <c r="A1284" s="1">
        <v>2017</v>
      </c>
      <c r="B1284" s="1">
        <v>107</v>
      </c>
      <c r="C1284" s="1" t="s">
        <v>220</v>
      </c>
      <c r="D1284" s="1" t="e">
        <f t="array" aca="1" ref="D1284" ca="1">_xludf.XLOOKUP(C1284,'country region mapping'!$A$2:$A$267,'country region mapping'!$E$2:$E$267)</f>
        <v>#NAME?</v>
      </c>
      <c r="E1284" s="1" t="e">
        <f t="array" aca="1" ref="E1284" ca="1">_xludf.XLOOKUP(C1284,'country region mapping'!$A$2:$A$267,'country region mapping'!$F$2:$F$267)</f>
        <v>#NAME?</v>
      </c>
      <c r="F1284" s="1" t="e">
        <f t="array" aca="1" ref="F1284" ca="1">_xludf.XLOOKUP(C1284,'country region mapping'!$A$2:$A$267,'country region mapping'!$G$2:$G$267)</f>
        <v>#NAME?</v>
      </c>
      <c r="G1284" s="1">
        <v>4.6710000000000003</v>
      </c>
      <c r="H1284" s="1">
        <v>117</v>
      </c>
      <c r="I1284" s="1">
        <v>127</v>
      </c>
      <c r="J1284" s="1">
        <v>114</v>
      </c>
      <c r="K1284" s="1">
        <v>100</v>
      </c>
      <c r="L1284" s="1"/>
      <c r="M1284" s="1">
        <v>122</v>
      </c>
      <c r="N1284" s="1">
        <v>65</v>
      </c>
      <c r="O1284" s="1">
        <v>75</v>
      </c>
      <c r="P1284" s="1">
        <v>114</v>
      </c>
      <c r="Q1284" s="1">
        <v>122</v>
      </c>
      <c r="R1284" s="1">
        <v>136</v>
      </c>
      <c r="S1284" s="1">
        <v>51</v>
      </c>
    </row>
    <row r="1285" spans="1:19">
      <c r="A1285" s="1">
        <v>2017</v>
      </c>
      <c r="B1285" s="1">
        <v>108</v>
      </c>
      <c r="C1285" s="1" t="s">
        <v>197</v>
      </c>
      <c r="D1285" s="1" t="e">
        <f t="array" aca="1" ref="D1285" ca="1">_xludf.XLOOKUP(C1285,'country region mapping'!$A$2:$A$250, 'country region mapping'!$E$2:$E$250)</f>
        <v>#NAME?</v>
      </c>
      <c r="E1285" s="1" t="e">
        <f t="array" aca="1" ref="E1285" ca="1">_xludf.XLOOKUP(C1285,'country region mapping'!$A$2:$A$267,'country region mapping'!$F$2:$F$267)</f>
        <v>#NAME?</v>
      </c>
      <c r="F1285" s="1" t="e">
        <f t="array" aca="1" ref="F1285" ca="1">_xludf.XLOOKUP(C1285,'country region mapping'!$A$2:$A$267,'country region mapping'!$G$2:$G$267)</f>
        <v>#NAME?</v>
      </c>
      <c r="G1285" s="1">
        <v>4.657</v>
      </c>
      <c r="H1285" s="1">
        <v>113</v>
      </c>
      <c r="I1285" s="1">
        <v>125</v>
      </c>
      <c r="J1285" s="1">
        <v>109</v>
      </c>
      <c r="K1285" s="1">
        <v>112</v>
      </c>
      <c r="L1285" s="1">
        <v>80</v>
      </c>
      <c r="M1285" s="1">
        <v>54</v>
      </c>
      <c r="N1285" s="1">
        <v>92</v>
      </c>
      <c r="O1285" s="1">
        <v>43</v>
      </c>
      <c r="P1285" s="1">
        <v>55</v>
      </c>
      <c r="Q1285" s="1">
        <v>54</v>
      </c>
      <c r="R1285" s="1">
        <v>17</v>
      </c>
      <c r="S1285" s="1">
        <v>30</v>
      </c>
    </row>
    <row r="1286" spans="1:19">
      <c r="A1286" s="1">
        <v>2017</v>
      </c>
      <c r="B1286" s="1">
        <v>109</v>
      </c>
      <c r="C1286" s="1" t="s">
        <v>204</v>
      </c>
      <c r="D1286" s="1" t="e">
        <f t="array" aca="1" ref="D1286" ca="1">_xludf.XLOOKUP(C1286,'country region mapping'!$A$2:$A$250, 'country region mapping'!$E$2:$E$250)</f>
        <v>#NAME?</v>
      </c>
      <c r="E1286" s="1" t="e">
        <f t="array" aca="1" ref="E1286" ca="1">_xludf.XLOOKUP(C1286,'country region mapping'!$A$2:$A$267,'country region mapping'!$F$2:$F$267)</f>
        <v>#NAME?</v>
      </c>
      <c r="F1286" s="1" t="e">
        <f t="array" aca="1" ref="F1286" ca="1">_xludf.XLOOKUP(C1286,'country region mapping'!$A$2:$A$267,'country region mapping'!$G$2:$G$267)</f>
        <v>#NAME?</v>
      </c>
      <c r="G1286" s="1">
        <v>4.6310000000000002</v>
      </c>
      <c r="H1286" s="1">
        <v>52</v>
      </c>
      <c r="I1286" s="1">
        <v>105</v>
      </c>
      <c r="J1286" s="1">
        <v>119</v>
      </c>
      <c r="K1286" s="1">
        <v>105</v>
      </c>
      <c r="L1286" s="1">
        <v>115</v>
      </c>
      <c r="M1286" s="1">
        <v>105</v>
      </c>
      <c r="N1286" s="1">
        <v>86</v>
      </c>
      <c r="O1286" s="1">
        <v>29</v>
      </c>
      <c r="P1286" s="1">
        <v>79</v>
      </c>
      <c r="Q1286" s="1">
        <v>105</v>
      </c>
      <c r="R1286" s="1">
        <v>104</v>
      </c>
      <c r="S1286" s="1">
        <v>56</v>
      </c>
    </row>
    <row r="1287" spans="1:19">
      <c r="A1287" s="1">
        <v>2017</v>
      </c>
      <c r="B1287" s="1">
        <v>110</v>
      </c>
      <c r="C1287" s="1" t="s">
        <v>164</v>
      </c>
      <c r="D1287" s="1" t="e">
        <f t="array" aca="1" ref="D1287" ca="1">_xludf.XLOOKUP(C1287,'country region mapping'!$A$2:$A$267,'country region mapping'!$E$2:$E$267)</f>
        <v>#NAME?</v>
      </c>
      <c r="E1287" s="1" t="e">
        <f t="array" aca="1" ref="E1287" ca="1">_xludf.XLOOKUP(C1287,'country region mapping'!$A$2:$A$267,'country region mapping'!$F$2:$F$267)</f>
        <v>#NAME?</v>
      </c>
      <c r="F1287" s="1" t="e">
        <f t="array" aca="1" ref="F1287" ca="1">_xludf.XLOOKUP(C1287,'country region mapping'!$A$2:$A$267,'country region mapping'!$G$2:$G$267)</f>
        <v>#NAME?</v>
      </c>
      <c r="G1287" s="1">
        <v>4.6230000000000002</v>
      </c>
      <c r="H1287" s="1">
        <v>43</v>
      </c>
      <c r="I1287" s="1">
        <v>115</v>
      </c>
      <c r="J1287" s="1">
        <v>101</v>
      </c>
      <c r="K1287" s="1">
        <v>103</v>
      </c>
      <c r="L1287" s="1">
        <v>33</v>
      </c>
      <c r="M1287" s="1">
        <v>47</v>
      </c>
      <c r="N1287" s="1">
        <v>22</v>
      </c>
      <c r="O1287" s="1">
        <v>48</v>
      </c>
      <c r="P1287" s="1">
        <v>109</v>
      </c>
      <c r="Q1287" s="1">
        <v>47</v>
      </c>
      <c r="R1287" s="1">
        <v>146</v>
      </c>
      <c r="S1287" s="1">
        <v>145</v>
      </c>
    </row>
    <row r="1288" spans="1:19">
      <c r="A1288" s="1">
        <v>2017</v>
      </c>
      <c r="B1288" s="1">
        <v>111</v>
      </c>
      <c r="C1288" s="1" t="s">
        <v>159</v>
      </c>
      <c r="D1288" s="1" t="e">
        <f t="array" aca="1" ref="D1288" ca="1">_xludf.XLOOKUP(C1288,'country region mapping'!$A$2:$A$250, 'country region mapping'!$E$2:$E$250)</f>
        <v>#NAME?</v>
      </c>
      <c r="E1288" s="1" t="e">
        <f t="array" aca="1" ref="E1288" ca="1">_xludf.XLOOKUP(C1288,'country region mapping'!$A$2:$A$267,'country region mapping'!$F$2:$F$267)</f>
        <v>#NAME?</v>
      </c>
      <c r="F1288" s="1" t="e">
        <f t="array" aca="1" ref="F1288" ca="1">_xludf.XLOOKUP(C1288,'country region mapping'!$A$2:$A$267,'country region mapping'!$G$2:$G$267)</f>
        <v>#NAME?</v>
      </c>
      <c r="G1288" s="1">
        <v>4.5919999999999996</v>
      </c>
      <c r="H1288" s="1">
        <v>71</v>
      </c>
      <c r="I1288" s="1">
        <v>111</v>
      </c>
      <c r="J1288" s="1">
        <v>88</v>
      </c>
      <c r="K1288" s="1">
        <v>54</v>
      </c>
      <c r="L1288" s="1">
        <v>142</v>
      </c>
      <c r="M1288" s="1">
        <v>141</v>
      </c>
      <c r="N1288" s="1">
        <v>115</v>
      </c>
      <c r="O1288" s="1">
        <v>146</v>
      </c>
      <c r="P1288" s="1">
        <v>120</v>
      </c>
      <c r="Q1288" s="1">
        <v>141</v>
      </c>
      <c r="R1288" s="1">
        <v>133</v>
      </c>
      <c r="S1288" s="1">
        <v>105</v>
      </c>
    </row>
    <row r="1289" spans="1:19">
      <c r="A1289" s="1">
        <v>2017</v>
      </c>
      <c r="B1289" s="1">
        <v>112</v>
      </c>
      <c r="C1289" s="1" t="s">
        <v>174</v>
      </c>
      <c r="D1289" s="1" t="e">
        <f t="array" aca="1" ref="D1289" ca="1">_xludf.XLOOKUP(C1289,'country region mapping'!$A$2:$A$250, 'country region mapping'!$E$2:$E$250)</f>
        <v>#NAME?</v>
      </c>
      <c r="E1289" s="1" t="e">
        <f t="array" aca="1" ref="E1289" ca="1">_xludf.XLOOKUP(C1289,'country region mapping'!$A$2:$A$267,'country region mapping'!$F$2:$F$267)</f>
        <v>#NAME?</v>
      </c>
      <c r="F1289" s="1" t="e">
        <f t="array" aca="1" ref="F1289" ca="1">_xludf.XLOOKUP(C1289,'country region mapping'!$A$2:$A$267,'country region mapping'!$G$2:$G$267)</f>
        <v>#NAME?</v>
      </c>
      <c r="G1289" s="1">
        <v>4.5860000000000003</v>
      </c>
      <c r="H1289" s="1">
        <v>125</v>
      </c>
      <c r="I1289" s="1">
        <v>134</v>
      </c>
      <c r="J1289" s="1">
        <v>85</v>
      </c>
      <c r="K1289" s="1">
        <v>33</v>
      </c>
      <c r="L1289" s="1">
        <v>95</v>
      </c>
      <c r="M1289" s="1">
        <v>64</v>
      </c>
      <c r="N1289" s="1">
        <v>119</v>
      </c>
      <c r="O1289" s="1">
        <v>119</v>
      </c>
      <c r="P1289" s="1">
        <v>107</v>
      </c>
      <c r="Q1289" s="1">
        <v>64</v>
      </c>
      <c r="R1289" s="1">
        <v>135</v>
      </c>
      <c r="S1289" s="1">
        <v>110</v>
      </c>
    </row>
    <row r="1290" spans="1:19">
      <c r="A1290" s="1">
        <v>2017</v>
      </c>
      <c r="B1290" s="1">
        <v>113</v>
      </c>
      <c r="C1290" s="1" t="s">
        <v>178</v>
      </c>
      <c r="D1290" s="1" t="e">
        <f t="array" aca="1" ref="D1290" ca="1">_xludf.XLOOKUP(C1290,'country region mapping'!$A$2:$A$250, 'country region mapping'!$E$2:$E$250)</f>
        <v>#NAME?</v>
      </c>
      <c r="E1290" s="1" t="e">
        <f t="array" aca="1" ref="E1290" ca="1">_xludf.XLOOKUP(C1290,'country region mapping'!$A$2:$A$267,'country region mapping'!$F$2:$F$267)</f>
        <v>#NAME?</v>
      </c>
      <c r="F1290" s="1" t="e">
        <f t="array" aca="1" ref="F1290" ca="1">_xludf.XLOOKUP(C1290,'country region mapping'!$A$2:$A$267,'country region mapping'!$G$2:$G$267)</f>
        <v>#NAME?</v>
      </c>
      <c r="G1290" s="1">
        <v>4.5709999999999997</v>
      </c>
      <c r="H1290" s="1">
        <v>115</v>
      </c>
      <c r="I1290" s="1">
        <v>130</v>
      </c>
      <c r="J1290" s="1">
        <v>129</v>
      </c>
      <c r="K1290" s="1">
        <v>135</v>
      </c>
      <c r="L1290" s="1">
        <v>111</v>
      </c>
      <c r="M1290" s="1">
        <v>79</v>
      </c>
      <c r="N1290" s="1">
        <v>100</v>
      </c>
      <c r="O1290" s="1">
        <v>97</v>
      </c>
      <c r="P1290" s="1">
        <v>142</v>
      </c>
      <c r="Q1290" s="1">
        <v>79</v>
      </c>
      <c r="R1290" s="1">
        <v>14</v>
      </c>
      <c r="S1290" s="1">
        <v>5</v>
      </c>
    </row>
    <row r="1291" spans="1:19">
      <c r="A1291" s="1">
        <v>2017</v>
      </c>
      <c r="B1291" s="1">
        <v>114</v>
      </c>
      <c r="C1291" s="1" t="s">
        <v>202</v>
      </c>
      <c r="D1291" s="1" t="e">
        <f t="array" aca="1" ref="D1291" ca="1">_xludf.XLOOKUP(C1291,'country region mapping'!$A$2:$A$250, 'country region mapping'!$E$2:$E$250)</f>
        <v>#NAME?</v>
      </c>
      <c r="E1291" s="1" t="e">
        <f t="array" aca="1" ref="E1291" ca="1">_xludf.XLOOKUP(C1291,'country region mapping'!$A$2:$A$267,'country region mapping'!$F$2:$F$267)</f>
        <v>#NAME?</v>
      </c>
      <c r="F1291" s="1" t="e">
        <f t="array" aca="1" ref="F1291" ca="1">_xludf.XLOOKUP(C1291,'country region mapping'!$A$2:$A$267,'country region mapping'!$G$2:$G$267)</f>
        <v>#NAME?</v>
      </c>
      <c r="G1291" s="1">
        <v>4.5590000000000002</v>
      </c>
      <c r="H1291" s="1">
        <v>139</v>
      </c>
      <c r="I1291" s="1">
        <v>129</v>
      </c>
      <c r="J1291" s="1">
        <v>102</v>
      </c>
      <c r="K1291" s="1">
        <v>122</v>
      </c>
      <c r="L1291" s="1">
        <v>82</v>
      </c>
      <c r="M1291" s="1">
        <v>137</v>
      </c>
      <c r="N1291" s="1">
        <v>62</v>
      </c>
      <c r="O1291" s="1">
        <v>109</v>
      </c>
      <c r="P1291" s="1">
        <v>123</v>
      </c>
      <c r="Q1291" s="1">
        <v>137</v>
      </c>
      <c r="R1291" s="1">
        <v>108</v>
      </c>
      <c r="S1291" s="1">
        <v>76</v>
      </c>
    </row>
    <row r="1292" spans="1:19">
      <c r="A1292" s="1">
        <v>2017</v>
      </c>
      <c r="B1292" s="1">
        <v>115</v>
      </c>
      <c r="C1292" s="1" t="s">
        <v>176</v>
      </c>
      <c r="D1292" s="1" t="e">
        <f t="array" aca="1" ref="D1292" ca="1">_xludf.XLOOKUP(C1292,'country region mapping'!$A$2:$A$250, 'country region mapping'!$E$2:$E$250)</f>
        <v>#NAME?</v>
      </c>
      <c r="E1292" s="1" t="e">
        <f t="array" aca="1" ref="E1292" ca="1">_xludf.XLOOKUP(C1292,'country region mapping'!$A$2:$A$267,'country region mapping'!$F$2:$F$267)</f>
        <v>#NAME?</v>
      </c>
      <c r="F1292" s="1" t="e">
        <f t="array" aca="1" ref="F1292" ca="1">_xludf.XLOOKUP(C1292,'country region mapping'!$A$2:$A$267,'country region mapping'!$G$2:$G$267)</f>
        <v>#NAME?</v>
      </c>
      <c r="G1292" s="1">
        <v>4.5</v>
      </c>
      <c r="H1292" s="1">
        <v>40</v>
      </c>
      <c r="I1292" s="1">
        <v>114</v>
      </c>
      <c r="J1292" s="1">
        <v>108</v>
      </c>
      <c r="K1292" s="1">
        <v>84</v>
      </c>
      <c r="L1292" s="1">
        <v>31</v>
      </c>
      <c r="M1292" s="1">
        <v>80</v>
      </c>
      <c r="N1292" s="1">
        <v>26</v>
      </c>
      <c r="O1292" s="1">
        <v>142</v>
      </c>
      <c r="P1292" s="1">
        <v>33</v>
      </c>
      <c r="Q1292" s="1">
        <v>80</v>
      </c>
      <c r="R1292" s="1">
        <v>111</v>
      </c>
      <c r="S1292" s="1">
        <v>44</v>
      </c>
    </row>
    <row r="1293" spans="1:19">
      <c r="A1293" s="1">
        <v>2017</v>
      </c>
      <c r="B1293" s="1">
        <v>116</v>
      </c>
      <c r="C1293" s="1" t="s">
        <v>187</v>
      </c>
      <c r="D1293" s="1" t="e">
        <f t="array" aca="1" ref="D1293" ca="1">_xludf.XLOOKUP(C1293,'country region mapping'!$A$2:$A$250, 'country region mapping'!$E$2:$E$250)</f>
        <v>#NAME?</v>
      </c>
      <c r="E1293" s="1" t="e">
        <f t="array" aca="1" ref="E1293" ca="1">_xludf.XLOOKUP(C1293,'country region mapping'!$A$2:$A$267,'country region mapping'!$F$2:$F$267)</f>
        <v>#NAME?</v>
      </c>
      <c r="F1293" s="1" t="e">
        <f t="array" aca="1" ref="F1293" ca="1">_xludf.XLOOKUP(C1293,'country region mapping'!$A$2:$A$267,'country region mapping'!$G$2:$G$267)</f>
        <v>#NAME?</v>
      </c>
      <c r="G1293" s="1">
        <v>4.4710000000000001</v>
      </c>
      <c r="H1293" s="1">
        <v>73</v>
      </c>
      <c r="I1293" s="1">
        <v>77</v>
      </c>
      <c r="J1293" s="1">
        <v>79</v>
      </c>
      <c r="K1293" s="1">
        <v>51</v>
      </c>
      <c r="L1293" s="1">
        <v>64</v>
      </c>
      <c r="M1293" s="1">
        <v>36</v>
      </c>
      <c r="N1293" s="1">
        <v>98</v>
      </c>
      <c r="O1293" s="1">
        <v>37</v>
      </c>
      <c r="P1293" s="1">
        <v>64</v>
      </c>
      <c r="Q1293" s="1">
        <v>36</v>
      </c>
      <c r="R1293" s="1">
        <v>4</v>
      </c>
      <c r="S1293" s="1">
        <v>64</v>
      </c>
    </row>
    <row r="1294" spans="1:19">
      <c r="A1294" s="1">
        <v>2017</v>
      </c>
      <c r="B1294" s="1">
        <v>117</v>
      </c>
      <c r="C1294" s="1" t="s">
        <v>179</v>
      </c>
      <c r="D1294" s="1" t="e">
        <f t="array" aca="1" ref="D1294" ca="1">_xludf.XLOOKUP(C1294,'country region mapping'!$A$2:$A$250, 'country region mapping'!$E$2:$E$250)</f>
        <v>#NAME?</v>
      </c>
      <c r="E1294" s="1" t="e">
        <f t="array" aca="1" ref="E1294" ca="1">_xludf.XLOOKUP(C1294,'country region mapping'!$A$2:$A$267,'country region mapping'!$F$2:$F$267)</f>
        <v>#NAME?</v>
      </c>
      <c r="F1294" s="1" t="e">
        <f t="array" aca="1" ref="F1294" ca="1">_xludf.XLOOKUP(C1294,'country region mapping'!$A$2:$A$267,'country region mapping'!$G$2:$G$267)</f>
        <v>#NAME?</v>
      </c>
      <c r="G1294" s="1">
        <v>4.4560000000000004</v>
      </c>
      <c r="H1294" s="1">
        <v>138</v>
      </c>
      <c r="I1294" s="1">
        <v>119</v>
      </c>
      <c r="J1294" s="1">
        <v>80</v>
      </c>
      <c r="K1294" s="1">
        <v>98</v>
      </c>
      <c r="L1294" s="1">
        <v>126</v>
      </c>
      <c r="M1294" s="1">
        <v>61</v>
      </c>
      <c r="N1294" s="1">
        <v>59</v>
      </c>
      <c r="O1294" s="1">
        <v>136</v>
      </c>
      <c r="P1294" s="1">
        <v>145</v>
      </c>
      <c r="Q1294" s="1">
        <v>61</v>
      </c>
      <c r="R1294" s="1">
        <v>73</v>
      </c>
      <c r="S1294" s="1">
        <v>2</v>
      </c>
    </row>
    <row r="1295" spans="1:19">
      <c r="A1295" s="1">
        <v>2017</v>
      </c>
      <c r="B1295" s="1">
        <v>118</v>
      </c>
      <c r="C1295" s="1" t="s">
        <v>311</v>
      </c>
      <c r="D1295" s="1" t="e">
        <f t="array" aca="1" ref="D1295" ca="1">_xludf.XLOOKUP(C1295,'country region mapping'!$A$2:$A$250, 'country region mapping'!$E$2:$E$250)</f>
        <v>#NAME?</v>
      </c>
      <c r="E1295" s="1" t="e">
        <f t="array" aca="1" ref="E1295" ca="1">_xludf.XLOOKUP(C1295,'country region mapping'!$A$2:$A$267,'country region mapping'!$F$2:$F$267)</f>
        <v>#NAME?</v>
      </c>
      <c r="F1295" s="1" t="e">
        <f t="array" aca="1" ref="F1295" ca="1">_xludf.XLOOKUP(C1295,'country region mapping'!$A$2:$A$267,'country region mapping'!$G$2:$G$267)</f>
        <v>#NAME?</v>
      </c>
      <c r="G1295" s="1">
        <v>4.4470000000000001</v>
      </c>
      <c r="H1295" s="1">
        <v>107</v>
      </c>
      <c r="I1295" s="1">
        <v>107</v>
      </c>
      <c r="J1295" s="1">
        <v>133</v>
      </c>
      <c r="K1295" s="1">
        <v>129</v>
      </c>
      <c r="L1295" s="1">
        <v>92</v>
      </c>
      <c r="M1295" s="1">
        <v>125</v>
      </c>
      <c r="N1295" s="1">
        <v>107</v>
      </c>
      <c r="O1295" s="1">
        <v>74</v>
      </c>
      <c r="P1295" s="1">
        <v>127</v>
      </c>
      <c r="Q1295" s="1">
        <v>125</v>
      </c>
      <c r="R1295" s="1">
        <v>66</v>
      </c>
      <c r="S1295" s="1">
        <v>63</v>
      </c>
    </row>
    <row r="1296" spans="1:19">
      <c r="A1296" s="1">
        <v>2017</v>
      </c>
      <c r="B1296" s="1">
        <v>119</v>
      </c>
      <c r="C1296" s="1" t="s">
        <v>181</v>
      </c>
      <c r="D1296" s="1" t="e">
        <f t="array" aca="1" ref="D1296" ca="1">_xludf.XLOOKUP(C1296,'country region mapping'!$A$2:$A$250, 'country region mapping'!$E$2:$E$250)</f>
        <v>#NAME?</v>
      </c>
      <c r="E1296" s="1" t="e">
        <f t="array" aca="1" ref="E1296" ca="1">_xludf.XLOOKUP(C1296,'country region mapping'!$A$2:$A$267,'country region mapping'!$F$2:$F$267)</f>
        <v>#NAME?</v>
      </c>
      <c r="F1296" s="1" t="e">
        <f t="array" aca="1" ref="F1296" ca="1">_xludf.XLOOKUP(C1296,'country region mapping'!$A$2:$A$267,'country region mapping'!$G$2:$G$267)</f>
        <v>#NAME?</v>
      </c>
      <c r="G1296" s="1">
        <v>4.4409999999999998</v>
      </c>
      <c r="H1296" s="1">
        <v>130</v>
      </c>
      <c r="I1296" s="1">
        <v>74</v>
      </c>
      <c r="J1296" s="1">
        <v>90</v>
      </c>
      <c r="K1296" s="1">
        <v>76</v>
      </c>
      <c r="L1296" s="1">
        <v>124</v>
      </c>
      <c r="M1296" s="1">
        <v>133</v>
      </c>
      <c r="N1296" s="1">
        <v>89</v>
      </c>
      <c r="O1296" s="1">
        <v>61</v>
      </c>
      <c r="P1296" s="1">
        <v>72</v>
      </c>
      <c r="Q1296" s="1">
        <v>133</v>
      </c>
      <c r="R1296" s="1">
        <v>63</v>
      </c>
      <c r="S1296" s="1">
        <v>26</v>
      </c>
    </row>
    <row r="1297" spans="1:19">
      <c r="A1297" s="1">
        <v>2017</v>
      </c>
      <c r="B1297" s="1">
        <v>120</v>
      </c>
      <c r="C1297" s="1" t="s">
        <v>221</v>
      </c>
      <c r="D1297" s="1" t="e">
        <f t="array" aca="1" ref="D1297" ca="1">_xludf.XLOOKUP(C1297,'country region mapping'!$A$2:$A$250, 'country region mapping'!$E$2:$E$250)</f>
        <v>#NAME?</v>
      </c>
      <c r="E1297" s="1" t="e">
        <f t="array" aca="1" ref="E1297" ca="1">_xludf.XLOOKUP(C1297,'country region mapping'!$A$2:$A$267,'country region mapping'!$F$2:$F$267)</f>
        <v>#NAME?</v>
      </c>
      <c r="F1297" s="1" t="e">
        <f t="array" aca="1" ref="F1297" ca="1">_xludf.XLOOKUP(C1297,'country region mapping'!$A$2:$A$267,'country region mapping'!$G$2:$G$267)</f>
        <v>#NAME?</v>
      </c>
      <c r="G1297" s="1">
        <v>4.4329999999999998</v>
      </c>
      <c r="H1297" s="1">
        <v>128</v>
      </c>
      <c r="I1297" s="1">
        <v>102</v>
      </c>
      <c r="J1297" s="1">
        <v>113</v>
      </c>
      <c r="K1297" s="1">
        <v>101</v>
      </c>
      <c r="L1297" s="1">
        <v>2</v>
      </c>
      <c r="M1297" s="1">
        <v>56</v>
      </c>
      <c r="N1297" s="1">
        <v>85</v>
      </c>
      <c r="O1297" s="1">
        <v>72</v>
      </c>
      <c r="P1297" s="1">
        <v>131</v>
      </c>
      <c r="Q1297" s="1">
        <v>56</v>
      </c>
      <c r="R1297" s="1">
        <v>143</v>
      </c>
      <c r="S1297" s="1">
        <v>146</v>
      </c>
    </row>
    <row r="1298" spans="1:19">
      <c r="A1298" s="1">
        <v>2017</v>
      </c>
      <c r="B1298" s="1">
        <v>121</v>
      </c>
      <c r="C1298" s="1" t="s">
        <v>229</v>
      </c>
      <c r="D1298" s="1" t="e">
        <f t="array" aca="1" ref="D1298" ca="1">_xludf.XLOOKUP(C1298,'country region mapping'!$A$2:$A$250, 'country region mapping'!$E$2:$E$250)</f>
        <v>#NAME?</v>
      </c>
      <c r="E1298" s="1" t="e">
        <f t="array" aca="1" ref="E1298" ca="1">_xludf.XLOOKUP(C1298,'country region mapping'!$A$2:$A$267,'country region mapping'!$F$2:$F$267)</f>
        <v>#NAME?</v>
      </c>
      <c r="F1298" s="1" t="e">
        <f t="array" aca="1" ref="F1298" ca="1">_xludf.XLOOKUP(C1298,'country region mapping'!$A$2:$A$267,'country region mapping'!$G$2:$G$267)</f>
        <v>#NAME?</v>
      </c>
      <c r="G1298" s="1">
        <v>4.4240000000000004</v>
      </c>
      <c r="H1298" s="1">
        <v>67</v>
      </c>
      <c r="I1298" s="1">
        <v>93</v>
      </c>
      <c r="J1298" s="1">
        <v>135</v>
      </c>
      <c r="K1298" s="1">
        <v>125</v>
      </c>
      <c r="L1298" s="1">
        <v>130</v>
      </c>
      <c r="M1298" s="1">
        <v>126</v>
      </c>
      <c r="N1298" s="1">
        <v>47</v>
      </c>
      <c r="O1298" s="1">
        <v>107</v>
      </c>
      <c r="P1298" s="1">
        <v>113</v>
      </c>
      <c r="Q1298" s="1">
        <v>126</v>
      </c>
      <c r="R1298" s="1">
        <v>71</v>
      </c>
      <c r="S1298" s="1">
        <v>49</v>
      </c>
    </row>
    <row r="1299" spans="1:19">
      <c r="A1299" s="1">
        <v>2017</v>
      </c>
      <c r="B1299" s="1">
        <v>122</v>
      </c>
      <c r="C1299" s="1" t="s">
        <v>191</v>
      </c>
      <c r="D1299" s="1" t="e">
        <f t="array" aca="1" ref="D1299" ca="1">_xludf.XLOOKUP(C1299,'country region mapping'!$A$2:$A$250, 'country region mapping'!$E$2:$E$250)</f>
        <v>#NAME?</v>
      </c>
      <c r="E1299" s="1" t="e">
        <f t="array" aca="1" ref="E1299" ca="1">_xludf.XLOOKUP(C1299,'country region mapping'!$A$2:$A$267,'country region mapping'!$F$2:$F$267)</f>
        <v>#NAME?</v>
      </c>
      <c r="F1299" s="1" t="e">
        <f t="array" aca="1" ref="F1299" ca="1">_xludf.XLOOKUP(C1299,'country region mapping'!$A$2:$A$267,'country region mapping'!$G$2:$G$267)</f>
        <v>#NAME?</v>
      </c>
      <c r="G1299" s="1">
        <v>4.4189999999999996</v>
      </c>
      <c r="H1299" s="1">
        <v>85</v>
      </c>
      <c r="I1299" s="1">
        <v>133</v>
      </c>
      <c r="J1299" s="1">
        <v>86</v>
      </c>
      <c r="K1299" s="1">
        <v>92</v>
      </c>
      <c r="L1299" s="1">
        <v>135</v>
      </c>
      <c r="M1299" s="1">
        <v>112</v>
      </c>
      <c r="O1299" s="14">
        <v>140</v>
      </c>
      <c r="P1299" s="14">
        <v>132</v>
      </c>
      <c r="Q1299" s="14">
        <v>112</v>
      </c>
      <c r="R1299" s="14">
        <v>142</v>
      </c>
      <c r="S1299" s="14">
        <v>43</v>
      </c>
    </row>
    <row r="1300" spans="1:19">
      <c r="A1300" s="1">
        <v>2017</v>
      </c>
      <c r="B1300" s="1">
        <v>123</v>
      </c>
      <c r="C1300" s="1" t="s">
        <v>252</v>
      </c>
      <c r="D1300" s="1" t="e">
        <f t="array" aca="1" ref="D1300" ca="1">_xludf.XLOOKUP(C1300,'country region mapping'!$A$2:$A$250, 'country region mapping'!$E$2:$E$250)</f>
        <v>#NAME?</v>
      </c>
      <c r="E1300" s="1" t="e">
        <f t="array" aca="1" ref="E1300" ca="1">_xludf.XLOOKUP(C1300,'country region mapping'!$A$2:$A$267,'country region mapping'!$F$2:$F$267)</f>
        <v>#NAME?</v>
      </c>
      <c r="F1300" s="1" t="e">
        <f t="array" aca="1" ref="F1300" ca="1">_xludf.XLOOKUP(C1300,'country region mapping'!$A$2:$A$267,'country region mapping'!$G$2:$G$267)</f>
        <v>#NAME?</v>
      </c>
      <c r="G1300" s="1">
        <v>4.4169999999999998</v>
      </c>
      <c r="H1300" s="1">
        <v>144</v>
      </c>
      <c r="I1300" s="1">
        <v>123</v>
      </c>
      <c r="J1300" s="1">
        <v>141</v>
      </c>
      <c r="K1300" s="1">
        <v>139</v>
      </c>
      <c r="L1300" s="1">
        <v>68</v>
      </c>
      <c r="M1300" s="1">
        <v>127</v>
      </c>
      <c r="N1300" s="1">
        <v>38</v>
      </c>
      <c r="O1300" s="1">
        <v>83</v>
      </c>
      <c r="P1300" s="1">
        <v>112</v>
      </c>
      <c r="Q1300" s="1">
        <v>127</v>
      </c>
      <c r="R1300" s="1">
        <v>40</v>
      </c>
      <c r="S1300" s="1">
        <v>78</v>
      </c>
    </row>
    <row r="1301" spans="1:19">
      <c r="A1301" s="1">
        <v>2017</v>
      </c>
      <c r="B1301" s="1">
        <v>124</v>
      </c>
      <c r="C1301" s="1" t="s">
        <v>193</v>
      </c>
      <c r="D1301" s="1" t="e">
        <f t="array" aca="1" ref="D1301" ca="1">_xludf.XLOOKUP(C1301,'country region mapping'!$A$2:$A$250, 'country region mapping'!$E$2:$E$250)</f>
        <v>#NAME?</v>
      </c>
      <c r="E1301" s="1" t="e">
        <f t="array" aca="1" ref="E1301" ca="1">_xludf.XLOOKUP(C1301,'country region mapping'!$A$2:$A$267,'country region mapping'!$F$2:$F$267)</f>
        <v>#NAME?</v>
      </c>
      <c r="F1301" s="1" t="e">
        <f t="array" aca="1" ref="F1301" ca="1">_xludf.XLOOKUP(C1301,'country region mapping'!$A$2:$A$267,'country region mapping'!$G$2:$G$267)</f>
        <v>#NAME?</v>
      </c>
      <c r="G1301" s="1">
        <v>4.41</v>
      </c>
      <c r="H1301" s="1">
        <v>111</v>
      </c>
      <c r="I1301" s="1">
        <v>112</v>
      </c>
      <c r="J1301" s="1">
        <v>116</v>
      </c>
      <c r="K1301" s="1">
        <v>110</v>
      </c>
      <c r="L1301" s="1">
        <v>51</v>
      </c>
      <c r="M1301" s="1">
        <v>28</v>
      </c>
      <c r="N1301" s="1">
        <v>104</v>
      </c>
      <c r="O1301" s="1">
        <v>27</v>
      </c>
      <c r="P1301" s="1">
        <v>40</v>
      </c>
      <c r="Q1301" s="1">
        <v>28</v>
      </c>
      <c r="R1301" s="1">
        <v>3</v>
      </c>
      <c r="S1301" s="1">
        <v>9</v>
      </c>
    </row>
    <row r="1302" spans="1:19">
      <c r="A1302" s="1">
        <v>2017</v>
      </c>
      <c r="B1302" s="1">
        <v>125</v>
      </c>
      <c r="C1302" s="1" t="s">
        <v>170</v>
      </c>
      <c r="D1302" s="1" t="e">
        <f t="array" aca="1" ref="D1302" ca="1">_xludf.XLOOKUP(C1302,'country region mapping'!$A$2:$A$250, 'country region mapping'!$E$2:$E$250)</f>
        <v>#NAME?</v>
      </c>
      <c r="E1302" s="1" t="e">
        <f t="array" aca="1" ref="E1302" ca="1">_xludf.XLOOKUP(C1302,'country region mapping'!$A$2:$A$267,'country region mapping'!$F$2:$F$267)</f>
        <v>#NAME?</v>
      </c>
      <c r="F1302" s="1" t="e">
        <f t="array" aca="1" ref="F1302" ca="1">_xludf.XLOOKUP(C1302,'country region mapping'!$A$2:$A$267,'country region mapping'!$G$2:$G$267)</f>
        <v>#NAME?</v>
      </c>
      <c r="G1302" s="1">
        <v>4.3769999999999998</v>
      </c>
      <c r="H1302" s="1">
        <v>119</v>
      </c>
      <c r="I1302" s="1">
        <v>106</v>
      </c>
      <c r="J1302" s="1">
        <v>120</v>
      </c>
      <c r="K1302" s="1">
        <v>127</v>
      </c>
      <c r="L1302" s="1">
        <v>67</v>
      </c>
      <c r="M1302" s="1">
        <v>46</v>
      </c>
      <c r="N1302" s="1">
        <v>51</v>
      </c>
      <c r="O1302" s="1">
        <v>77</v>
      </c>
      <c r="P1302" s="1">
        <v>124</v>
      </c>
      <c r="Q1302" s="1">
        <v>46</v>
      </c>
      <c r="R1302" s="1">
        <v>20</v>
      </c>
      <c r="S1302" s="1">
        <v>14</v>
      </c>
    </row>
    <row r="1303" spans="1:19">
      <c r="A1303" s="1">
        <v>2017</v>
      </c>
      <c r="B1303" s="1">
        <v>126</v>
      </c>
      <c r="C1303" s="1" t="s">
        <v>206</v>
      </c>
      <c r="D1303" s="1" t="e">
        <f t="array" aca="1" ref="D1303" ca="1">_xludf.XLOOKUP(C1303,'country region mapping'!$A$2:$A$250, 'country region mapping'!$E$2:$E$250)</f>
        <v>#NAME?</v>
      </c>
      <c r="E1303" s="1" t="e">
        <f t="array" aca="1" ref="E1303" ca="1">_xludf.XLOOKUP(C1303,'country region mapping'!$A$2:$A$267,'country region mapping'!$F$2:$F$267)</f>
        <v>#NAME?</v>
      </c>
      <c r="F1303" s="1" t="e">
        <f t="array" aca="1" ref="F1303" ca="1">_xludf.XLOOKUP(C1303,'country region mapping'!$A$2:$A$267,'country region mapping'!$G$2:$G$267)</f>
        <v>#NAME?</v>
      </c>
      <c r="G1303" s="1">
        <v>4.3559999999999999</v>
      </c>
      <c r="H1303" s="1">
        <v>61</v>
      </c>
      <c r="I1303" s="1">
        <v>94</v>
      </c>
      <c r="J1303" s="1">
        <v>107</v>
      </c>
      <c r="K1303" s="1">
        <v>97</v>
      </c>
      <c r="L1303" s="1">
        <v>140</v>
      </c>
      <c r="M1303" s="1">
        <v>136</v>
      </c>
      <c r="N1303" s="1">
        <v>66</v>
      </c>
      <c r="O1303" s="1">
        <v>88</v>
      </c>
      <c r="P1303" s="1">
        <v>66</v>
      </c>
      <c r="Q1303" s="1">
        <v>136</v>
      </c>
      <c r="R1303" s="1">
        <v>107</v>
      </c>
      <c r="S1303" s="1">
        <v>123</v>
      </c>
    </row>
    <row r="1304" spans="1:19">
      <c r="A1304" s="1">
        <v>2017</v>
      </c>
      <c r="B1304" s="1">
        <v>127</v>
      </c>
      <c r="C1304" s="1" t="s">
        <v>183</v>
      </c>
      <c r="D1304" s="1" t="e">
        <f t="array" aca="1" ref="D1304" ca="1">_xludf.XLOOKUP(C1304,'country region mapping'!$A$2:$A$250, 'country region mapping'!$E$2:$E$250)</f>
        <v>#NAME?</v>
      </c>
      <c r="E1304" s="1" t="e">
        <f t="array" aca="1" ref="E1304" ca="1">_xludf.XLOOKUP(C1304,'country region mapping'!$A$2:$A$267,'country region mapping'!$F$2:$F$267)</f>
        <v>#NAME?</v>
      </c>
      <c r="F1304" s="1" t="e">
        <f t="array" aca="1" ref="F1304" ca="1">_xludf.XLOOKUP(C1304,'country region mapping'!$A$2:$A$267,'country region mapping'!$G$2:$G$267)</f>
        <v>#NAME?</v>
      </c>
      <c r="G1304" s="1">
        <v>4.3499999999999996</v>
      </c>
      <c r="H1304" s="1">
        <v>37</v>
      </c>
      <c r="I1304" s="1">
        <v>109</v>
      </c>
      <c r="J1304" s="1">
        <v>136</v>
      </c>
      <c r="K1304" s="1">
        <v>106</v>
      </c>
      <c r="L1304" s="1">
        <v>106</v>
      </c>
      <c r="M1304" s="1">
        <v>102</v>
      </c>
      <c r="N1304" s="1">
        <v>58</v>
      </c>
      <c r="O1304" s="1">
        <v>128</v>
      </c>
      <c r="P1304" s="1">
        <v>89</v>
      </c>
      <c r="Q1304" s="1">
        <v>102</v>
      </c>
      <c r="R1304" s="1">
        <v>60</v>
      </c>
      <c r="S1304" s="1">
        <v>108</v>
      </c>
    </row>
    <row r="1305" spans="1:19">
      <c r="A1305" s="1">
        <v>2017</v>
      </c>
      <c r="B1305" s="1">
        <v>128</v>
      </c>
      <c r="C1305" s="1" t="s">
        <v>201</v>
      </c>
      <c r="D1305" s="1" t="e">
        <f t="array" aca="1" ref="D1305" ca="1">_xludf.XLOOKUP(C1305,'country region mapping'!$A$2:$A$250, 'country region mapping'!$E$2:$E$250)</f>
        <v>#NAME?</v>
      </c>
      <c r="E1305" s="1" t="e">
        <f t="array" aca="1" ref="E1305" ca="1">_xludf.XLOOKUP(C1305,'country region mapping'!$A$2:$A$267,'country region mapping'!$F$2:$F$267)</f>
        <v>#NAME?</v>
      </c>
      <c r="F1305" s="1" t="e">
        <f t="array" aca="1" ref="F1305" ca="1">_xludf.XLOOKUP(C1305,'country region mapping'!$A$2:$A$267,'country region mapping'!$G$2:$G$267)</f>
        <v>#NAME?</v>
      </c>
      <c r="G1305" s="1">
        <v>4.34</v>
      </c>
      <c r="H1305" s="1">
        <v>30</v>
      </c>
      <c r="I1305" s="1">
        <v>138</v>
      </c>
      <c r="J1305" s="1">
        <v>70</v>
      </c>
      <c r="K1305" s="1">
        <v>72</v>
      </c>
      <c r="L1305" s="1">
        <v>69</v>
      </c>
      <c r="M1305" s="1">
        <v>142</v>
      </c>
      <c r="N1305" s="1">
        <v>21</v>
      </c>
      <c r="O1305" s="1">
        <v>132</v>
      </c>
      <c r="P1305" s="1">
        <v>30</v>
      </c>
      <c r="Q1305" s="1">
        <v>142</v>
      </c>
      <c r="R1305" s="1">
        <v>83</v>
      </c>
      <c r="S1305" s="1">
        <v>92</v>
      </c>
    </row>
    <row r="1306" spans="1:19">
      <c r="A1306" s="1">
        <v>2017</v>
      </c>
      <c r="B1306" s="1">
        <v>129</v>
      </c>
      <c r="C1306" s="1" t="s">
        <v>192</v>
      </c>
      <c r="D1306" s="1" t="e">
        <f t="array" aca="1" ref="D1306" ca="1">_xludf.XLOOKUP(C1306,'country region mapping'!$A$2:$A$250, 'country region mapping'!$E$2:$E$250)</f>
        <v>#NAME?</v>
      </c>
      <c r="E1306" s="1" t="e">
        <f t="array" aca="1" ref="E1306" ca="1">_xludf.XLOOKUP(C1306,'country region mapping'!$A$2:$A$267,'country region mapping'!$F$2:$F$267)</f>
        <v>#NAME?</v>
      </c>
      <c r="F1306" s="1" t="e">
        <f t="array" aca="1" ref="F1306" ca="1">_xludf.XLOOKUP(C1306,'country region mapping'!$A$2:$A$267,'country region mapping'!$G$2:$G$267)</f>
        <v>#NAME?</v>
      </c>
      <c r="G1306" s="1">
        <v>4.3209999999999997</v>
      </c>
      <c r="H1306" s="1">
        <v>87</v>
      </c>
      <c r="I1306" s="1">
        <v>117</v>
      </c>
      <c r="J1306" s="1">
        <v>82</v>
      </c>
      <c r="K1306" s="1">
        <v>58</v>
      </c>
      <c r="L1306" s="1">
        <v>131</v>
      </c>
      <c r="M1306" s="1">
        <v>109</v>
      </c>
      <c r="N1306" s="1">
        <v>108</v>
      </c>
      <c r="O1306" s="1">
        <v>117</v>
      </c>
      <c r="P1306" s="1">
        <v>138</v>
      </c>
      <c r="Q1306" s="1">
        <v>109</v>
      </c>
      <c r="R1306" s="1">
        <v>130</v>
      </c>
      <c r="S1306" s="1">
        <v>102</v>
      </c>
    </row>
    <row r="1307" spans="1:19">
      <c r="A1307" s="1">
        <v>2017</v>
      </c>
      <c r="B1307" s="1">
        <v>130</v>
      </c>
      <c r="C1307" s="1" t="s">
        <v>190</v>
      </c>
      <c r="D1307" s="1" t="e">
        <f t="array" aca="1" ref="D1307" ca="1">_xludf.XLOOKUP(C1307,'country region mapping'!$A$2:$A$250, 'country region mapping'!$E$2:$E$250)</f>
        <v>#NAME?</v>
      </c>
      <c r="E1307" s="1" t="e">
        <f t="array" aca="1" ref="E1307" ca="1">_xludf.XLOOKUP(C1307,'country region mapping'!$A$2:$A$267,'country region mapping'!$F$2:$F$267)</f>
        <v>#NAME?</v>
      </c>
      <c r="F1307" s="1" t="e">
        <f t="array" aca="1" ref="F1307" ca="1">_xludf.XLOOKUP(C1307,'country region mapping'!$A$2:$A$267,'country region mapping'!$G$2:$G$267)</f>
        <v>#NAME?</v>
      </c>
      <c r="G1307" s="1">
        <v>4.3079999999999998</v>
      </c>
      <c r="H1307" s="1">
        <v>74</v>
      </c>
      <c r="I1307" s="1">
        <v>89</v>
      </c>
      <c r="J1307" s="1">
        <v>110</v>
      </c>
      <c r="K1307" s="1">
        <v>104</v>
      </c>
      <c r="L1307" s="1">
        <v>35</v>
      </c>
      <c r="M1307" s="1">
        <v>1</v>
      </c>
      <c r="N1307" s="1">
        <v>24</v>
      </c>
      <c r="O1307" s="1">
        <v>92</v>
      </c>
      <c r="P1307" s="1">
        <v>75</v>
      </c>
      <c r="Q1307" s="1">
        <v>1</v>
      </c>
      <c r="R1307" s="1">
        <v>22</v>
      </c>
      <c r="S1307" s="1">
        <v>114</v>
      </c>
    </row>
    <row r="1308" spans="1:19">
      <c r="A1308" s="1">
        <v>2017</v>
      </c>
      <c r="B1308" s="1">
        <v>131</v>
      </c>
      <c r="C1308" s="1" t="s">
        <v>227</v>
      </c>
      <c r="D1308" s="1" t="e">
        <f t="array" aca="1" ref="D1308" ca="1">_xludf.XLOOKUP(C1308,'country region mapping'!$A$2:$A$250, 'country region mapping'!$E$2:$E$250)</f>
        <v>#NAME?</v>
      </c>
      <c r="E1308" s="1" t="e">
        <f t="array" aca="1" ref="E1308" ca="1">_xludf.XLOOKUP(C1308,'country region mapping'!$A$2:$A$267,'country region mapping'!$F$2:$F$267)</f>
        <v>#NAME?</v>
      </c>
      <c r="F1308" s="1" t="e">
        <f t="array" aca="1" ref="F1308" ca="1">_xludf.XLOOKUP(C1308,'country region mapping'!$A$2:$A$267,'country region mapping'!$G$2:$G$267)</f>
        <v>#NAME?</v>
      </c>
      <c r="G1308" s="1">
        <v>4.3010000000000002</v>
      </c>
      <c r="H1308" s="1">
        <v>137</v>
      </c>
      <c r="I1308" s="1">
        <v>128</v>
      </c>
      <c r="J1308" s="1">
        <v>137</v>
      </c>
      <c r="K1308" s="1">
        <v>137</v>
      </c>
      <c r="L1308" s="1">
        <v>129</v>
      </c>
      <c r="M1308" s="1">
        <v>103</v>
      </c>
      <c r="N1308" s="1">
        <v>73</v>
      </c>
      <c r="O1308" s="1">
        <v>104</v>
      </c>
      <c r="P1308" s="1">
        <v>144</v>
      </c>
      <c r="Q1308" s="1">
        <v>103</v>
      </c>
      <c r="R1308" s="1">
        <v>93</v>
      </c>
      <c r="S1308" s="1">
        <v>82</v>
      </c>
    </row>
    <row r="1309" spans="1:19">
      <c r="A1309" s="1">
        <v>2017</v>
      </c>
      <c r="B1309" s="1">
        <v>132</v>
      </c>
      <c r="C1309" s="1" t="s">
        <v>199</v>
      </c>
      <c r="D1309" s="1" t="e">
        <f t="array" aca="1" ref="D1309" ca="1">_xludf.XLOOKUP(C1309,'country region mapping'!$A$2:$A$267,'country region mapping'!$E$2:$E$267)</f>
        <v>#NAME?</v>
      </c>
      <c r="E1309" s="1" t="e">
        <f t="array" aca="1" ref="E1309" ca="1">_xludf.XLOOKUP(C1309,'country region mapping'!$A$2:$A$267,'country region mapping'!$F$2:$F$267)</f>
        <v>#NAME?</v>
      </c>
      <c r="F1309" s="1" t="e">
        <f t="array" aca="1" ref="F1309" ca="1">_xludf.XLOOKUP(C1309,'country region mapping'!$A$2:$A$267,'country region mapping'!$G$2:$G$267)</f>
        <v>#NAME?</v>
      </c>
      <c r="G1309" s="1">
        <v>4.2450000000000001</v>
      </c>
      <c r="H1309" s="1">
        <v>118</v>
      </c>
      <c r="I1309" s="1">
        <v>124</v>
      </c>
      <c r="J1309" s="1">
        <v>144</v>
      </c>
      <c r="K1309" s="1">
        <v>133</v>
      </c>
      <c r="L1309" s="1">
        <v>112</v>
      </c>
      <c r="M1309" s="1">
        <v>96</v>
      </c>
      <c r="N1309" s="1">
        <v>80</v>
      </c>
      <c r="O1309" s="1">
        <v>122</v>
      </c>
      <c r="P1309" s="1">
        <v>130</v>
      </c>
      <c r="Q1309" s="1">
        <v>96</v>
      </c>
      <c r="R1309" s="1">
        <v>36</v>
      </c>
      <c r="S1309" s="1">
        <v>48</v>
      </c>
    </row>
    <row r="1310" spans="1:19">
      <c r="A1310" s="1">
        <v>2017</v>
      </c>
      <c r="B1310" s="1">
        <v>133</v>
      </c>
      <c r="C1310" s="1" t="s">
        <v>188</v>
      </c>
      <c r="D1310" s="1" t="e">
        <f t="array" aca="1" ref="D1310" ca="1">_xludf.XLOOKUP(C1310,'country region mapping'!$A$2:$A$250, 'country region mapping'!$E$2:$E$250)</f>
        <v>#NAME?</v>
      </c>
      <c r="E1310" s="1" t="e">
        <f t="array" aca="1" ref="E1310" ca="1">_xludf.XLOOKUP(C1310,'country region mapping'!$A$2:$A$267,'country region mapping'!$F$2:$F$267)</f>
        <v>#NAME?</v>
      </c>
      <c r="F1310" s="1" t="e">
        <f t="array" aca="1" ref="F1310" ca="1">_xludf.XLOOKUP(C1310,'country region mapping'!$A$2:$A$267,'country region mapping'!$G$2:$G$267)</f>
        <v>#NAME?</v>
      </c>
      <c r="G1310" s="1">
        <v>4.1900000000000004</v>
      </c>
      <c r="H1310" s="1">
        <v>21</v>
      </c>
      <c r="I1310" s="1">
        <v>137</v>
      </c>
      <c r="J1310" s="1">
        <v>104</v>
      </c>
      <c r="K1310" s="1">
        <v>102</v>
      </c>
      <c r="L1310" s="1">
        <v>36</v>
      </c>
      <c r="M1310" s="1">
        <v>86</v>
      </c>
      <c r="N1310" s="1">
        <v>69</v>
      </c>
      <c r="O1310" s="1">
        <v>108</v>
      </c>
      <c r="P1310" s="1">
        <v>100</v>
      </c>
      <c r="Q1310" s="1">
        <v>86</v>
      </c>
      <c r="R1310" s="1">
        <v>100</v>
      </c>
      <c r="S1310" s="1">
        <v>138</v>
      </c>
    </row>
    <row r="1311" spans="1:19">
      <c r="A1311" s="1">
        <v>2017</v>
      </c>
      <c r="B1311" s="1">
        <v>134</v>
      </c>
      <c r="C1311" s="1" t="s">
        <v>224</v>
      </c>
      <c r="D1311" s="1" t="e">
        <f t="array" aca="1" ref="D1311" ca="1">_xludf.XLOOKUP(C1311,'country region mapping'!$A$2:$A$250, 'country region mapping'!$E$2:$E$250)</f>
        <v>#NAME?</v>
      </c>
      <c r="E1311" s="1" t="e">
        <f t="array" aca="1" ref="E1311" ca="1">_xludf.XLOOKUP(C1311,'country region mapping'!$A$2:$A$267,'country region mapping'!$F$2:$F$267)</f>
        <v>#NAME?</v>
      </c>
      <c r="F1311" s="1" t="e">
        <f t="array" aca="1" ref="F1311" ca="1">_xludf.XLOOKUP(C1311,'country region mapping'!$A$2:$A$267,'country region mapping'!$G$2:$G$267)</f>
        <v>#NAME?</v>
      </c>
      <c r="G1311" s="1">
        <v>4.1660000000000004</v>
      </c>
      <c r="H1311" s="1">
        <v>132</v>
      </c>
      <c r="I1311" s="1">
        <v>139</v>
      </c>
      <c r="J1311" s="1">
        <v>143</v>
      </c>
      <c r="K1311" s="1">
        <v>131</v>
      </c>
      <c r="L1311" s="1">
        <v>117</v>
      </c>
      <c r="M1311" s="1">
        <v>132</v>
      </c>
      <c r="N1311" s="1">
        <v>67</v>
      </c>
      <c r="O1311" s="1">
        <v>58</v>
      </c>
      <c r="P1311" s="1">
        <v>136</v>
      </c>
      <c r="Q1311" s="1">
        <v>132</v>
      </c>
      <c r="R1311" s="1">
        <v>67</v>
      </c>
      <c r="S1311" s="1">
        <v>20</v>
      </c>
    </row>
    <row r="1312" spans="1:19">
      <c r="A1312" s="1">
        <v>2017</v>
      </c>
      <c r="B1312" s="1">
        <v>135</v>
      </c>
      <c r="C1312" s="1" t="s">
        <v>231</v>
      </c>
      <c r="D1312" s="1" t="e">
        <f t="array" aca="1" ref="D1312" ca="1">_xludf.XLOOKUP(C1312,'country region mapping'!$A$2:$A$250, 'country region mapping'!$E$2:$E$250)</f>
        <v>#NAME?</v>
      </c>
      <c r="E1312" s="1" t="e">
        <f t="array" aca="1" ref="E1312" ca="1">_xludf.XLOOKUP(C1312,'country region mapping'!$A$2:$A$267,'country region mapping'!$F$2:$F$267)</f>
        <v>#NAME?</v>
      </c>
      <c r="F1312" s="1" t="e">
        <f t="array" aca="1" ref="F1312" ca="1">_xludf.XLOOKUP(C1312,'country region mapping'!$A$2:$A$267,'country region mapping'!$G$2:$G$267)</f>
        <v>#NAME?</v>
      </c>
      <c r="G1312" s="1">
        <v>4.1609999999999996</v>
      </c>
      <c r="H1312" s="1">
        <v>123</v>
      </c>
      <c r="I1312" s="1">
        <v>108</v>
      </c>
      <c r="J1312" s="1">
        <v>130</v>
      </c>
      <c r="K1312" s="1">
        <v>113</v>
      </c>
      <c r="L1312" s="1">
        <v>83</v>
      </c>
      <c r="M1312" s="1">
        <v>81</v>
      </c>
      <c r="N1312" s="1">
        <v>82</v>
      </c>
      <c r="O1312" s="1">
        <v>64</v>
      </c>
      <c r="P1312" s="1">
        <v>129</v>
      </c>
      <c r="Q1312" s="1">
        <v>81</v>
      </c>
      <c r="R1312" s="1">
        <v>47</v>
      </c>
      <c r="S1312" s="1">
        <v>19</v>
      </c>
    </row>
    <row r="1313" spans="1:19">
      <c r="A1313" s="1">
        <v>2017</v>
      </c>
      <c r="B1313" s="1">
        <v>136</v>
      </c>
      <c r="C1313" s="1" t="s">
        <v>244</v>
      </c>
      <c r="D1313" s="1" t="e">
        <f t="array" aca="1" ref="D1313" ca="1">_xludf.XLOOKUP(C1313,'country region mapping'!$A$2:$A$250, 'country region mapping'!$E$2:$E$250)</f>
        <v>#NAME?</v>
      </c>
      <c r="E1313" s="1" t="e">
        <f t="array" aca="1" ref="E1313" ca="1">_xludf.XLOOKUP(C1313,'country region mapping'!$A$2:$A$267,'country region mapping'!$F$2:$F$267)</f>
        <v>#NAME?</v>
      </c>
      <c r="F1313" s="1" t="e">
        <f t="array" aca="1" ref="F1313" ca="1">_xludf.XLOOKUP(C1313,'country region mapping'!$A$2:$A$267,'country region mapping'!$G$2:$G$267)</f>
        <v>#NAME?</v>
      </c>
      <c r="G1313" s="1">
        <v>4.141</v>
      </c>
      <c r="H1313" s="1">
        <v>145</v>
      </c>
      <c r="I1313" s="1">
        <v>145</v>
      </c>
      <c r="J1313" s="1">
        <v>126</v>
      </c>
      <c r="K1313" s="1">
        <v>119</v>
      </c>
      <c r="L1313" s="1">
        <v>104</v>
      </c>
      <c r="M1313" s="1">
        <v>116</v>
      </c>
      <c r="N1313" s="1">
        <v>63</v>
      </c>
      <c r="O1313" s="1">
        <v>100</v>
      </c>
      <c r="P1313" s="1">
        <v>141</v>
      </c>
      <c r="Q1313" s="1">
        <v>116</v>
      </c>
      <c r="R1313" s="1">
        <v>87</v>
      </c>
      <c r="S1313" s="1">
        <v>91</v>
      </c>
    </row>
    <row r="1314" spans="1:19">
      <c r="A1314" s="1">
        <v>2017</v>
      </c>
      <c r="B1314" s="1">
        <v>137</v>
      </c>
      <c r="C1314" s="1" t="s">
        <v>211</v>
      </c>
      <c r="D1314" s="1" t="e">
        <f t="array" aca="1" ref="D1314" ca="1">_xludf.XLOOKUP(C1314,'country region mapping'!$A$2:$A$250, 'country region mapping'!$E$2:$E$250)</f>
        <v>#NAME?</v>
      </c>
      <c r="E1314" s="1" t="e">
        <f t="array" aca="1" ref="E1314" ca="1">_xludf.XLOOKUP(C1314,'country region mapping'!$A$2:$A$267,'country region mapping'!$F$2:$F$267)</f>
        <v>#NAME?</v>
      </c>
      <c r="F1314" s="1" t="e">
        <f t="array" aca="1" ref="F1314" ca="1">_xludf.XLOOKUP(C1314,'country region mapping'!$A$2:$A$267,'country region mapping'!$G$2:$G$267)</f>
        <v>#NAME?</v>
      </c>
      <c r="G1314" s="1">
        <v>4.1390000000000002</v>
      </c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</row>
    <row r="1315" spans="1:19">
      <c r="A1315" s="1">
        <v>2017</v>
      </c>
      <c r="B1315" s="1">
        <v>138</v>
      </c>
      <c r="C1315" s="1" t="s">
        <v>195</v>
      </c>
      <c r="D1315" s="1" t="e">
        <f t="array" aca="1" ref="D1315" ca="1">_xludf.XLOOKUP(C1315,'country region mapping'!$A$2:$A$250, 'country region mapping'!$E$2:$E$250)</f>
        <v>#NAME?</v>
      </c>
      <c r="E1315" s="1" t="e">
        <f t="array" aca="1" ref="E1315" ca="1">_xludf.XLOOKUP(C1315,'country region mapping'!$A$2:$A$267,'country region mapping'!$F$2:$F$267)</f>
        <v>#NAME?</v>
      </c>
      <c r="F1315" s="1" t="e">
        <f t="array" aca="1" ref="F1315" ca="1">_xludf.XLOOKUP(C1315,'country region mapping'!$A$2:$A$267,'country region mapping'!$G$2:$G$267)</f>
        <v>#NAME?</v>
      </c>
      <c r="G1315" s="1">
        <v>4.1029999999999998</v>
      </c>
      <c r="H1315" s="1">
        <v>79</v>
      </c>
      <c r="I1315" s="1">
        <v>62</v>
      </c>
      <c r="J1315" s="1">
        <v>69</v>
      </c>
      <c r="K1315" s="1">
        <v>85</v>
      </c>
      <c r="L1315" s="1">
        <v>133</v>
      </c>
      <c r="M1315" s="1">
        <v>59</v>
      </c>
      <c r="N1315" s="1">
        <v>136</v>
      </c>
      <c r="O1315" s="1">
        <v>125</v>
      </c>
      <c r="P1315" s="1">
        <v>48</v>
      </c>
      <c r="Q1315" s="1">
        <v>59</v>
      </c>
      <c r="R1315" s="1">
        <v>103</v>
      </c>
      <c r="S1315" s="1">
        <v>109</v>
      </c>
    </row>
    <row r="1316" spans="1:19">
      <c r="A1316" s="1">
        <v>2017</v>
      </c>
      <c r="B1316" s="1">
        <v>139</v>
      </c>
      <c r="C1316" s="1" t="s">
        <v>247</v>
      </c>
      <c r="D1316" s="1" t="e">
        <f t="array" aca="1" ref="D1316" ca="1">_xludf.XLOOKUP(C1316,'country region mapping'!$A$2:$A$250, 'country region mapping'!$E$2:$E$250)</f>
        <v>#NAME?</v>
      </c>
      <c r="E1316" s="1" t="e">
        <f t="array" aca="1" ref="E1316" ca="1">_xludf.XLOOKUP(C1316,'country region mapping'!$A$2:$A$267,'country region mapping'!$F$2:$F$267)</f>
        <v>#NAME?</v>
      </c>
      <c r="F1316" s="1" t="e">
        <f t="array" aca="1" ref="F1316" ca="1">_xludf.XLOOKUP(C1316,'country region mapping'!$A$2:$A$267,'country region mapping'!$G$2:$G$267)</f>
        <v>#NAME?</v>
      </c>
      <c r="G1316" s="1">
        <v>3.9990000000000001</v>
      </c>
      <c r="H1316" s="1">
        <v>103</v>
      </c>
      <c r="I1316" s="1">
        <v>143</v>
      </c>
      <c r="J1316" s="1">
        <v>132</v>
      </c>
      <c r="K1316" s="1">
        <v>121</v>
      </c>
      <c r="L1316" s="1">
        <v>107</v>
      </c>
      <c r="M1316" s="1">
        <v>128</v>
      </c>
      <c r="N1316" s="1">
        <v>45</v>
      </c>
      <c r="O1316" s="1">
        <v>93</v>
      </c>
      <c r="P1316" s="1">
        <v>135</v>
      </c>
      <c r="Q1316" s="1">
        <v>128</v>
      </c>
      <c r="R1316" s="1">
        <v>106</v>
      </c>
      <c r="S1316" s="1">
        <v>98</v>
      </c>
    </row>
    <row r="1317" spans="1:19">
      <c r="A1317" s="1">
        <v>2017</v>
      </c>
      <c r="B1317" s="1">
        <v>140</v>
      </c>
      <c r="C1317" s="1" t="s">
        <v>240</v>
      </c>
      <c r="D1317" s="1" t="e">
        <f t="array" aca="1" ref="D1317" ca="1">_xludf.XLOOKUP(C1317,'country region mapping'!$A$2:$A$250, 'country region mapping'!$E$2:$E$250)</f>
        <v>#NAME?</v>
      </c>
      <c r="E1317" s="1" t="e">
        <f t="array" aca="1" ref="E1317" ca="1">_xludf.XLOOKUP(C1317,'country region mapping'!$A$2:$A$267,'country region mapping'!$F$2:$F$267)</f>
        <v>#NAME?</v>
      </c>
      <c r="F1317" s="1" t="e">
        <f t="array" aca="1" ref="F1317" ca="1">_xludf.XLOOKUP(C1317,'country region mapping'!$A$2:$A$267,'country region mapping'!$G$2:$G$267)</f>
        <v>#NAME?</v>
      </c>
      <c r="G1317" s="1">
        <v>3.964</v>
      </c>
      <c r="H1317" s="1">
        <v>143</v>
      </c>
      <c r="I1317" s="1">
        <v>135</v>
      </c>
      <c r="J1317" s="1">
        <v>123</v>
      </c>
      <c r="K1317" s="1">
        <v>132</v>
      </c>
      <c r="L1317" s="1">
        <v>98</v>
      </c>
      <c r="M1317" s="1">
        <v>83</v>
      </c>
      <c r="N1317" s="1">
        <v>54</v>
      </c>
      <c r="O1317" s="1">
        <v>55</v>
      </c>
      <c r="P1317" s="1">
        <v>134</v>
      </c>
      <c r="Q1317" s="1">
        <v>83</v>
      </c>
      <c r="R1317" s="1">
        <v>53</v>
      </c>
      <c r="S1317" s="1">
        <v>67</v>
      </c>
    </row>
    <row r="1318" spans="1:19">
      <c r="A1318" s="1">
        <v>2017</v>
      </c>
      <c r="B1318" s="1">
        <v>141</v>
      </c>
      <c r="C1318" s="1" t="s">
        <v>321</v>
      </c>
      <c r="D1318" s="1" t="e">
        <f t="array" aca="1" ref="D1318" ca="1">_xludf.XLOOKUP(C1318,'country region mapping'!$A$2:$A$250, 'country region mapping'!$E$2:$E$250)</f>
        <v>#NAME?</v>
      </c>
      <c r="E1318" s="1" t="e">
        <f t="array" aca="1" ref="E1318" ca="1">_xludf.XLOOKUP(C1318,'country region mapping'!$A$2:$A$267,'country region mapping'!$F$2:$F$267)</f>
        <v>#NAME?</v>
      </c>
      <c r="F1318" s="1" t="e">
        <f t="array" aca="1" ref="F1318" ca="1">_xludf.XLOOKUP(C1318,'country region mapping'!$A$2:$A$267,'country region mapping'!$G$2:$G$267)</f>
        <v>#NAME?</v>
      </c>
      <c r="G1318" s="1">
        <v>3.8079999999999998</v>
      </c>
      <c r="H1318" s="1">
        <v>135</v>
      </c>
      <c r="I1318" s="1">
        <v>100</v>
      </c>
      <c r="J1318" s="1">
        <v>128</v>
      </c>
      <c r="K1318" s="1">
        <v>141</v>
      </c>
      <c r="L1318" s="1">
        <v>90</v>
      </c>
      <c r="M1318" s="1">
        <v>144</v>
      </c>
      <c r="N1318" s="1">
        <v>76</v>
      </c>
      <c r="O1318" s="1">
        <v>53</v>
      </c>
      <c r="P1318" s="1">
        <v>58</v>
      </c>
      <c r="Q1318" s="1">
        <v>144</v>
      </c>
      <c r="R1318" s="1">
        <v>69</v>
      </c>
      <c r="S1318" s="1">
        <v>41</v>
      </c>
    </row>
    <row r="1319" spans="1:19">
      <c r="A1319" s="1">
        <v>2017</v>
      </c>
      <c r="B1319" s="1">
        <v>142</v>
      </c>
      <c r="C1319" s="1" t="s">
        <v>222</v>
      </c>
      <c r="D1319" s="1" t="e">
        <f t="array" aca="1" ref="D1319" ca="1">_xludf.XLOOKUP(C1319,'country region mapping'!$A$2:$A$250, 'country region mapping'!$E$2:$E$250)</f>
        <v>#NAME?</v>
      </c>
      <c r="E1319" s="1" t="e">
        <f t="array" aca="1" ref="E1319" ca="1">_xludf.XLOOKUP(C1319,'country region mapping'!$A$2:$A$267,'country region mapping'!$F$2:$F$267)</f>
        <v>#NAME?</v>
      </c>
      <c r="F1319" s="1" t="e">
        <f t="array" aca="1" ref="F1319" ca="1">_xludf.XLOOKUP(C1319,'country region mapping'!$A$2:$A$267,'country region mapping'!$G$2:$G$267)</f>
        <v>#NAME?</v>
      </c>
      <c r="G1319" s="1">
        <v>3.7949999999999999</v>
      </c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</row>
    <row r="1320" spans="1:19">
      <c r="A1320" s="1">
        <v>2017</v>
      </c>
      <c r="B1320" s="1">
        <v>143</v>
      </c>
      <c r="C1320" s="1" t="s">
        <v>235</v>
      </c>
      <c r="D1320" s="1" t="e">
        <f t="array" aca="1" ref="D1320" ca="1">_xludf.XLOOKUP(C1320,'country region mapping'!$A$2:$A$250, 'country region mapping'!$E$2:$E$250)</f>
        <v>#NAME?</v>
      </c>
      <c r="E1320" s="1" t="e">
        <f t="array" aca="1" ref="E1320" ca="1">_xludf.XLOOKUP(C1320,'country region mapping'!$A$2:$A$267,'country region mapping'!$F$2:$F$267)</f>
        <v>#NAME?</v>
      </c>
      <c r="F1320" s="1" t="e">
        <f t="array" aca="1" ref="F1320" ca="1">_xludf.XLOOKUP(C1320,'country region mapping'!$A$2:$A$267,'country region mapping'!$G$2:$G$267)</f>
        <v>#NAME?</v>
      </c>
      <c r="G1320" s="1">
        <v>3.774</v>
      </c>
      <c r="H1320" s="1">
        <v>88</v>
      </c>
      <c r="I1320" s="1">
        <v>136</v>
      </c>
      <c r="J1320" s="1">
        <v>138</v>
      </c>
      <c r="K1320" s="1">
        <v>116</v>
      </c>
      <c r="L1320" s="1">
        <v>136</v>
      </c>
      <c r="M1320" s="1">
        <v>124</v>
      </c>
      <c r="N1320" s="1">
        <v>99</v>
      </c>
      <c r="O1320" s="1">
        <v>56</v>
      </c>
      <c r="P1320" s="1">
        <v>118</v>
      </c>
      <c r="Q1320" s="1">
        <v>124</v>
      </c>
      <c r="R1320" s="1">
        <v>33</v>
      </c>
      <c r="S1320" s="1">
        <v>121</v>
      </c>
    </row>
    <row r="1321" spans="1:19">
      <c r="A1321" s="1">
        <v>2017</v>
      </c>
      <c r="B1321" s="1">
        <v>144</v>
      </c>
      <c r="C1321" s="1" t="s">
        <v>208</v>
      </c>
      <c r="D1321" s="1" t="e">
        <f t="array" aca="1" ref="D1321" ca="1">_xludf.XLOOKUP(C1321,'country region mapping'!$A$2:$A$250, 'country region mapping'!$E$2:$E$250)</f>
        <v>#NAME?</v>
      </c>
      <c r="E1321" s="1" t="e">
        <f t="array" aca="1" ref="E1321" ca="1">_xludf.XLOOKUP(C1321,'country region mapping'!$A$2:$A$267,'country region mapping'!$F$2:$F$267)</f>
        <v>#NAME?</v>
      </c>
      <c r="F1321" s="1" t="e">
        <f t="array" aca="1" ref="F1321" ca="1">_xludf.XLOOKUP(C1321,'country region mapping'!$A$2:$A$267,'country region mapping'!$G$2:$G$267)</f>
        <v>#NAME?</v>
      </c>
      <c r="G1321" s="1">
        <v>3.6920000000000002</v>
      </c>
      <c r="H1321" s="1">
        <v>120</v>
      </c>
      <c r="I1321" s="1">
        <v>103</v>
      </c>
      <c r="J1321" s="1">
        <v>122</v>
      </c>
      <c r="K1321" s="1">
        <v>136</v>
      </c>
      <c r="L1321" s="1">
        <v>93</v>
      </c>
      <c r="M1321" s="1">
        <v>130</v>
      </c>
      <c r="N1321" s="1">
        <v>55</v>
      </c>
      <c r="O1321" s="1">
        <v>35</v>
      </c>
      <c r="P1321" s="1">
        <v>37</v>
      </c>
      <c r="Q1321" s="1">
        <v>130</v>
      </c>
      <c r="R1321" s="1">
        <v>78</v>
      </c>
      <c r="S1321" s="1">
        <v>33</v>
      </c>
    </row>
    <row r="1322" spans="1:19">
      <c r="A1322" s="1">
        <v>2017</v>
      </c>
      <c r="B1322" s="1">
        <v>145</v>
      </c>
      <c r="C1322" s="1" t="s">
        <v>245</v>
      </c>
      <c r="D1322" s="1" t="e">
        <f t="array" aca="1" ref="D1322" ca="1">_xludf.XLOOKUP(C1322,'country region mapping'!$A$2:$A$250, 'country region mapping'!$E$2:$E$250)</f>
        <v>#NAME?</v>
      </c>
      <c r="E1322" s="1" t="e">
        <f t="array" aca="1" ref="E1322" ca="1">_xludf.XLOOKUP(C1322,'country region mapping'!$A$2:$A$267,'country region mapping'!$F$2:$F$267)</f>
        <v>#NAME?</v>
      </c>
      <c r="F1322" s="1" t="e">
        <f t="array" aca="1" ref="F1322" ca="1">_xludf.XLOOKUP(C1322,'country region mapping'!$A$2:$A$267,'country region mapping'!$G$2:$G$267)</f>
        <v>#NAME?</v>
      </c>
      <c r="G1322" s="1">
        <v>3.6320000000000001</v>
      </c>
      <c r="H1322" s="1">
        <v>7</v>
      </c>
      <c r="I1322" s="1">
        <v>144</v>
      </c>
      <c r="J1322" s="1">
        <v>127</v>
      </c>
      <c r="K1322" s="1">
        <v>134</v>
      </c>
      <c r="L1322" s="1">
        <v>146</v>
      </c>
      <c r="M1322" s="1">
        <v>143</v>
      </c>
      <c r="N1322" s="1">
        <v>137</v>
      </c>
      <c r="O1322" s="1">
        <v>143</v>
      </c>
      <c r="P1322" s="1">
        <v>117</v>
      </c>
      <c r="Q1322" s="1">
        <v>143</v>
      </c>
      <c r="R1322" s="1">
        <v>120</v>
      </c>
      <c r="S1322" s="1">
        <v>112</v>
      </c>
    </row>
    <row r="1323" spans="1:19">
      <c r="A1323" s="1">
        <v>2017</v>
      </c>
      <c r="B1323" s="1">
        <v>146</v>
      </c>
      <c r="C1323" s="1" t="s">
        <v>218</v>
      </c>
      <c r="D1323" s="1" t="e">
        <f t="array" aca="1" ref="D1323" ca="1">_xludf.XLOOKUP(C1323,'country region mapping'!$A$2:$A$250, 'country region mapping'!$E$2:$E$250)</f>
        <v>#NAME?</v>
      </c>
      <c r="E1323" s="1" t="e">
        <f t="array" aca="1" ref="E1323" ca="1">_xludf.XLOOKUP(C1323,'country region mapping'!$A$2:$A$267,'country region mapping'!$F$2:$F$267)</f>
        <v>#NAME?</v>
      </c>
      <c r="F1323" s="1" t="e">
        <f t="array" aca="1" ref="F1323" ca="1">_xludf.XLOOKUP(C1323,'country region mapping'!$A$2:$A$267,'country region mapping'!$G$2:$G$267)</f>
        <v>#NAME?</v>
      </c>
      <c r="G1323" s="1">
        <v>3.59</v>
      </c>
      <c r="H1323" s="1">
        <v>122</v>
      </c>
      <c r="I1323" s="1">
        <v>101</v>
      </c>
      <c r="J1323" s="1">
        <v>66</v>
      </c>
      <c r="K1323" s="1">
        <v>118</v>
      </c>
      <c r="L1323" s="1">
        <v>70</v>
      </c>
      <c r="M1323" s="1">
        <v>138</v>
      </c>
      <c r="N1323" s="1">
        <v>48</v>
      </c>
      <c r="O1323" s="1">
        <v>95</v>
      </c>
      <c r="P1323" s="1">
        <v>69</v>
      </c>
      <c r="Q1323" s="1">
        <v>138</v>
      </c>
      <c r="R1323" s="1">
        <v>91</v>
      </c>
      <c r="S1323" s="1">
        <v>38</v>
      </c>
    </row>
    <row r="1324" spans="1:19">
      <c r="A1324" s="1">
        <v>2017</v>
      </c>
      <c r="B1324" s="1">
        <v>147</v>
      </c>
      <c r="C1324" s="1" t="s">
        <v>210</v>
      </c>
      <c r="D1324" s="1" t="e">
        <f t="array" aca="1" ref="D1324" ca="1">_xludf.XLOOKUP(C1324,'country region mapping'!$A$2:$A$250, 'country region mapping'!$E$2:$E$250)</f>
        <v>#NAME?</v>
      </c>
      <c r="E1324" s="1" t="e">
        <f t="array" aca="1" ref="E1324" ca="1">_xludf.XLOOKUP(C1324,'country region mapping'!$A$2:$A$267,'country region mapping'!$F$2:$F$267)</f>
        <v>#NAME?</v>
      </c>
      <c r="F1324" s="1" t="e">
        <f t="array" aca="1" ref="F1324" ca="1">_xludf.XLOOKUP(C1324,'country region mapping'!$A$2:$A$267,'country region mapping'!$G$2:$G$267)</f>
        <v>#NAME?</v>
      </c>
      <c r="G1324" s="1">
        <v>3.5870000000000002</v>
      </c>
      <c r="H1324" s="1">
        <v>131</v>
      </c>
      <c r="I1324" s="1">
        <v>141</v>
      </c>
      <c r="J1324" s="1">
        <v>140</v>
      </c>
      <c r="K1324" s="1">
        <v>120</v>
      </c>
      <c r="L1324" s="1">
        <v>53</v>
      </c>
      <c r="M1324" s="1">
        <v>110</v>
      </c>
      <c r="N1324" s="1">
        <v>50</v>
      </c>
      <c r="O1324" s="1">
        <v>101</v>
      </c>
      <c r="P1324" s="1">
        <v>96</v>
      </c>
      <c r="Q1324" s="1">
        <v>110</v>
      </c>
      <c r="R1324" s="1">
        <v>48</v>
      </c>
      <c r="S1324" s="1">
        <v>22</v>
      </c>
    </row>
    <row r="1325" spans="1:19">
      <c r="A1325" s="1">
        <v>2017</v>
      </c>
      <c r="B1325" s="1">
        <v>148</v>
      </c>
      <c r="C1325" s="1" t="s">
        <v>216</v>
      </c>
      <c r="D1325" s="1" t="e">
        <f t="array" aca="1" ref="D1325" ca="1">_xludf.XLOOKUP(C1325,'country region mapping'!$A$2:$A$250, 'country region mapping'!$E$2:$E$250)</f>
        <v>#NAME?</v>
      </c>
      <c r="E1325" s="1" t="e">
        <f t="array" aca="1" ref="E1325" ca="1">_xludf.XLOOKUP(C1325,'country region mapping'!$A$2:$A$267,'country region mapping'!$F$2:$F$267)</f>
        <v>#NAME?</v>
      </c>
      <c r="F1325" s="1" t="e">
        <f t="array" aca="1" ref="F1325" ca="1">_xludf.XLOOKUP(C1325,'country region mapping'!$A$2:$A$267,'country region mapping'!$G$2:$G$267)</f>
        <v>#NAME?</v>
      </c>
      <c r="G1325" s="1">
        <v>3.5819999999999999</v>
      </c>
      <c r="H1325" s="1">
        <v>63</v>
      </c>
      <c r="I1325" s="1">
        <v>131</v>
      </c>
      <c r="J1325" s="1">
        <v>121</v>
      </c>
      <c r="K1325" s="1">
        <v>123</v>
      </c>
      <c r="L1325" s="1">
        <v>141</v>
      </c>
      <c r="M1325" s="1">
        <v>20</v>
      </c>
      <c r="N1325" s="1">
        <v>28</v>
      </c>
      <c r="O1325" s="1">
        <v>110</v>
      </c>
      <c r="P1325" s="1">
        <v>102</v>
      </c>
      <c r="Q1325" s="1">
        <v>20</v>
      </c>
      <c r="R1325" s="1">
        <v>32</v>
      </c>
      <c r="S1325" s="1">
        <v>31</v>
      </c>
    </row>
    <row r="1326" spans="1:19">
      <c r="A1326" s="1">
        <v>2017</v>
      </c>
      <c r="B1326" s="1">
        <v>149</v>
      </c>
      <c r="C1326" s="1" t="s">
        <v>238</v>
      </c>
      <c r="D1326" s="1" t="e">
        <f t="array" aca="1" ref="D1326" ca="1">_xludf.XLOOKUP(C1326,'country region mapping'!$A$2:$A$250, 'country region mapping'!$E$2:$E$250)</f>
        <v>#NAME?</v>
      </c>
      <c r="E1326" s="1" t="e">
        <f t="array" aca="1" ref="E1326" ca="1">_xludf.XLOOKUP(C1326,'country region mapping'!$A$2:$A$267,'country region mapping'!$F$2:$F$267)</f>
        <v>#NAME?</v>
      </c>
      <c r="F1326" s="1" t="e">
        <f t="array" aca="1" ref="F1326" ca="1">_xludf.XLOOKUP(C1326,'country region mapping'!$A$2:$A$267,'country region mapping'!$G$2:$G$267)</f>
        <v>#NAME?</v>
      </c>
      <c r="G1326" s="1">
        <v>3.4950000000000001</v>
      </c>
      <c r="H1326" s="1">
        <v>147</v>
      </c>
      <c r="I1326" s="1">
        <v>122</v>
      </c>
      <c r="J1326" s="1">
        <v>139</v>
      </c>
      <c r="K1326" s="1">
        <v>128</v>
      </c>
      <c r="L1326" s="1">
        <v>99</v>
      </c>
      <c r="M1326" s="1">
        <v>113</v>
      </c>
      <c r="N1326" s="1">
        <v>113</v>
      </c>
      <c r="O1326" s="1">
        <v>68</v>
      </c>
      <c r="P1326" s="1">
        <v>125</v>
      </c>
      <c r="Q1326" s="1">
        <v>113</v>
      </c>
      <c r="R1326" s="1">
        <v>2</v>
      </c>
      <c r="S1326" s="1">
        <v>4</v>
      </c>
    </row>
    <row r="1327" spans="1:19">
      <c r="A1327" s="1">
        <v>2017</v>
      </c>
      <c r="B1327" s="1">
        <v>150</v>
      </c>
      <c r="C1327" s="1" t="s">
        <v>248</v>
      </c>
      <c r="D1327" s="1" t="e">
        <f t="array" aca="1" ref="D1327" ca="1">_xludf.XLOOKUP(C1327,'country region mapping'!$A$2:$A$267,'country region mapping'!$E$2:$E$267)</f>
        <v>#NAME?</v>
      </c>
      <c r="E1327" s="1" t="e">
        <f t="array" aca="1" ref="E1327" ca="1">_xludf.XLOOKUP(C1327,'country region mapping'!$A$2:$A$267,'country region mapping'!$F$2:$F$267)</f>
        <v>#NAME?</v>
      </c>
      <c r="F1327" s="1" t="e">
        <f t="array" aca="1" ref="F1327" ca="1">_xludf.XLOOKUP(C1327,'country region mapping'!$A$2:$A$267,'country region mapping'!$G$2:$G$267)</f>
        <v>#NAME?</v>
      </c>
      <c r="G1327" s="1">
        <v>3.4620000000000002</v>
      </c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</row>
    <row r="1328" spans="1:19">
      <c r="A1328" s="1">
        <v>2017</v>
      </c>
      <c r="B1328" s="1">
        <v>151</v>
      </c>
      <c r="C1328" s="1" t="s">
        <v>242</v>
      </c>
      <c r="D1328" s="1" t="e">
        <f t="array" aca="1" ref="D1328" ca="1">_xludf.XLOOKUP(C1328,'country region mapping'!$A$2:$A$250, 'country region mapping'!$E$2:$E$250)</f>
        <v>#NAME?</v>
      </c>
      <c r="E1328" s="1" t="e">
        <f t="array" aca="1" ref="E1328" ca="1">_xludf.XLOOKUP(C1328,'country region mapping'!$A$2:$A$267,'country region mapping'!$F$2:$F$267)</f>
        <v>#NAME?</v>
      </c>
      <c r="F1328" s="1" t="e">
        <f t="array" aca="1" ref="F1328" ca="1">_xludf.XLOOKUP(C1328,'country region mapping'!$A$2:$A$267,'country region mapping'!$G$2:$G$267)</f>
        <v>#NAME?</v>
      </c>
      <c r="G1328" s="1">
        <v>3.4079999999999999</v>
      </c>
      <c r="H1328" s="1">
        <v>60</v>
      </c>
      <c r="I1328" s="1">
        <v>142</v>
      </c>
      <c r="J1328" s="1">
        <v>134</v>
      </c>
      <c r="K1328" s="1">
        <v>107</v>
      </c>
      <c r="L1328" s="1">
        <v>23</v>
      </c>
      <c r="M1328" s="1">
        <v>84</v>
      </c>
      <c r="N1328" s="1">
        <v>4</v>
      </c>
      <c r="O1328" s="1">
        <v>41</v>
      </c>
      <c r="P1328" s="1">
        <v>115</v>
      </c>
      <c r="Q1328" s="1">
        <v>84</v>
      </c>
      <c r="R1328" s="1">
        <v>80</v>
      </c>
      <c r="S1328" s="1">
        <v>119</v>
      </c>
    </row>
    <row r="1329" spans="1:19">
      <c r="A1329" s="1">
        <v>2017</v>
      </c>
      <c r="B1329" s="1">
        <v>152</v>
      </c>
      <c r="C1329" s="1" t="s">
        <v>233</v>
      </c>
      <c r="D1329" s="1" t="e">
        <f t="array" aca="1" ref="D1329" ca="1">_xludf.XLOOKUP(C1329,'country region mapping'!$A$2:$A$250, 'country region mapping'!$E$2:$E$250)</f>
        <v>#NAME?</v>
      </c>
      <c r="E1329" s="1" t="e">
        <f t="array" aca="1" ref="E1329" ca="1">_xludf.XLOOKUP(C1329,'country region mapping'!$A$2:$A$267,'country region mapping'!$F$2:$F$267)</f>
        <v>#NAME?</v>
      </c>
      <c r="F1329" s="1" t="e">
        <f t="array" aca="1" ref="F1329" ca="1">_xludf.XLOOKUP(C1329,'country region mapping'!$A$2:$A$267,'country region mapping'!$G$2:$G$267)</f>
        <v>#NAME?</v>
      </c>
      <c r="G1329" s="1">
        <v>3.355</v>
      </c>
      <c r="H1329" s="1">
        <v>66</v>
      </c>
      <c r="I1329" s="1">
        <v>91</v>
      </c>
      <c r="J1329" s="1">
        <v>142</v>
      </c>
      <c r="K1329" s="1">
        <v>108</v>
      </c>
      <c r="L1329" s="1">
        <v>134</v>
      </c>
      <c r="M1329" s="1">
        <v>146</v>
      </c>
      <c r="O1329" s="14">
        <v>145</v>
      </c>
      <c r="P1329" s="14">
        <v>83</v>
      </c>
      <c r="Q1329" s="14">
        <v>146</v>
      </c>
      <c r="R1329" s="14">
        <v>140</v>
      </c>
      <c r="S1329" s="14">
        <v>128</v>
      </c>
    </row>
    <row r="1330" spans="1:19">
      <c r="A1330" s="1">
        <v>2017</v>
      </c>
      <c r="B1330" s="1">
        <v>153</v>
      </c>
      <c r="C1330" s="1" t="s">
        <v>236</v>
      </c>
      <c r="D1330" s="1" t="e">
        <f t="array" aca="1" ref="D1330" ca="1">_xludf.XLOOKUP(C1330,'country region mapping'!$A$2:$A$267,'country region mapping'!$E$2:$E$267)</f>
        <v>#NAME?</v>
      </c>
      <c r="E1330" s="1" t="e">
        <f t="array" aca="1" ref="E1330" ca="1">_xludf.XLOOKUP(C1330,'country region mapping'!$A$2:$A$267,'country region mapping'!$F$2:$F$267)</f>
        <v>#NAME?</v>
      </c>
      <c r="F1330" s="1" t="e">
        <f t="array" aca="1" ref="F1330" ca="1">_xludf.XLOOKUP(C1330,'country region mapping'!$A$2:$A$267,'country region mapping'!$G$2:$G$267)</f>
        <v>#NAME?</v>
      </c>
      <c r="G1330" s="1">
        <v>3.3029999999999999</v>
      </c>
      <c r="H1330" s="1">
        <v>126</v>
      </c>
      <c r="I1330" s="1">
        <v>116</v>
      </c>
      <c r="J1330" s="1">
        <v>124</v>
      </c>
      <c r="K1330" s="1">
        <v>109</v>
      </c>
      <c r="L1330" s="1">
        <v>77</v>
      </c>
      <c r="M1330" s="1">
        <v>58</v>
      </c>
      <c r="N1330" s="1">
        <v>30</v>
      </c>
      <c r="O1330" s="1">
        <v>76</v>
      </c>
      <c r="P1330" s="1">
        <v>59</v>
      </c>
      <c r="Q1330" s="1">
        <v>58</v>
      </c>
      <c r="R1330" s="1">
        <v>132</v>
      </c>
      <c r="S1330" s="1">
        <v>95</v>
      </c>
    </row>
    <row r="1331" spans="1:19">
      <c r="A1331" s="1">
        <v>2017</v>
      </c>
      <c r="B1331" s="1">
        <v>154</v>
      </c>
      <c r="C1331" s="1" t="s">
        <v>226</v>
      </c>
      <c r="D1331" s="1" t="e">
        <f t="array" aca="1" ref="D1331" ca="1">_xludf.XLOOKUP(C1331,'country region mapping'!$A$2:$A$250, 'country region mapping'!$E$2:$E$250)</f>
        <v>#NAME?</v>
      </c>
      <c r="E1331" s="1" t="e">
        <f t="array" aca="1" ref="E1331" ca="1">_xludf.XLOOKUP(C1331,'country region mapping'!$A$2:$A$267,'country region mapping'!$F$2:$F$267)</f>
        <v>#NAME?</v>
      </c>
      <c r="F1331" s="1" t="e">
        <f t="array" aca="1" ref="F1331" ca="1">_xludf.XLOOKUP(C1331,'country region mapping'!$A$2:$A$267,'country region mapping'!$G$2:$G$267)</f>
        <v>#NAME?</v>
      </c>
      <c r="G1331" s="1">
        <v>3.254</v>
      </c>
      <c r="H1331" s="1">
        <v>129</v>
      </c>
      <c r="I1331" s="1">
        <v>140</v>
      </c>
      <c r="K1331" s="1">
        <v>138</v>
      </c>
      <c r="L1331" s="1">
        <v>143</v>
      </c>
      <c r="M1331" s="1">
        <v>60</v>
      </c>
      <c r="N1331" s="14">
        <v>61</v>
      </c>
      <c r="O1331" s="14">
        <v>112</v>
      </c>
      <c r="P1331" s="14">
        <v>143</v>
      </c>
      <c r="Q1331" s="14">
        <v>60</v>
      </c>
      <c r="R1331" s="14">
        <v>35</v>
      </c>
      <c r="S1331" s="14">
        <v>35</v>
      </c>
    </row>
    <row r="1332" spans="1:19">
      <c r="A1332" s="1">
        <v>2017</v>
      </c>
      <c r="B1332" s="1">
        <v>155</v>
      </c>
      <c r="C1332" s="1" t="s">
        <v>332</v>
      </c>
      <c r="D1332" s="1" t="e">
        <f t="array" aca="1" ref="D1332" ca="1">_xludf.XLOOKUP(C1332,'country region mapping'!$A$2:$A$250, 'country region mapping'!$E$2:$E$250)</f>
        <v>#NAME?</v>
      </c>
      <c r="E1332" s="1" t="e">
        <f t="array" aca="1" ref="E1332" ca="1">_xludf.XLOOKUP(C1332,'country region mapping'!$A$2:$A$267,'country region mapping'!$F$2:$F$267)</f>
        <v>#NAME?</v>
      </c>
      <c r="F1332" s="1" t="e">
        <f t="array" aca="1" ref="F1332" ca="1">_xludf.XLOOKUP(C1332,'country region mapping'!$A$2:$A$267,'country region mapping'!$G$2:$G$267)</f>
        <v>#NAME?</v>
      </c>
      <c r="G1332" s="1">
        <v>3.0830000000000002</v>
      </c>
      <c r="H1332" s="1">
        <v>133</v>
      </c>
      <c r="I1332" s="1">
        <v>146</v>
      </c>
      <c r="J1332" s="1">
        <v>145</v>
      </c>
      <c r="K1332" s="1">
        <v>140</v>
      </c>
      <c r="L1332" s="1">
        <v>121</v>
      </c>
      <c r="M1332" s="1">
        <v>97</v>
      </c>
      <c r="N1332" s="1">
        <v>124</v>
      </c>
      <c r="O1332" s="1">
        <v>98</v>
      </c>
      <c r="P1332" s="1">
        <v>146</v>
      </c>
      <c r="Q1332" s="1">
        <v>97</v>
      </c>
      <c r="R1332" s="1">
        <v>43</v>
      </c>
      <c r="S1332" s="1">
        <v>66</v>
      </c>
    </row>
    <row r="1333" spans="1:19">
      <c r="A1333" s="1">
        <v>2017</v>
      </c>
      <c r="B1333" s="1">
        <v>156</v>
      </c>
      <c r="C1333" s="1" t="s">
        <v>250</v>
      </c>
      <c r="D1333" s="1" t="e">
        <f t="array" aca="1" ref="D1333" ca="1">_xludf.XLOOKUP(C1333,'country region mapping'!$A$2:$A$250, 'country region mapping'!$E$2:$E$250)</f>
        <v>#NAME?</v>
      </c>
      <c r="E1333" s="1" t="e">
        <f t="array" aca="1" ref="E1333" ca="1">_xludf.XLOOKUP(C1333,'country region mapping'!$A$2:$A$267,'country region mapping'!$F$2:$F$267)</f>
        <v>#NAME?</v>
      </c>
      <c r="F1333" s="1" t="e">
        <f t="array" aca="1" ref="F1333" ca="1">_xludf.XLOOKUP(C1333,'country region mapping'!$A$2:$A$267,'country region mapping'!$G$2:$G$267)</f>
        <v>#NAME?</v>
      </c>
      <c r="G1333" s="1">
        <v>2.9049999999999998</v>
      </c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</row>
    <row r="1334" spans="1:19">
      <c r="A1334" s="1">
        <v>2016</v>
      </c>
      <c r="B1334" s="1">
        <v>1</v>
      </c>
      <c r="C1334" s="1" t="s">
        <v>35</v>
      </c>
      <c r="D1334" s="1" t="e">
        <f t="array" aca="1" ref="D1334" ca="1">_xludf.XLOOKUP(C1334,'country region mapping'!$A$2:$A$250, 'country region mapping'!$E$2:$E$250)</f>
        <v>#NAME?</v>
      </c>
      <c r="E1334" s="1" t="e">
        <f t="array" aca="1" ref="E1334" ca="1">_xludf.XLOOKUP(C1334,'country region mapping'!$A$2:$A$267,'country region mapping'!$F$2:$F$267)</f>
        <v>#NAME?</v>
      </c>
      <c r="F1334" s="1" t="e">
        <f t="array" aca="1" ref="F1334" ca="1">_xludf.XLOOKUP(C1334,'country region mapping'!$A$2:$A$267,'country region mapping'!$G$2:$G$267)</f>
        <v>#NAME?</v>
      </c>
      <c r="G1334" s="1">
        <v>7.5369999999999999</v>
      </c>
      <c r="H1334" s="1">
        <v>9</v>
      </c>
      <c r="I1334" s="1">
        <v>2</v>
      </c>
      <c r="J1334" s="1">
        <v>3</v>
      </c>
      <c r="K1334" s="1">
        <v>12</v>
      </c>
      <c r="L1334" s="1">
        <v>3</v>
      </c>
      <c r="M1334" s="1">
        <v>17</v>
      </c>
      <c r="N1334" s="1">
        <v>13</v>
      </c>
      <c r="O1334" s="1">
        <v>6</v>
      </c>
      <c r="P1334" s="1">
        <v>30</v>
      </c>
      <c r="Q1334" s="1">
        <v>17</v>
      </c>
      <c r="R1334" s="1">
        <v>26</v>
      </c>
      <c r="S1334" s="1">
        <v>76</v>
      </c>
    </row>
    <row r="1335" spans="1:19">
      <c r="A1335" s="1">
        <v>2016</v>
      </c>
      <c r="B1335" s="1">
        <v>2</v>
      </c>
      <c r="C1335" s="1" t="s">
        <v>30</v>
      </c>
      <c r="D1335" s="1" t="e">
        <f t="array" aca="1" ref="D1335" ca="1">_xludf.XLOOKUP(C1335,'country region mapping'!$A$2:$A$250, 'country region mapping'!$E$2:$E$250)</f>
        <v>#NAME?</v>
      </c>
      <c r="E1335" s="1" t="e">
        <f t="array" aca="1" ref="E1335" ca="1">_xludf.XLOOKUP(C1335,'country region mapping'!$A$2:$A$267,'country region mapping'!$F$2:$F$267)</f>
        <v>#NAME?</v>
      </c>
      <c r="F1335" s="1" t="e">
        <f t="array" aca="1" ref="F1335" ca="1">_xludf.XLOOKUP(C1335,'country region mapping'!$A$2:$A$267,'country region mapping'!$G$2:$G$267)</f>
        <v>#NAME?</v>
      </c>
      <c r="G1335" s="1">
        <v>7.5220000000000002</v>
      </c>
      <c r="H1335" s="1">
        <v>11</v>
      </c>
      <c r="I1335" s="1">
        <v>4</v>
      </c>
      <c r="J1335" s="1">
        <v>10</v>
      </c>
      <c r="K1335" s="1">
        <v>20</v>
      </c>
      <c r="L1335" s="1">
        <v>7</v>
      </c>
      <c r="M1335" s="1">
        <v>18</v>
      </c>
      <c r="N1335" s="1">
        <v>3</v>
      </c>
      <c r="O1335" s="1">
        <v>15</v>
      </c>
      <c r="P1335" s="1">
        <v>28</v>
      </c>
      <c r="Q1335" s="1">
        <v>18</v>
      </c>
      <c r="R1335" s="1">
        <v>58</v>
      </c>
      <c r="S1335" s="1">
        <v>42</v>
      </c>
    </row>
    <row r="1336" spans="1:19">
      <c r="A1336" s="1">
        <v>2016</v>
      </c>
      <c r="B1336" s="1">
        <v>3</v>
      </c>
      <c r="C1336" s="1" t="s">
        <v>34</v>
      </c>
      <c r="D1336" s="1" t="e">
        <f t="array" aca="1" ref="D1336" ca="1">_xludf.XLOOKUP(C1336,'country region mapping'!$A$2:$A$250, 'country region mapping'!$E$2:$E$250)</f>
        <v>#NAME?</v>
      </c>
      <c r="E1336" s="1" t="e">
        <f t="array" aca="1" ref="E1336" ca="1">_xludf.XLOOKUP(C1336,'country region mapping'!$A$2:$A$267,'country region mapping'!$F$2:$F$267)</f>
        <v>#NAME?</v>
      </c>
      <c r="F1336" s="1" t="e">
        <f t="array" aca="1" ref="F1336" ca="1">_xludf.XLOOKUP(C1336,'country region mapping'!$A$2:$A$267,'country region mapping'!$G$2:$G$267)</f>
        <v>#NAME?</v>
      </c>
      <c r="G1336" s="1">
        <v>7.5039999999999996</v>
      </c>
      <c r="H1336" s="1">
        <v>8</v>
      </c>
      <c r="I1336" s="1">
        <v>1</v>
      </c>
      <c r="J1336" s="1">
        <v>11</v>
      </c>
      <c r="K1336" s="1">
        <v>9</v>
      </c>
      <c r="L1336" s="1">
        <v>4</v>
      </c>
      <c r="M1336" s="1">
        <v>4</v>
      </c>
      <c r="N1336" s="1">
        <v>35</v>
      </c>
      <c r="O1336" s="1">
        <v>7</v>
      </c>
      <c r="P1336" s="1">
        <v>9</v>
      </c>
      <c r="Q1336" s="1">
        <v>4</v>
      </c>
      <c r="R1336" s="1">
        <v>39</v>
      </c>
      <c r="S1336" s="1">
        <v>93</v>
      </c>
    </row>
    <row r="1337" spans="1:19">
      <c r="A1337" s="1">
        <v>2016</v>
      </c>
      <c r="B1337" s="1">
        <v>4</v>
      </c>
      <c r="C1337" s="1" t="s">
        <v>32</v>
      </c>
      <c r="D1337" s="1" t="e">
        <f t="array" aca="1" ref="D1337" ca="1">_xludf.XLOOKUP(C1337,'country region mapping'!$A$2:$A$250, 'country region mapping'!$E$2:$E$250)</f>
        <v>#NAME?</v>
      </c>
      <c r="E1337" s="1" t="e">
        <f t="array" aca="1" ref="E1337" ca="1">_xludf.XLOOKUP(C1337,'country region mapping'!$A$2:$A$267,'country region mapping'!$F$2:$F$267)</f>
        <v>#NAME?</v>
      </c>
      <c r="F1337" s="1" t="e">
        <f t="array" aca="1" ref="F1337" ca="1">_xludf.XLOOKUP(C1337,'country region mapping'!$A$2:$A$267,'country region mapping'!$G$2:$G$267)</f>
        <v>#NAME?</v>
      </c>
      <c r="G1337" s="1">
        <v>7.4939999999999998</v>
      </c>
      <c r="H1337" s="1">
        <v>20</v>
      </c>
      <c r="I1337" s="1">
        <v>23</v>
      </c>
      <c r="J1337" s="1">
        <v>5</v>
      </c>
      <c r="K1337" s="1">
        <v>8</v>
      </c>
      <c r="L1337" s="1">
        <v>8</v>
      </c>
      <c r="M1337" s="1">
        <v>22</v>
      </c>
      <c r="N1337" s="1">
        <v>7</v>
      </c>
      <c r="O1337" s="1">
        <v>23</v>
      </c>
      <c r="P1337" s="1">
        <v>26</v>
      </c>
      <c r="Q1337" s="1">
        <v>22</v>
      </c>
      <c r="R1337" s="1">
        <v>20</v>
      </c>
      <c r="S1337" s="1">
        <v>110</v>
      </c>
    </row>
    <row r="1338" spans="1:19">
      <c r="A1338" s="1">
        <v>2016</v>
      </c>
      <c r="B1338" s="1">
        <v>5</v>
      </c>
      <c r="C1338" s="1" t="s">
        <v>37</v>
      </c>
      <c r="D1338" s="1" t="e">
        <f t="array" aca="1" ref="D1338" ca="1">_xludf.XLOOKUP(C1338,'country region mapping'!$A$2:$A$250, 'country region mapping'!$E$2:$E$250)</f>
        <v>#NAME?</v>
      </c>
      <c r="E1338" s="1" t="e">
        <f t="array" aca="1" ref="E1338" ca="1">_xludf.XLOOKUP(C1338,'country region mapping'!$A$2:$A$267,'country region mapping'!$F$2:$F$267)</f>
        <v>#NAME?</v>
      </c>
      <c r="F1338" s="1" t="e">
        <f t="array" aca="1" ref="F1338" ca="1">_xludf.XLOOKUP(C1338,'country region mapping'!$A$2:$A$267,'country region mapping'!$G$2:$G$267)</f>
        <v>#NAME?</v>
      </c>
      <c r="G1338" s="1">
        <v>7.4690000000000003</v>
      </c>
      <c r="H1338" s="1">
        <v>5</v>
      </c>
      <c r="I1338" s="1">
        <v>6</v>
      </c>
      <c r="J1338" s="1">
        <v>20</v>
      </c>
      <c r="K1338" s="1">
        <v>21</v>
      </c>
      <c r="L1338" s="1">
        <v>6</v>
      </c>
      <c r="M1338" s="1">
        <v>36</v>
      </c>
      <c r="N1338" s="1">
        <v>5</v>
      </c>
      <c r="O1338" s="1">
        <v>21</v>
      </c>
      <c r="P1338" s="1">
        <v>13</v>
      </c>
      <c r="Q1338" s="1">
        <v>36</v>
      </c>
      <c r="R1338" s="1">
        <v>32</v>
      </c>
      <c r="S1338" s="1">
        <v>49</v>
      </c>
    </row>
    <row r="1339" spans="1:19">
      <c r="A1339" s="1">
        <v>2016</v>
      </c>
      <c r="B1339" s="1">
        <v>6</v>
      </c>
      <c r="C1339" s="1" t="s">
        <v>40</v>
      </c>
      <c r="D1339" s="1" t="e">
        <f t="array" aca="1" ref="D1339" ca="1">_xludf.XLOOKUP(C1339,'country region mapping'!$A$2:$A$267,'country region mapping'!$E$2:$E$267)</f>
        <v>#NAME?</v>
      </c>
      <c r="E1339" s="1" t="e">
        <f t="array" aca="1" ref="E1339" ca="1">_xludf.XLOOKUP(C1339,'country region mapping'!$A$2:$A$267,'country region mapping'!$F$2:$F$267)</f>
        <v>#NAME?</v>
      </c>
      <c r="F1339" s="1" t="e">
        <f t="array" aca="1" ref="F1339" ca="1">_xludf.XLOOKUP(C1339,'country region mapping'!$A$2:$A$267,'country region mapping'!$G$2:$G$267)</f>
        <v>#NAME?</v>
      </c>
      <c r="G1339" s="1">
        <v>7.3769999999999998</v>
      </c>
      <c r="H1339" s="1">
        <v>2</v>
      </c>
      <c r="I1339" s="1">
        <v>28</v>
      </c>
      <c r="J1339" s="1">
        <v>8</v>
      </c>
      <c r="K1339" s="1"/>
      <c r="L1339" s="1">
        <v>18</v>
      </c>
      <c r="M1339" s="1">
        <v>7</v>
      </c>
      <c r="N1339" s="1">
        <v>14</v>
      </c>
      <c r="O1339" s="1">
        <v>35</v>
      </c>
      <c r="P1339" s="1">
        <v>33</v>
      </c>
      <c r="Q1339" s="1">
        <v>7</v>
      </c>
      <c r="R1339" s="1">
        <v>15</v>
      </c>
      <c r="S1339" s="1">
        <v>65</v>
      </c>
    </row>
    <row r="1340" spans="1:19">
      <c r="A1340" s="1">
        <v>2016</v>
      </c>
      <c r="B1340" s="1">
        <v>7</v>
      </c>
      <c r="C1340" s="1" t="s">
        <v>38</v>
      </c>
      <c r="D1340" s="1" t="e">
        <f t="array" aca="1" ref="D1340" ca="1">_xludf.XLOOKUP(C1340,'country region mapping'!$A$2:$A$250, 'country region mapping'!$E$2:$E$250)</f>
        <v>#NAME?</v>
      </c>
      <c r="E1340" s="1" t="e">
        <f t="array" aca="1" ref="E1340" ca="1">_xludf.XLOOKUP(C1340,'country region mapping'!$A$2:$A$267,'country region mapping'!$F$2:$F$267)</f>
        <v>#NAME?</v>
      </c>
      <c r="F1340" s="1" t="e">
        <f t="array" aca="1" ref="F1340" ca="1">_xludf.XLOOKUP(C1340,'country region mapping'!$A$2:$A$267,'country region mapping'!$G$2:$G$267)</f>
        <v>#NAME?</v>
      </c>
      <c r="G1340" s="1">
        <v>7.3159999999999998</v>
      </c>
      <c r="H1340" s="1">
        <v>30</v>
      </c>
      <c r="I1340" s="1">
        <v>30</v>
      </c>
      <c r="J1340" s="1">
        <v>18</v>
      </c>
      <c r="K1340" s="1">
        <v>17</v>
      </c>
      <c r="L1340" s="1">
        <v>15</v>
      </c>
      <c r="M1340" s="1">
        <v>10</v>
      </c>
      <c r="N1340" s="1">
        <v>9</v>
      </c>
      <c r="O1340" s="1">
        <v>22</v>
      </c>
      <c r="P1340" s="1">
        <v>51</v>
      </c>
      <c r="Q1340" s="1">
        <v>10</v>
      </c>
      <c r="R1340" s="1">
        <v>16</v>
      </c>
      <c r="S1340" s="1">
        <v>18</v>
      </c>
    </row>
    <row r="1341" spans="1:19">
      <c r="A1341" s="1">
        <v>2016</v>
      </c>
      <c r="B1341" s="1">
        <v>8</v>
      </c>
      <c r="C1341" s="1" t="s">
        <v>42</v>
      </c>
      <c r="D1341" s="1" t="e">
        <f t="array" aca="1" ref="D1341" ca="1">_xludf.XLOOKUP(C1341,'country region mapping'!$A$2:$A$250, 'country region mapping'!$E$2:$E$250)</f>
        <v>#NAME?</v>
      </c>
      <c r="E1341" s="1" t="e">
        <f t="array" aca="1" ref="E1341" ca="1">_xludf.XLOOKUP(C1341,'country region mapping'!$A$2:$A$267,'country region mapping'!$F$2:$F$267)</f>
        <v>#NAME?</v>
      </c>
      <c r="F1341" s="1" t="e">
        <f t="array" aca="1" ref="F1341" ca="1">_xludf.XLOOKUP(C1341,'country region mapping'!$A$2:$A$267,'country region mapping'!$G$2:$G$267)</f>
        <v>#NAME?</v>
      </c>
      <c r="G1341" s="1">
        <v>7.3140000000000001</v>
      </c>
      <c r="H1341" s="1">
        <v>24</v>
      </c>
      <c r="I1341" s="1">
        <v>16</v>
      </c>
      <c r="J1341" s="1">
        <v>27</v>
      </c>
      <c r="K1341" s="1">
        <v>26</v>
      </c>
      <c r="L1341" s="1">
        <v>9</v>
      </c>
      <c r="M1341" s="1">
        <v>6</v>
      </c>
      <c r="N1341" s="1">
        <v>6</v>
      </c>
      <c r="O1341" s="1">
        <v>17</v>
      </c>
      <c r="P1341" s="1">
        <v>27</v>
      </c>
      <c r="Q1341" s="1">
        <v>6</v>
      </c>
      <c r="R1341" s="1">
        <v>6</v>
      </c>
      <c r="S1341" s="1">
        <v>23</v>
      </c>
    </row>
    <row r="1342" spans="1:19">
      <c r="A1342" s="1">
        <v>2016</v>
      </c>
      <c r="B1342" s="1">
        <v>10</v>
      </c>
      <c r="C1342" s="1" t="s">
        <v>45</v>
      </c>
      <c r="D1342" s="1" t="e">
        <f t="array" aca="1" ref="D1342" ca="1">_xludf.XLOOKUP(C1342,'country region mapping'!$A$2:$A$250, 'country region mapping'!$E$2:$E$250)</f>
        <v>#NAME?</v>
      </c>
      <c r="E1342" s="1" t="e">
        <f t="array" aca="1" ref="E1342" ca="1">_xludf.XLOOKUP(C1342,'country region mapping'!$A$2:$A$267,'country region mapping'!$F$2:$F$267)</f>
        <v>#NAME?</v>
      </c>
      <c r="F1342" s="1" t="e">
        <f t="array" aca="1" ref="F1342" ca="1">_xludf.XLOOKUP(C1342,'country region mapping'!$A$2:$A$267,'country region mapping'!$G$2:$G$267)</f>
        <v>#NAME?</v>
      </c>
      <c r="G1342" s="1">
        <v>7.2839999999999998</v>
      </c>
      <c r="H1342" s="1">
        <v>15</v>
      </c>
      <c r="I1342" s="1">
        <v>35</v>
      </c>
      <c r="J1342" s="1">
        <v>14</v>
      </c>
      <c r="K1342" s="1">
        <v>11</v>
      </c>
      <c r="L1342" s="1">
        <v>12</v>
      </c>
      <c r="M1342" s="1">
        <v>16</v>
      </c>
      <c r="N1342" s="1">
        <v>4</v>
      </c>
      <c r="O1342" s="1">
        <v>24</v>
      </c>
      <c r="P1342" s="1">
        <v>22</v>
      </c>
      <c r="Q1342" s="1">
        <v>16</v>
      </c>
      <c r="R1342" s="1">
        <v>97</v>
      </c>
      <c r="S1342" s="1">
        <v>58</v>
      </c>
    </row>
    <row r="1343" spans="1:19">
      <c r="A1343" s="1">
        <v>2016</v>
      </c>
      <c r="B1343" s="1">
        <v>9</v>
      </c>
      <c r="C1343" s="1" t="s">
        <v>43</v>
      </c>
      <c r="D1343" s="1" t="e">
        <f t="array" aca="1" ref="D1343" ca="1">_xludf.XLOOKUP(C1343,'country region mapping'!$A$2:$A$250, 'country region mapping'!$E$2:$E$250)</f>
        <v>#NAME?</v>
      </c>
      <c r="E1343" s="1" t="e">
        <f t="array" aca="1" ref="E1343" ca="1">_xludf.XLOOKUP(C1343,'country region mapping'!$A$2:$A$267,'country region mapping'!$F$2:$F$267)</f>
        <v>#NAME?</v>
      </c>
      <c r="F1343" s="1" t="e">
        <f t="array" aca="1" ref="F1343" ca="1">_xludf.XLOOKUP(C1343,'country region mapping'!$A$2:$A$267,'country region mapping'!$G$2:$G$267)</f>
        <v>#NAME?</v>
      </c>
      <c r="G1343" s="1">
        <v>7.2839999999999998</v>
      </c>
      <c r="H1343" s="1">
        <v>21</v>
      </c>
      <c r="I1343" s="1">
        <v>10</v>
      </c>
      <c r="J1343" s="1">
        <v>17</v>
      </c>
      <c r="K1343" s="1">
        <v>16</v>
      </c>
      <c r="L1343" s="1">
        <v>11</v>
      </c>
      <c r="M1343" s="1">
        <v>9</v>
      </c>
      <c r="N1343" s="1">
        <v>11</v>
      </c>
      <c r="O1343" s="1">
        <v>37</v>
      </c>
      <c r="P1343" s="1">
        <v>50</v>
      </c>
      <c r="Q1343" s="1">
        <v>9</v>
      </c>
      <c r="R1343" s="1">
        <v>10</v>
      </c>
      <c r="S1343" s="1">
        <v>21</v>
      </c>
    </row>
    <row r="1344" spans="1:19">
      <c r="A1344" s="1">
        <v>2016</v>
      </c>
      <c r="B1344" s="1">
        <v>11</v>
      </c>
      <c r="C1344" s="1" t="s">
        <v>47</v>
      </c>
      <c r="D1344" s="1" t="e">
        <f t="array" aca="1" ref="D1344" ca="1">_xludf.XLOOKUP(C1344,'country region mapping'!$A$2:$A$250, 'country region mapping'!$E$2:$E$250)</f>
        <v>#NAME?</v>
      </c>
      <c r="E1344" s="1" t="e">
        <f t="array" aca="1" ref="E1344" ca="1">_xludf.XLOOKUP(C1344,'country region mapping'!$A$2:$A$267,'country region mapping'!$F$2:$F$267)</f>
        <v>#NAME?</v>
      </c>
      <c r="F1344" s="1" t="e">
        <f t="array" aca="1" ref="F1344" ca="1">_xludf.XLOOKUP(C1344,'country region mapping'!$A$2:$A$267,'country region mapping'!$G$2:$G$267)</f>
        <v>#NAME?</v>
      </c>
      <c r="G1344" s="1">
        <v>7.2130000000000001</v>
      </c>
      <c r="H1344" s="1">
        <v>16</v>
      </c>
      <c r="I1344" s="1">
        <v>51</v>
      </c>
      <c r="J1344" s="1">
        <v>32</v>
      </c>
      <c r="K1344" s="1">
        <v>7</v>
      </c>
      <c r="L1344" s="1">
        <v>73</v>
      </c>
      <c r="M1344" s="1">
        <v>19</v>
      </c>
      <c r="N1344" s="1">
        <v>63</v>
      </c>
      <c r="O1344" s="1">
        <v>93</v>
      </c>
      <c r="P1344" s="1">
        <v>65</v>
      </c>
      <c r="Q1344" s="1">
        <v>19</v>
      </c>
      <c r="R1344" s="1">
        <v>44</v>
      </c>
      <c r="S1344" s="1">
        <v>94</v>
      </c>
    </row>
    <row r="1345" spans="1:19">
      <c r="A1345" s="1">
        <v>2016</v>
      </c>
      <c r="B1345" s="1">
        <v>12</v>
      </c>
      <c r="C1345" s="1" t="s">
        <v>52</v>
      </c>
      <c r="D1345" s="1" t="e">
        <f t="array" aca="1" ref="D1345" ca="1">_xludf.XLOOKUP(C1345,'country region mapping'!$A$2:$A$250, 'country region mapping'!$E$2:$E$250)</f>
        <v>#NAME?</v>
      </c>
      <c r="E1345" s="1" t="e">
        <f t="array" aca="1" ref="E1345" ca="1">_xludf.XLOOKUP(C1345,'country region mapping'!$A$2:$A$267,'country region mapping'!$F$2:$F$267)</f>
        <v>#NAME?</v>
      </c>
      <c r="F1345" s="1" t="e">
        <f t="array" aca="1" ref="F1345" ca="1">_xludf.XLOOKUP(C1345,'country region mapping'!$A$2:$A$267,'country region mapping'!$G$2:$G$267)</f>
        <v>#NAME?</v>
      </c>
      <c r="G1345" s="1">
        <v>7.0789999999999997</v>
      </c>
      <c r="H1345" s="1">
        <v>77</v>
      </c>
      <c r="I1345" s="1">
        <v>41</v>
      </c>
      <c r="J1345" s="1">
        <v>55</v>
      </c>
      <c r="K1345" s="1">
        <v>31</v>
      </c>
      <c r="L1345" s="1">
        <v>31</v>
      </c>
      <c r="M1345" s="1">
        <v>58</v>
      </c>
      <c r="N1345" s="1">
        <v>50</v>
      </c>
      <c r="O1345" s="1">
        <v>2</v>
      </c>
      <c r="P1345" s="1">
        <v>74</v>
      </c>
      <c r="Q1345" s="1">
        <v>58</v>
      </c>
      <c r="R1345" s="1">
        <v>54</v>
      </c>
      <c r="S1345" s="1">
        <v>26</v>
      </c>
    </row>
    <row r="1346" spans="1:19">
      <c r="A1346" s="1">
        <v>2016</v>
      </c>
      <c r="B1346" s="1">
        <v>13</v>
      </c>
      <c r="C1346" s="1" t="s">
        <v>49</v>
      </c>
      <c r="D1346" s="1" t="e">
        <f t="array" aca="1" ref="D1346" ca="1">_xludf.XLOOKUP(C1346,'country region mapping'!$A$2:$A$250, 'country region mapping'!$E$2:$E$250)</f>
        <v>#NAME?</v>
      </c>
      <c r="E1346" s="1" t="e">
        <f t="array" aca="1" ref="E1346" ca="1">_xludf.XLOOKUP(C1346,'country region mapping'!$A$2:$A$267,'country region mapping'!$F$2:$F$267)</f>
        <v>#NAME?</v>
      </c>
      <c r="F1346" s="1" t="e">
        <f t="array" aca="1" ref="F1346" ca="1">_xludf.XLOOKUP(C1346,'country region mapping'!$A$2:$A$267,'country region mapping'!$G$2:$G$267)</f>
        <v>#NAME?</v>
      </c>
      <c r="G1346" s="1">
        <v>7.0060000000000002</v>
      </c>
      <c r="H1346" s="1">
        <v>22</v>
      </c>
      <c r="I1346" s="1">
        <v>26</v>
      </c>
      <c r="J1346" s="1">
        <v>12</v>
      </c>
      <c r="K1346" s="1">
        <v>18</v>
      </c>
      <c r="L1346" s="1">
        <v>23</v>
      </c>
      <c r="M1346" s="1">
        <v>25</v>
      </c>
      <c r="N1346" s="1">
        <v>19</v>
      </c>
      <c r="O1346" s="1">
        <v>47</v>
      </c>
      <c r="P1346" s="1">
        <v>21</v>
      </c>
      <c r="Q1346" s="1">
        <v>25</v>
      </c>
      <c r="R1346" s="1">
        <v>33</v>
      </c>
      <c r="S1346" s="1">
        <v>64</v>
      </c>
    </row>
    <row r="1347" spans="1:19">
      <c r="A1347" s="1">
        <v>2016</v>
      </c>
      <c r="B1347" s="1">
        <v>14</v>
      </c>
      <c r="C1347" s="1" t="s">
        <v>51</v>
      </c>
      <c r="D1347" s="1" t="e">
        <f t="array" aca="1" ref="D1347" ca="1">_xludf.XLOOKUP(C1347,'country region mapping'!$A$2:$A$267,'country region mapping'!$E$2:$E$267)</f>
        <v>#NAME?</v>
      </c>
      <c r="E1347" s="1" t="e">
        <f t="array" aca="1" ref="E1347" ca="1">_xludf.XLOOKUP(C1347,'country region mapping'!$A$2:$A$267,'country region mapping'!$F$2:$F$267)</f>
        <v>#NAME?</v>
      </c>
      <c r="F1347" s="1" t="e">
        <f t="array" aca="1" ref="F1347" ca="1">_xludf.XLOOKUP(C1347,'country region mapping'!$A$2:$A$267,'country region mapping'!$G$2:$G$267)</f>
        <v>#NAME?</v>
      </c>
      <c r="G1347" s="1">
        <v>6.9930000000000003</v>
      </c>
      <c r="H1347" s="1">
        <v>57</v>
      </c>
      <c r="I1347" s="1">
        <v>45</v>
      </c>
      <c r="J1347" s="1">
        <v>7</v>
      </c>
      <c r="K1347" s="1">
        <v>56</v>
      </c>
      <c r="L1347" s="1">
        <v>79</v>
      </c>
      <c r="M1347" s="1">
        <v>13</v>
      </c>
      <c r="N1347" s="1">
        <v>41</v>
      </c>
      <c r="O1347" s="1">
        <v>34</v>
      </c>
      <c r="P1347" s="1">
        <v>67</v>
      </c>
      <c r="Q1347" s="1">
        <v>13</v>
      </c>
      <c r="R1347" s="1">
        <v>7</v>
      </c>
      <c r="S1347" s="1">
        <v>8</v>
      </c>
    </row>
    <row r="1348" spans="1:19">
      <c r="A1348" s="1">
        <v>2016</v>
      </c>
      <c r="B1348" s="1">
        <v>15</v>
      </c>
      <c r="C1348" s="1" t="s">
        <v>57</v>
      </c>
      <c r="D1348" s="1" t="e">
        <f t="array" aca="1" ref="D1348" ca="1">_xludf.XLOOKUP(C1348,'country region mapping'!$A$2:$A$250, 'country region mapping'!$E$2:$E$250)</f>
        <v>#NAME?</v>
      </c>
      <c r="E1348" s="1" t="e">
        <f t="array" aca="1" ref="E1348" ca="1">_xludf.XLOOKUP(C1348,'country region mapping'!$A$2:$A$267,'country region mapping'!$F$2:$F$267)</f>
        <v>#NAME?</v>
      </c>
      <c r="F1348" s="1" t="e">
        <f t="array" aca="1" ref="F1348" ca="1">_xludf.XLOOKUP(C1348,'country region mapping'!$A$2:$A$267,'country region mapping'!$G$2:$G$267)</f>
        <v>#NAME?</v>
      </c>
      <c r="G1348" s="1">
        <v>6.9770000000000003</v>
      </c>
      <c r="H1348" s="1">
        <v>37</v>
      </c>
      <c r="I1348" s="1">
        <v>3</v>
      </c>
      <c r="J1348" s="1">
        <v>4</v>
      </c>
      <c r="K1348" s="1">
        <v>19</v>
      </c>
      <c r="L1348" s="1">
        <v>30</v>
      </c>
      <c r="M1348" s="1">
        <v>11</v>
      </c>
      <c r="N1348" s="1">
        <v>10</v>
      </c>
      <c r="O1348" s="1">
        <v>28</v>
      </c>
      <c r="P1348" s="1">
        <v>31</v>
      </c>
      <c r="Q1348" s="1">
        <v>11</v>
      </c>
      <c r="R1348" s="1">
        <v>11</v>
      </c>
      <c r="S1348" s="1">
        <v>28</v>
      </c>
    </row>
    <row r="1349" spans="1:19">
      <c r="A1349" s="1">
        <v>2016</v>
      </c>
      <c r="B1349" s="1">
        <v>16</v>
      </c>
      <c r="C1349" s="1" t="s">
        <v>539</v>
      </c>
      <c r="D1349" s="1" t="e">
        <f t="array" aca="1" ref="D1349" ca="1">_xludf.XLOOKUP(C1349,'country region mapping'!$A$2:$A$250, 'country region mapping'!$E$2:$E$250)</f>
        <v>#NAME?</v>
      </c>
      <c r="E1349" s="1" t="e">
        <f t="array" aca="1" ref="E1349" ca="1">_xludf.XLOOKUP(C1349,'country region mapping'!$A$2:$A$267,'country region mapping'!$F$2:$F$267)</f>
        <v>#NAME?</v>
      </c>
      <c r="F1349" s="1" t="e">
        <f t="array" aca="1" ref="F1349" ca="1">_xludf.XLOOKUP(C1349,'country region mapping'!$A$2:$A$267,'country region mapping'!$G$2:$G$267)</f>
        <v>#NAME?</v>
      </c>
      <c r="G1349" s="1">
        <v>6.9509999999999996</v>
      </c>
      <c r="H1349" s="1">
        <v>29</v>
      </c>
      <c r="I1349" s="1">
        <v>38</v>
      </c>
      <c r="J1349" s="1">
        <v>13</v>
      </c>
      <c r="K1349" s="1">
        <v>30</v>
      </c>
      <c r="L1349" s="1">
        <v>34</v>
      </c>
      <c r="M1349" s="1">
        <v>15</v>
      </c>
      <c r="N1349" s="1">
        <v>16</v>
      </c>
      <c r="O1349" s="1">
        <v>52</v>
      </c>
      <c r="P1349" s="1">
        <v>15</v>
      </c>
      <c r="Q1349" s="1">
        <v>15</v>
      </c>
      <c r="R1349" s="1">
        <v>56</v>
      </c>
      <c r="S1349" s="1">
        <v>41</v>
      </c>
    </row>
    <row r="1350" spans="1:19">
      <c r="A1350" s="1">
        <v>2016</v>
      </c>
      <c r="B1350" s="1">
        <v>17</v>
      </c>
      <c r="C1350" s="1" t="s">
        <v>415</v>
      </c>
      <c r="D1350" s="1" t="e">
        <f t="array" aca="1" ref="D1350" ca="1">_xludf.XLOOKUP(C1350,'country region mapping'!$A$2:$A$250, 'country region mapping'!$E$2:$E$250)</f>
        <v>#NAME?</v>
      </c>
      <c r="E1350" s="1" t="e">
        <f t="array" aca="1" ref="E1350" ca="1">_xludf.XLOOKUP(C1350,'country region mapping'!$A$2:$A$267,'country region mapping'!$F$2:$F$267)</f>
        <v>#NAME?</v>
      </c>
      <c r="F1350" s="1" t="e">
        <f t="array" aca="1" ref="F1350" ca="1">_xludf.XLOOKUP(C1350,'country region mapping'!$A$2:$A$267,'country region mapping'!$G$2:$G$267)</f>
        <v>#NAME?</v>
      </c>
      <c r="G1350" s="1">
        <v>6.891</v>
      </c>
      <c r="H1350" s="1">
        <v>6</v>
      </c>
      <c r="I1350" s="1">
        <v>21</v>
      </c>
      <c r="J1350" s="1">
        <v>15</v>
      </c>
      <c r="K1350" s="1">
        <v>27</v>
      </c>
      <c r="L1350" s="1">
        <v>35</v>
      </c>
      <c r="M1350" s="1">
        <v>42</v>
      </c>
      <c r="N1350" s="1">
        <v>18</v>
      </c>
      <c r="O1350" s="1">
        <v>55</v>
      </c>
      <c r="P1350" s="1">
        <v>64</v>
      </c>
      <c r="Q1350" s="1">
        <v>42</v>
      </c>
      <c r="R1350" s="1">
        <v>40</v>
      </c>
      <c r="S1350" s="1">
        <v>82</v>
      </c>
    </row>
    <row r="1351" spans="1:19">
      <c r="A1351" s="1">
        <v>2016</v>
      </c>
      <c r="B1351" s="1">
        <v>18</v>
      </c>
      <c r="C1351" s="1" t="s">
        <v>59</v>
      </c>
      <c r="D1351" s="1" t="e">
        <f t="array" aca="1" ref="D1351" ca="1">_xludf.XLOOKUP(C1351,'country region mapping'!$A$2:$A$250, 'country region mapping'!$E$2:$E$250)</f>
        <v>#NAME?</v>
      </c>
      <c r="E1351" s="1" t="e">
        <f t="array" aca="1" ref="E1351" ca="1">_xludf.XLOOKUP(C1351,'country region mapping'!$A$2:$A$267,'country region mapping'!$F$2:$F$267)</f>
        <v>#NAME?</v>
      </c>
      <c r="F1351" s="1" t="e">
        <f t="array" aca="1" ref="F1351" ca="1">_xludf.XLOOKUP(C1351,'country region mapping'!$A$2:$A$267,'country region mapping'!$G$2:$G$267)</f>
        <v>#NAME?</v>
      </c>
      <c r="G1351" s="1">
        <v>6.8630000000000004</v>
      </c>
      <c r="H1351" s="1">
        <v>4</v>
      </c>
      <c r="I1351" s="1">
        <v>12</v>
      </c>
      <c r="J1351" s="1">
        <v>1</v>
      </c>
      <c r="K1351" s="1">
        <v>6</v>
      </c>
      <c r="L1351" s="1">
        <v>26</v>
      </c>
      <c r="M1351" s="1">
        <v>26</v>
      </c>
      <c r="N1351" s="1">
        <v>8</v>
      </c>
      <c r="O1351" s="1">
        <v>54</v>
      </c>
      <c r="P1351" s="1">
        <v>17</v>
      </c>
      <c r="Q1351" s="1">
        <v>26</v>
      </c>
      <c r="R1351" s="1">
        <v>31</v>
      </c>
      <c r="S1351" s="1">
        <v>117</v>
      </c>
    </row>
    <row r="1352" spans="1:19">
      <c r="A1352" s="1">
        <v>2016</v>
      </c>
      <c r="B1352" s="1">
        <v>19</v>
      </c>
      <c r="C1352" s="1" t="s">
        <v>64</v>
      </c>
      <c r="D1352" s="1" t="e">
        <f t="array" aca="1" ref="D1352" ca="1">_xludf.XLOOKUP(C1352,'country region mapping'!$A$2:$A$267,'country region mapping'!$E$2:$E$267)</f>
        <v>#NAME?</v>
      </c>
      <c r="E1352" s="1" t="e">
        <f t="array" aca="1" ref="E1352" ca="1">_xludf.XLOOKUP(C1352,'country region mapping'!$A$2:$A$267,'country region mapping'!$F$2:$F$267)</f>
        <v>#NAME?</v>
      </c>
      <c r="F1352" s="1" t="e">
        <f t="array" aca="1" ref="F1352" ca="1">_xludf.XLOOKUP(C1352,'country region mapping'!$A$2:$A$267,'country region mapping'!$G$2:$G$267)</f>
        <v>#NAME?</v>
      </c>
      <c r="G1352" s="1">
        <v>6.7140000000000004</v>
      </c>
      <c r="H1352" s="1">
        <v>13</v>
      </c>
      <c r="I1352" s="1">
        <v>5</v>
      </c>
      <c r="J1352" s="1">
        <v>24</v>
      </c>
      <c r="K1352" s="1">
        <v>28</v>
      </c>
      <c r="L1352" s="1">
        <v>54</v>
      </c>
      <c r="M1352" s="1">
        <v>8</v>
      </c>
      <c r="N1352" s="1">
        <v>17</v>
      </c>
      <c r="O1352" s="1">
        <v>40</v>
      </c>
      <c r="P1352" s="1">
        <v>45</v>
      </c>
      <c r="Q1352" s="1">
        <v>8</v>
      </c>
      <c r="R1352" s="1">
        <v>29</v>
      </c>
      <c r="S1352" s="1">
        <v>40</v>
      </c>
    </row>
    <row r="1353" spans="1:19">
      <c r="A1353" s="1">
        <v>2016</v>
      </c>
      <c r="B1353" s="1">
        <v>20</v>
      </c>
      <c r="C1353" s="1" t="s">
        <v>66</v>
      </c>
      <c r="D1353" s="1" t="e">
        <f t="array" aca="1" ref="D1353" ca="1">_xludf.XLOOKUP(C1353,'country region mapping'!$A$2:$A$250, 'country region mapping'!$E$2:$E$250)</f>
        <v>#NAME?</v>
      </c>
      <c r="E1353" s="1" t="e">
        <f t="array" aca="1" ref="E1353" ca="1">_xludf.XLOOKUP(C1353,'country region mapping'!$A$2:$A$267,'country region mapping'!$F$2:$F$267)</f>
        <v>#NAME?</v>
      </c>
      <c r="F1353" s="1" t="e">
        <f t="array" aca="1" ref="F1353" ca="1">_xludf.XLOOKUP(C1353,'country region mapping'!$A$2:$A$267,'country region mapping'!$G$2:$G$267)</f>
        <v>#NAME?</v>
      </c>
      <c r="G1353" s="1">
        <v>6.6520000000000001</v>
      </c>
      <c r="H1353" s="1">
        <v>59</v>
      </c>
      <c r="I1353" s="1">
        <v>70</v>
      </c>
      <c r="J1353" s="1">
        <v>49</v>
      </c>
      <c r="K1353" s="1">
        <v>32</v>
      </c>
      <c r="L1353" s="1">
        <v>112</v>
      </c>
      <c r="M1353" s="1">
        <v>30</v>
      </c>
      <c r="N1353" s="1">
        <v>91</v>
      </c>
      <c r="O1353" s="1">
        <v>11</v>
      </c>
      <c r="P1353" s="1">
        <v>75</v>
      </c>
      <c r="Q1353" s="1">
        <v>30</v>
      </c>
      <c r="R1353" s="1">
        <v>100</v>
      </c>
      <c r="S1353" s="1">
        <v>69</v>
      </c>
    </row>
    <row r="1354" spans="1:19">
      <c r="A1354" s="1">
        <v>2016</v>
      </c>
      <c r="B1354" s="1">
        <v>21</v>
      </c>
      <c r="C1354" s="1" t="s">
        <v>71</v>
      </c>
      <c r="D1354" s="1" t="e">
        <f t="array" aca="1" ref="D1354" ca="1">_xludf.XLOOKUP(C1354,'country region mapping'!$A$2:$A$250, 'country region mapping'!$E$2:$E$250)</f>
        <v>#NAME?</v>
      </c>
      <c r="E1354" s="1" t="e">
        <f t="array" aca="1" ref="E1354" ca="1">_xludf.XLOOKUP(C1354,'country region mapping'!$A$2:$A$267,'country region mapping'!$F$2:$F$267)</f>
        <v>#NAME?</v>
      </c>
      <c r="F1354" s="1" t="e">
        <f t="array" aca="1" ref="F1354" ca="1">_xludf.XLOOKUP(C1354,'country region mapping'!$A$2:$A$267,'country region mapping'!$G$2:$G$267)</f>
        <v>#NAME?</v>
      </c>
      <c r="G1354" s="1">
        <v>6.6479999999999997</v>
      </c>
      <c r="H1354" s="1">
        <v>79</v>
      </c>
      <c r="I1354" s="1">
        <v>67</v>
      </c>
      <c r="J1354" s="1">
        <v>6</v>
      </c>
      <c r="K1354" s="1">
        <v>29</v>
      </c>
      <c r="L1354" s="1">
        <v>5</v>
      </c>
      <c r="M1354" s="1">
        <v>14</v>
      </c>
      <c r="O1354" s="14">
        <v>32</v>
      </c>
      <c r="P1354" s="14">
        <v>54</v>
      </c>
      <c r="Q1354" s="14">
        <v>14</v>
      </c>
      <c r="R1354" s="14">
        <v>35</v>
      </c>
      <c r="S1354" s="14">
        <v>13</v>
      </c>
    </row>
    <row r="1355" spans="1:19">
      <c r="A1355" s="1">
        <v>2016</v>
      </c>
      <c r="B1355" s="1">
        <v>22</v>
      </c>
      <c r="C1355" s="1" t="s">
        <v>54</v>
      </c>
      <c r="D1355" s="1" t="e">
        <f t="array" aca="1" ref="D1355" ca="1">_xludf.XLOOKUP(C1355,'country region mapping'!$A$2:$A$250, 'country region mapping'!$E$2:$E$250)</f>
        <v>#NAME?</v>
      </c>
      <c r="E1355" s="1" t="e">
        <f t="array" aca="1" ref="E1355" ca="1">_xludf.XLOOKUP(C1355,'country region mapping'!$A$2:$A$267,'country region mapping'!$F$2:$F$267)</f>
        <v>#NAME?</v>
      </c>
      <c r="F1355" s="1" t="e">
        <f t="array" aca="1" ref="F1355" ca="1">_xludf.XLOOKUP(C1355,'country region mapping'!$A$2:$A$267,'country region mapping'!$G$2:$G$267)</f>
        <v>#NAME?</v>
      </c>
      <c r="G1355" s="1">
        <v>6.6349999999999998</v>
      </c>
      <c r="H1355" s="1">
        <v>113</v>
      </c>
      <c r="I1355" s="1">
        <v>34</v>
      </c>
      <c r="J1355" s="1">
        <v>64</v>
      </c>
      <c r="K1355" s="1">
        <v>75</v>
      </c>
      <c r="L1355" s="1">
        <v>61</v>
      </c>
      <c r="M1355" s="1">
        <v>86</v>
      </c>
      <c r="N1355" s="1">
        <v>51</v>
      </c>
      <c r="O1355" s="1">
        <v>49</v>
      </c>
      <c r="P1355" s="1">
        <v>87</v>
      </c>
      <c r="Q1355" s="1">
        <v>86</v>
      </c>
      <c r="R1355" s="1">
        <v>63</v>
      </c>
      <c r="S1355" s="1">
        <v>55</v>
      </c>
    </row>
    <row r="1356" spans="1:19">
      <c r="A1356" s="1">
        <v>2016</v>
      </c>
      <c r="B1356" s="1">
        <v>23</v>
      </c>
      <c r="C1356" s="1" t="s">
        <v>70</v>
      </c>
      <c r="D1356" s="1" t="e">
        <f t="array" aca="1" ref="D1356" ca="1">_xludf.XLOOKUP(C1356,'country region mapping'!$A$2:$A$250, 'country region mapping'!$E$2:$E$250)</f>
        <v>#NAME?</v>
      </c>
      <c r="E1356" s="1" t="e">
        <f t="array" aca="1" ref="E1356" ca="1">_xludf.XLOOKUP(C1356,'country region mapping'!$A$2:$A$267,'country region mapping'!$F$2:$F$267)</f>
        <v>#NAME?</v>
      </c>
      <c r="F1356" s="1" t="e">
        <f t="array" aca="1" ref="F1356" ca="1">_xludf.XLOOKUP(C1356,'country region mapping'!$A$2:$A$267,'country region mapping'!$G$2:$G$267)</f>
        <v>#NAME?</v>
      </c>
      <c r="G1356" s="1">
        <v>6.609</v>
      </c>
      <c r="H1356" s="1">
        <v>18</v>
      </c>
      <c r="I1356" s="1">
        <v>18</v>
      </c>
      <c r="J1356" s="1">
        <v>31</v>
      </c>
      <c r="K1356" s="1">
        <v>34</v>
      </c>
      <c r="L1356" s="1">
        <v>39</v>
      </c>
      <c r="M1356" s="1">
        <v>101</v>
      </c>
      <c r="N1356" s="1">
        <v>113</v>
      </c>
      <c r="O1356" s="1">
        <v>51</v>
      </c>
      <c r="P1356" s="1">
        <v>23</v>
      </c>
      <c r="Q1356" s="1">
        <v>101</v>
      </c>
      <c r="R1356" s="1">
        <v>99</v>
      </c>
      <c r="S1356" s="1">
        <v>137</v>
      </c>
    </row>
    <row r="1357" spans="1:19">
      <c r="A1357" s="1">
        <v>2016</v>
      </c>
      <c r="B1357" s="1">
        <v>24</v>
      </c>
      <c r="C1357" s="1" t="s">
        <v>69</v>
      </c>
      <c r="D1357" s="1" t="e">
        <f t="array" aca="1" ref="D1357" ca="1">_xludf.XLOOKUP(C1357,'country region mapping'!$A$2:$A$250, 'country region mapping'!$E$2:$E$250)</f>
        <v>#NAME?</v>
      </c>
      <c r="E1357" s="1" t="e">
        <f t="array" aca="1" ref="E1357" ca="1">_xludf.XLOOKUP(C1357,'country region mapping'!$A$2:$A$267,'country region mapping'!$F$2:$F$267)</f>
        <v>#NAME?</v>
      </c>
      <c r="F1357" s="1" t="e">
        <f t="array" aca="1" ref="F1357" ca="1">_xludf.XLOOKUP(C1357,'country region mapping'!$A$2:$A$267,'country region mapping'!$G$2:$G$267)</f>
        <v>#NAME?</v>
      </c>
      <c r="G1357" s="1">
        <v>6.5990000000000002</v>
      </c>
      <c r="H1357" s="1">
        <v>73</v>
      </c>
      <c r="I1357" s="1">
        <v>54</v>
      </c>
      <c r="J1357" s="1">
        <v>50</v>
      </c>
      <c r="K1357" s="1">
        <v>54</v>
      </c>
      <c r="L1357" s="1">
        <v>41</v>
      </c>
      <c r="M1357" s="1">
        <v>110</v>
      </c>
      <c r="N1357" s="1">
        <v>88</v>
      </c>
      <c r="O1357" s="1">
        <v>41</v>
      </c>
      <c r="P1357" s="1">
        <v>92</v>
      </c>
      <c r="Q1357" s="1">
        <v>110</v>
      </c>
      <c r="R1357" s="1">
        <v>68</v>
      </c>
      <c r="S1357" s="1">
        <v>47</v>
      </c>
    </row>
    <row r="1358" spans="1:19">
      <c r="A1358" s="1">
        <v>2016</v>
      </c>
      <c r="B1358" s="1">
        <v>25</v>
      </c>
      <c r="C1358" s="1" t="s">
        <v>61</v>
      </c>
      <c r="D1358" s="1" t="e">
        <f t="array" aca="1" ref="D1358" ca="1">_xludf.XLOOKUP(C1358,'country region mapping'!$A$2:$A$250, 'country region mapping'!$E$2:$E$250)</f>
        <v>#NAME?</v>
      </c>
      <c r="E1358" s="1" t="e">
        <f t="array" aca="1" ref="E1358" ca="1">_xludf.XLOOKUP(C1358,'country region mapping'!$A$2:$A$267,'country region mapping'!$F$2:$F$267)</f>
        <v>#NAME?</v>
      </c>
      <c r="F1358" s="1" t="e">
        <f t="array" aca="1" ref="F1358" ca="1">_xludf.XLOOKUP(C1358,'country region mapping'!$A$2:$A$267,'country region mapping'!$G$2:$G$267)</f>
        <v>#NAME?</v>
      </c>
      <c r="G1358" s="1">
        <v>6.5780000000000003</v>
      </c>
      <c r="H1358" s="1">
        <v>52</v>
      </c>
      <c r="I1358" s="1">
        <v>49</v>
      </c>
      <c r="J1358" s="1">
        <v>57</v>
      </c>
      <c r="K1358" s="1">
        <v>65</v>
      </c>
      <c r="L1358" s="1">
        <v>81</v>
      </c>
      <c r="M1358" s="1">
        <v>102</v>
      </c>
      <c r="N1358" s="1">
        <v>64</v>
      </c>
      <c r="O1358" s="1">
        <v>10</v>
      </c>
      <c r="P1358" s="1">
        <v>35</v>
      </c>
      <c r="Q1358" s="1">
        <v>102</v>
      </c>
      <c r="R1358" s="1">
        <v>103</v>
      </c>
      <c r="S1358" s="1">
        <v>83</v>
      </c>
    </row>
    <row r="1359" spans="1:19">
      <c r="A1359" s="1">
        <v>2016</v>
      </c>
      <c r="B1359" s="1">
        <v>26</v>
      </c>
      <c r="C1359" s="1" t="s">
        <v>63</v>
      </c>
      <c r="D1359" s="1" t="e">
        <f t="array" aca="1" ref="D1359" ca="1">_xludf.XLOOKUP(C1359,'country region mapping'!$A$2:$A$250, 'country region mapping'!$E$2:$E$250)</f>
        <v>#NAME?</v>
      </c>
      <c r="E1359" s="1" t="e">
        <f t="array" aca="1" ref="E1359" ca="1">_xludf.XLOOKUP(C1359,'country region mapping'!$A$2:$A$267,'country region mapping'!$F$2:$F$267)</f>
        <v>#NAME?</v>
      </c>
      <c r="F1359" s="1" t="e">
        <f t="array" aca="1" ref="F1359" ca="1">_xludf.XLOOKUP(C1359,'country region mapping'!$A$2:$A$267,'country region mapping'!$G$2:$G$267)</f>
        <v>#NAME?</v>
      </c>
      <c r="G1359" s="1">
        <v>6.5720000000000001</v>
      </c>
      <c r="H1359" s="1">
        <v>3</v>
      </c>
      <c r="I1359" s="1">
        <v>29</v>
      </c>
      <c r="J1359" s="1">
        <v>2</v>
      </c>
      <c r="K1359" s="1">
        <v>1</v>
      </c>
      <c r="L1359" s="1">
        <v>19</v>
      </c>
      <c r="M1359" s="1">
        <v>12</v>
      </c>
      <c r="N1359" s="1">
        <v>1</v>
      </c>
      <c r="O1359" s="1">
        <v>27</v>
      </c>
      <c r="P1359" s="1">
        <v>2</v>
      </c>
      <c r="Q1359" s="1">
        <v>12</v>
      </c>
      <c r="R1359" s="1">
        <v>42</v>
      </c>
      <c r="S1359" s="1">
        <v>104</v>
      </c>
    </row>
    <row r="1360" spans="1:19">
      <c r="A1360" s="1">
        <v>2016</v>
      </c>
      <c r="B1360" s="1">
        <v>27</v>
      </c>
      <c r="C1360" s="1" t="s">
        <v>74</v>
      </c>
      <c r="D1360" s="1" t="e">
        <f t="array" aca="1" ref="D1360" ca="1">_xludf.XLOOKUP(C1360,'country region mapping'!$A$2:$A$250, 'country region mapping'!$E$2:$E$250)</f>
        <v>#NAME?</v>
      </c>
      <c r="E1360" s="1" t="e">
        <f t="array" aca="1" ref="E1360" ca="1">_xludf.XLOOKUP(C1360,'country region mapping'!$A$2:$A$267,'country region mapping'!$F$2:$F$267)</f>
        <v>#NAME?</v>
      </c>
      <c r="F1360" s="1" t="e">
        <f t="array" aca="1" ref="F1360" ca="1">_xludf.XLOOKUP(C1360,'country region mapping'!$A$2:$A$267,'country region mapping'!$G$2:$G$267)</f>
        <v>#NAME?</v>
      </c>
      <c r="G1360" s="1">
        <v>6.5270000000000001</v>
      </c>
      <c r="H1360" s="1">
        <v>43</v>
      </c>
      <c r="I1360" s="1">
        <v>19</v>
      </c>
      <c r="J1360" s="1">
        <v>26</v>
      </c>
      <c r="K1360" s="1">
        <v>10</v>
      </c>
      <c r="L1360" s="1">
        <v>14</v>
      </c>
      <c r="M1360" s="1">
        <v>3</v>
      </c>
      <c r="N1360" s="1">
        <v>29</v>
      </c>
      <c r="O1360" s="1">
        <v>79</v>
      </c>
      <c r="P1360" s="1">
        <v>112</v>
      </c>
      <c r="Q1360" s="1">
        <v>3</v>
      </c>
      <c r="R1360" s="1">
        <v>37</v>
      </c>
      <c r="S1360" s="1">
        <v>87</v>
      </c>
    </row>
    <row r="1361" spans="1:19">
      <c r="A1361" s="1">
        <v>2016</v>
      </c>
      <c r="B1361" s="1">
        <v>29</v>
      </c>
      <c r="C1361" s="1" t="s">
        <v>86</v>
      </c>
      <c r="D1361" s="1" t="e">
        <f t="array" aca="1" ref="D1361" ca="1">_xludf.XLOOKUP(C1361,'country region mapping'!$A$2:$A$250, 'country region mapping'!$E$2:$E$250)</f>
        <v>#NAME?</v>
      </c>
      <c r="E1361" s="1" t="e">
        <f t="array" aca="1" ref="E1361" ca="1">_xludf.XLOOKUP(C1361,'country region mapping'!$A$2:$A$267,'country region mapping'!$F$2:$F$267)</f>
        <v>#NAME?</v>
      </c>
      <c r="F1361" s="1" t="e">
        <f t="array" aca="1" ref="F1361" ca="1">_xludf.XLOOKUP(C1361,'country region mapping'!$A$2:$A$267,'country region mapping'!$G$2:$G$267)</f>
        <v>#NAME?</v>
      </c>
      <c r="G1361" s="1">
        <v>6.4539999999999997</v>
      </c>
      <c r="H1361" s="1">
        <v>129</v>
      </c>
      <c r="I1361" s="1">
        <v>82</v>
      </c>
      <c r="J1361" s="1">
        <v>88</v>
      </c>
      <c r="K1361" s="1">
        <v>88</v>
      </c>
      <c r="L1361" s="1">
        <v>36</v>
      </c>
      <c r="M1361" s="1">
        <v>67</v>
      </c>
      <c r="N1361" s="1">
        <v>68</v>
      </c>
      <c r="O1361" s="1">
        <v>3</v>
      </c>
      <c r="P1361" s="1">
        <v>95</v>
      </c>
      <c r="Q1361" s="1">
        <v>67</v>
      </c>
      <c r="R1361" s="1">
        <v>25</v>
      </c>
      <c r="S1361" s="1">
        <v>39</v>
      </c>
    </row>
    <row r="1362" spans="1:19">
      <c r="A1362" s="1">
        <v>2016</v>
      </c>
      <c r="B1362" s="1">
        <v>28</v>
      </c>
      <c r="C1362" s="1" t="s">
        <v>73</v>
      </c>
      <c r="D1362" s="1" t="e">
        <f t="array" aca="1" ref="D1362" ca="1">_xludf.XLOOKUP(C1362,'country region mapping'!$A$2:$A$250, 'country region mapping'!$E$2:$E$250)</f>
        <v>#NAME?</v>
      </c>
      <c r="E1362" s="1" t="e">
        <f t="array" aca="1" ref="E1362" ca="1">_xludf.XLOOKUP(C1362,'country region mapping'!$A$2:$A$267,'country region mapping'!$F$2:$F$267)</f>
        <v>#NAME?</v>
      </c>
      <c r="F1362" s="1" t="e">
        <f t="array" aca="1" ref="F1362" ca="1">_xludf.XLOOKUP(C1362,'country region mapping'!$A$2:$A$267,'country region mapping'!$G$2:$G$267)</f>
        <v>#NAME?</v>
      </c>
      <c r="G1362" s="1">
        <v>6.4539999999999997</v>
      </c>
      <c r="H1362" s="1">
        <v>97</v>
      </c>
      <c r="I1362" s="1">
        <v>42</v>
      </c>
      <c r="J1362" s="1">
        <v>48</v>
      </c>
      <c r="K1362" s="1">
        <v>49</v>
      </c>
      <c r="L1362" s="1">
        <v>24</v>
      </c>
      <c r="M1362" s="1">
        <v>71</v>
      </c>
      <c r="N1362" s="1">
        <v>27</v>
      </c>
      <c r="O1362" s="1">
        <v>39</v>
      </c>
      <c r="P1362" s="1">
        <v>76</v>
      </c>
      <c r="Q1362" s="1">
        <v>71</v>
      </c>
      <c r="R1362" s="1">
        <v>76</v>
      </c>
      <c r="S1362" s="1">
        <v>35</v>
      </c>
    </row>
    <row r="1363" spans="1:19">
      <c r="A1363" s="1">
        <v>2016</v>
      </c>
      <c r="B1363" s="1">
        <v>30</v>
      </c>
      <c r="C1363" s="1" t="s">
        <v>67</v>
      </c>
      <c r="D1363" s="1" t="e">
        <f t="array" aca="1" ref="D1363" ca="1">_xludf.XLOOKUP(C1363,'country region mapping'!$A$2:$A$250, 'country region mapping'!$E$2:$E$250)</f>
        <v>#NAME?</v>
      </c>
      <c r="E1363" s="1" t="e">
        <f t="array" aca="1" ref="E1363" ca="1">_xludf.XLOOKUP(C1363,'country region mapping'!$A$2:$A$267,'country region mapping'!$F$2:$F$267)</f>
        <v>#NAME?</v>
      </c>
      <c r="F1363" s="1" t="e">
        <f t="array" aca="1" ref="F1363" ca="1">_xludf.XLOOKUP(C1363,'country region mapping'!$A$2:$A$267,'country region mapping'!$G$2:$G$267)</f>
        <v>#NAME?</v>
      </c>
      <c r="G1363" s="1">
        <v>6.452</v>
      </c>
      <c r="H1363" s="1">
        <v>122</v>
      </c>
      <c r="I1363" s="1">
        <v>55</v>
      </c>
      <c r="J1363" s="1">
        <v>45</v>
      </c>
      <c r="K1363" s="1">
        <v>37</v>
      </c>
      <c r="L1363" s="1">
        <v>25</v>
      </c>
      <c r="M1363" s="1">
        <v>73</v>
      </c>
      <c r="N1363" s="1">
        <v>80</v>
      </c>
      <c r="O1363" s="1">
        <v>4</v>
      </c>
      <c r="P1363" s="1">
        <v>53</v>
      </c>
      <c r="Q1363" s="1">
        <v>73</v>
      </c>
      <c r="R1363" s="1">
        <v>60</v>
      </c>
      <c r="S1363" s="1">
        <v>38</v>
      </c>
    </row>
    <row r="1364" spans="1:19">
      <c r="A1364" s="1">
        <v>2016</v>
      </c>
      <c r="B1364" s="1">
        <v>31</v>
      </c>
      <c r="C1364" s="1" t="s">
        <v>76</v>
      </c>
      <c r="D1364" s="1" t="e">
        <f t="array" aca="1" ref="D1364" ca="1">_xludf.XLOOKUP(C1364,'country region mapping'!$A$2:$A$250, 'country region mapping'!$E$2:$E$250)</f>
        <v>#NAME?</v>
      </c>
      <c r="E1364" s="1" t="e">
        <f t="array" aca="1" ref="E1364" ca="1">_xludf.XLOOKUP(C1364,'country region mapping'!$A$2:$A$267,'country region mapping'!$F$2:$F$267)</f>
        <v>#NAME?</v>
      </c>
      <c r="F1364" s="1" t="e">
        <f t="array" aca="1" ref="F1364" ca="1">_xludf.XLOOKUP(C1364,'country region mapping'!$A$2:$A$267,'country region mapping'!$G$2:$G$267)</f>
        <v>#NAME?</v>
      </c>
      <c r="G1364" s="1">
        <v>6.4420000000000002</v>
      </c>
      <c r="H1364" s="1">
        <v>33</v>
      </c>
      <c r="I1364" s="1">
        <v>53</v>
      </c>
      <c r="J1364" s="1">
        <v>23</v>
      </c>
      <c r="K1364" s="1">
        <v>15</v>
      </c>
      <c r="L1364" s="1">
        <v>65</v>
      </c>
      <c r="M1364" s="1">
        <v>57</v>
      </c>
      <c r="N1364" s="1">
        <v>23</v>
      </c>
      <c r="O1364" s="1">
        <v>46</v>
      </c>
      <c r="P1364" s="1">
        <v>69</v>
      </c>
      <c r="Q1364" s="1">
        <v>57</v>
      </c>
      <c r="R1364" s="1">
        <v>24</v>
      </c>
      <c r="S1364" s="1">
        <v>113</v>
      </c>
    </row>
    <row r="1365" spans="1:19">
      <c r="A1365" s="1">
        <v>2016</v>
      </c>
      <c r="B1365" s="1">
        <v>32</v>
      </c>
      <c r="C1365" s="1" t="s">
        <v>78</v>
      </c>
      <c r="D1365" s="1" t="e">
        <f t="array" aca="1" ref="D1365" ca="1">_xludf.XLOOKUP(C1365,'country region mapping'!$A$2:$A$250, 'country region mapping'!$E$2:$E$250)</f>
        <v>#NAME?</v>
      </c>
      <c r="E1365" s="1" t="e">
        <f t="array" aca="1" ref="E1365" ca="1">_xludf.XLOOKUP(C1365,'country region mapping'!$A$2:$A$267,'country region mapping'!$F$2:$F$267)</f>
        <v>#NAME?</v>
      </c>
      <c r="F1365" s="1" t="e">
        <f t="array" aca="1" ref="F1365" ca="1">_xludf.XLOOKUP(C1365,'country region mapping'!$A$2:$A$267,'country region mapping'!$G$2:$G$267)</f>
        <v>#NAME?</v>
      </c>
      <c r="G1365" s="1">
        <v>6.4240000000000004</v>
      </c>
      <c r="H1365" s="1">
        <v>91</v>
      </c>
      <c r="I1365" s="1">
        <v>37</v>
      </c>
      <c r="J1365" s="1">
        <v>61</v>
      </c>
      <c r="K1365" s="1">
        <v>43</v>
      </c>
      <c r="L1365" s="1">
        <v>10</v>
      </c>
      <c r="M1365" s="1">
        <v>5</v>
      </c>
      <c r="N1365" s="1">
        <v>101</v>
      </c>
      <c r="O1365" s="1">
        <v>5</v>
      </c>
      <c r="P1365" s="1">
        <v>34</v>
      </c>
      <c r="Q1365" s="1">
        <v>5</v>
      </c>
      <c r="R1365" s="1">
        <v>70</v>
      </c>
      <c r="S1365" s="1">
        <v>66</v>
      </c>
    </row>
    <row r="1366" spans="1:19">
      <c r="A1366" s="1">
        <v>2016</v>
      </c>
      <c r="B1366" s="1">
        <v>33</v>
      </c>
      <c r="C1366" s="1" t="s">
        <v>81</v>
      </c>
      <c r="D1366" s="1" t="e">
        <f t="array" aca="1" ref="D1366" ca="1">_xludf.XLOOKUP(C1366,'country region mapping'!$A$2:$A$267,'country region mapping'!$E$2:$E$267)</f>
        <v>#NAME?</v>
      </c>
      <c r="E1366" s="1" t="e">
        <f t="array" aca="1" ref="E1366" ca="1">_xludf.XLOOKUP(C1366,'country region mapping'!$A$2:$A$267,'country region mapping'!$F$2:$F$267)</f>
        <v>#NAME?</v>
      </c>
      <c r="F1366" s="1" t="e">
        <f t="array" aca="1" ref="F1366" ca="1">_xludf.XLOOKUP(C1366,'country region mapping'!$A$2:$A$267,'country region mapping'!$G$2:$G$267)</f>
        <v>#NAME?</v>
      </c>
      <c r="G1366" s="1">
        <v>6.4219999999999997</v>
      </c>
      <c r="H1366" s="1">
        <v>55</v>
      </c>
      <c r="I1366" s="1">
        <v>46</v>
      </c>
      <c r="J1366" s="1">
        <v>22</v>
      </c>
      <c r="K1366" s="1"/>
      <c r="L1366" s="1">
        <v>93</v>
      </c>
      <c r="M1366" s="1">
        <v>39</v>
      </c>
      <c r="N1366" s="1">
        <v>65</v>
      </c>
      <c r="O1366" s="1">
        <v>30</v>
      </c>
      <c r="P1366" s="1">
        <v>1</v>
      </c>
      <c r="Q1366" s="1">
        <v>39</v>
      </c>
      <c r="R1366" s="1">
        <v>69</v>
      </c>
      <c r="S1366" s="1">
        <v>56</v>
      </c>
    </row>
    <row r="1367" spans="1:19">
      <c r="A1367" s="1">
        <v>2016</v>
      </c>
      <c r="B1367" s="1">
        <v>34</v>
      </c>
      <c r="C1367" s="1" t="s">
        <v>274</v>
      </c>
      <c r="D1367" s="1" t="e">
        <f t="array" aca="1" ref="D1367" ca="1">_xludf.XLOOKUP(C1367,'country region mapping'!$A$2:$A$250, 'country region mapping'!$E$2:$E$250)</f>
        <v>#NAME?</v>
      </c>
      <c r="E1367" s="1" t="e">
        <f t="array" aca="1" ref="E1367" ca="1">_xludf.XLOOKUP(C1367,'country region mapping'!$A$2:$A$267,'country region mapping'!$F$2:$F$267)</f>
        <v>#NAME?</v>
      </c>
      <c r="F1367" s="1" t="e">
        <f t="array" aca="1" ref="F1367" ca="1">_xludf.XLOOKUP(C1367,'country region mapping'!$A$2:$A$267,'country region mapping'!$G$2:$G$267)</f>
        <v>#NAME?</v>
      </c>
      <c r="G1367" s="1">
        <v>6.4029999999999996</v>
      </c>
      <c r="H1367" s="1">
        <v>10</v>
      </c>
      <c r="I1367" s="1">
        <v>11</v>
      </c>
      <c r="J1367" s="1">
        <v>28</v>
      </c>
      <c r="K1367" s="1">
        <v>4</v>
      </c>
      <c r="L1367" s="1">
        <v>76</v>
      </c>
      <c r="M1367" s="1">
        <v>43</v>
      </c>
      <c r="N1367" s="1">
        <v>76</v>
      </c>
      <c r="O1367" s="1">
        <v>85</v>
      </c>
      <c r="P1367" s="1">
        <v>84</v>
      </c>
      <c r="Q1367" s="1">
        <v>43</v>
      </c>
      <c r="R1367" s="1">
        <v>102</v>
      </c>
      <c r="S1367" s="1">
        <v>68</v>
      </c>
    </row>
    <row r="1368" spans="1:19">
      <c r="A1368" s="1">
        <v>2016</v>
      </c>
      <c r="B1368" s="1">
        <v>35</v>
      </c>
      <c r="C1368" s="1" t="s">
        <v>349</v>
      </c>
      <c r="D1368" s="1" t="e">
        <f t="array" aca="1" ref="D1368" ca="1">_xludf.XLOOKUP(C1368,'country region mapping'!$A$2:$A$250, 'country region mapping'!$E$2:$E$250)</f>
        <v>#NAME?</v>
      </c>
      <c r="E1368" s="1" t="e">
        <f t="array" aca="1" ref="E1368" ca="1">_xludf.XLOOKUP(C1368,'country region mapping'!$A$2:$A$267,'country region mapping'!$F$2:$F$267)</f>
        <v>#NAME?</v>
      </c>
      <c r="F1368" s="1" t="e">
        <f t="array" aca="1" ref="F1368" ca="1">_xludf.XLOOKUP(C1368,'country region mapping'!$A$2:$A$267,'country region mapping'!$G$2:$G$267)</f>
        <v>#NAME?</v>
      </c>
      <c r="G1368" s="1">
        <v>6.375</v>
      </c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</row>
    <row r="1369" spans="1:19">
      <c r="A1369" s="1">
        <v>2016</v>
      </c>
      <c r="B1369" s="1">
        <v>36</v>
      </c>
      <c r="C1369" s="1" t="s">
        <v>75</v>
      </c>
      <c r="D1369" s="1" t="e">
        <f t="array" aca="1" ref="D1369" ca="1">_xludf.XLOOKUP(C1369,'country region mapping'!$A$2:$A$250, 'country region mapping'!$E$2:$E$250)</f>
        <v>#NAME?</v>
      </c>
      <c r="E1369" s="1" t="e">
        <f t="array" aca="1" ref="E1369" ca="1">_xludf.XLOOKUP(C1369,'country region mapping'!$A$2:$A$267,'country region mapping'!$F$2:$F$267)</f>
        <v>#NAME?</v>
      </c>
      <c r="F1369" s="1" t="e">
        <f t="array" aca="1" ref="F1369" ca="1">_xludf.XLOOKUP(C1369,'country region mapping'!$A$2:$A$267,'country region mapping'!$G$2:$G$267)</f>
        <v>#NAME?</v>
      </c>
      <c r="G1369" s="1">
        <v>6.3570000000000002</v>
      </c>
      <c r="H1369" s="1">
        <v>119</v>
      </c>
      <c r="I1369" s="1">
        <v>56</v>
      </c>
      <c r="J1369" s="1">
        <v>65</v>
      </c>
      <c r="K1369" s="1">
        <v>39</v>
      </c>
      <c r="L1369" s="1">
        <v>48</v>
      </c>
      <c r="M1369" s="1">
        <v>87</v>
      </c>
      <c r="N1369" s="1">
        <v>110</v>
      </c>
      <c r="O1369" s="1">
        <v>20</v>
      </c>
      <c r="P1369" s="1">
        <v>81</v>
      </c>
      <c r="Q1369" s="1">
        <v>87</v>
      </c>
      <c r="R1369" s="1">
        <v>72</v>
      </c>
      <c r="S1369" s="1">
        <v>27</v>
      </c>
    </row>
    <row r="1370" spans="1:19">
      <c r="A1370" s="1">
        <v>2016</v>
      </c>
      <c r="B1370" s="1">
        <v>37</v>
      </c>
      <c r="C1370" s="1" t="s">
        <v>79</v>
      </c>
      <c r="D1370" s="1" t="e">
        <f t="array" aca="1" ref="D1370" ca="1">_xludf.XLOOKUP(C1370,'country region mapping'!$A$2:$A$250, 'country region mapping'!$E$2:$E$250)</f>
        <v>#NAME?</v>
      </c>
      <c r="E1370" s="1" t="e">
        <f t="array" aca="1" ref="E1370" ca="1">_xludf.XLOOKUP(C1370,'country region mapping'!$A$2:$A$267,'country region mapping'!$F$2:$F$267)</f>
        <v>#NAME?</v>
      </c>
      <c r="F1370" s="1" t="e">
        <f t="array" aca="1" ref="F1370" ca="1">_xludf.XLOOKUP(C1370,'country region mapping'!$A$2:$A$267,'country region mapping'!$G$2:$G$267)</f>
        <v>#NAME?</v>
      </c>
      <c r="G1370" s="1">
        <v>6.3440000000000003</v>
      </c>
      <c r="H1370" s="1">
        <v>65</v>
      </c>
      <c r="I1370" s="1">
        <v>50</v>
      </c>
      <c r="J1370" s="1">
        <v>21</v>
      </c>
      <c r="K1370" s="1">
        <v>58</v>
      </c>
      <c r="L1370" s="1">
        <v>70</v>
      </c>
      <c r="M1370" s="1">
        <v>70</v>
      </c>
      <c r="O1370" s="14">
        <v>43</v>
      </c>
      <c r="P1370" s="14">
        <v>68</v>
      </c>
      <c r="Q1370" s="14">
        <v>70</v>
      </c>
      <c r="R1370" s="14">
        <v>101</v>
      </c>
      <c r="S1370" s="14">
        <v>12</v>
      </c>
    </row>
    <row r="1371" spans="1:19">
      <c r="A1371" s="1">
        <v>2016</v>
      </c>
      <c r="B1371" s="1">
        <v>38</v>
      </c>
      <c r="C1371" s="1" t="s">
        <v>91</v>
      </c>
      <c r="D1371" s="1" t="e">
        <f t="array" aca="1" ref="D1371" ca="1">_xludf.XLOOKUP(C1371,'country region mapping'!$A$2:$A$250, 'country region mapping'!$E$2:$E$250)</f>
        <v>#NAME?</v>
      </c>
      <c r="E1371" s="1" t="e">
        <f t="array" aca="1" ref="E1371" ca="1">_xludf.XLOOKUP(C1371,'country region mapping'!$A$2:$A$267,'country region mapping'!$F$2:$F$267)</f>
        <v>#NAME?</v>
      </c>
      <c r="F1371" s="1" t="e">
        <f t="array" aca="1" ref="F1371" ca="1">_xludf.XLOOKUP(C1371,'country region mapping'!$A$2:$A$267,'country region mapping'!$G$2:$G$267)</f>
        <v>#NAME?</v>
      </c>
      <c r="G1371" s="1">
        <v>6.1680000000000001</v>
      </c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</row>
    <row r="1372" spans="1:19">
      <c r="A1372" s="1">
        <v>2016</v>
      </c>
      <c r="B1372" s="1">
        <v>39</v>
      </c>
      <c r="C1372" s="1" t="s">
        <v>88</v>
      </c>
      <c r="D1372" s="1" t="e">
        <f t="array" aca="1" ref="D1372" ca="1">_xludf.XLOOKUP(C1372,'country region mapping'!$A$2:$A$250, 'country region mapping'!$E$2:$E$250)</f>
        <v>#NAME?</v>
      </c>
      <c r="E1372" s="1" t="e">
        <f t="array" aca="1" ref="E1372" ca="1">_xludf.XLOOKUP(C1372,'country region mapping'!$A$2:$A$267,'country region mapping'!$F$2:$F$267)</f>
        <v>#NAME?</v>
      </c>
      <c r="F1372" s="1" t="e">
        <f t="array" aca="1" ref="F1372" ca="1">_xludf.XLOOKUP(C1372,'country region mapping'!$A$2:$A$267,'country region mapping'!$G$2:$G$267)</f>
        <v>#NAME?</v>
      </c>
      <c r="G1372" s="1">
        <v>6.1050000000000004</v>
      </c>
      <c r="H1372" s="1">
        <v>99</v>
      </c>
      <c r="I1372" s="1">
        <v>68</v>
      </c>
      <c r="J1372" s="1">
        <v>16</v>
      </c>
      <c r="K1372" s="1">
        <v>14</v>
      </c>
      <c r="L1372" s="1">
        <v>44</v>
      </c>
      <c r="M1372" s="1">
        <v>45</v>
      </c>
      <c r="O1372" s="14">
        <v>80</v>
      </c>
      <c r="P1372" s="14">
        <v>94</v>
      </c>
      <c r="Q1372" s="14">
        <v>45</v>
      </c>
      <c r="R1372" s="14">
        <v>83</v>
      </c>
      <c r="S1372" s="14">
        <v>7</v>
      </c>
    </row>
    <row r="1373" spans="1:19">
      <c r="A1373" s="1">
        <v>2016</v>
      </c>
      <c r="B1373" s="1">
        <v>40</v>
      </c>
      <c r="C1373" s="1" t="s">
        <v>95</v>
      </c>
      <c r="D1373" s="1" t="e">
        <f t="array" aca="1" ref="D1373" ca="1">_xludf.XLOOKUP(C1373,'country region mapping'!$A$2:$A$250, 'country region mapping'!$E$2:$E$250)</f>
        <v>#NAME?</v>
      </c>
      <c r="E1373" s="1" t="e">
        <f t="array" aca="1" ref="E1373" ca="1">_xludf.XLOOKUP(C1373,'country region mapping'!$A$2:$A$267,'country region mapping'!$F$2:$F$267)</f>
        <v>#NAME?</v>
      </c>
      <c r="F1373" s="1" t="e">
        <f t="array" aca="1" ref="F1373" ca="1">_xludf.XLOOKUP(C1373,'country region mapping'!$A$2:$A$267,'country region mapping'!$G$2:$G$267)</f>
        <v>#NAME?</v>
      </c>
      <c r="G1373" s="1">
        <v>6.0979999999999999</v>
      </c>
      <c r="H1373" s="1">
        <v>47</v>
      </c>
      <c r="I1373" s="1">
        <v>8</v>
      </c>
      <c r="J1373" s="1">
        <v>39</v>
      </c>
      <c r="K1373" s="1">
        <v>46</v>
      </c>
      <c r="L1373" s="1">
        <v>102</v>
      </c>
      <c r="M1373" s="1">
        <v>56</v>
      </c>
      <c r="N1373" s="1">
        <v>119</v>
      </c>
      <c r="O1373" s="1">
        <v>59</v>
      </c>
      <c r="P1373" s="1">
        <v>47</v>
      </c>
      <c r="Q1373" s="1">
        <v>56</v>
      </c>
      <c r="R1373" s="1">
        <v>89</v>
      </c>
      <c r="S1373" s="1">
        <v>126</v>
      </c>
    </row>
    <row r="1374" spans="1:19">
      <c r="A1374" s="1">
        <v>2016</v>
      </c>
      <c r="B1374" s="1">
        <v>41</v>
      </c>
      <c r="C1374" s="1" t="s">
        <v>90</v>
      </c>
      <c r="D1374" s="1" t="e">
        <f t="array" aca="1" ref="D1374" ca="1">_xludf.XLOOKUP(C1374,'country region mapping'!$A$2:$A$250, 'country region mapping'!$E$2:$E$250)</f>
        <v>#NAME?</v>
      </c>
      <c r="E1374" s="1" t="e">
        <f t="array" aca="1" ref="E1374" ca="1">_xludf.XLOOKUP(C1374,'country region mapping'!$A$2:$A$267,'country region mapping'!$F$2:$F$267)</f>
        <v>#NAME?</v>
      </c>
      <c r="F1374" s="1" t="e">
        <f t="array" aca="1" ref="F1374" ca="1">_xludf.XLOOKUP(C1374,'country region mapping'!$A$2:$A$267,'country region mapping'!$G$2:$G$267)</f>
        <v>#NAME?</v>
      </c>
      <c r="G1374" s="1">
        <v>6.0869999999999997</v>
      </c>
      <c r="H1374" s="1">
        <v>93</v>
      </c>
      <c r="I1374" s="1">
        <v>64</v>
      </c>
      <c r="J1374" s="1">
        <v>19</v>
      </c>
      <c r="K1374" s="1">
        <v>61</v>
      </c>
      <c r="L1374" s="1">
        <v>22</v>
      </c>
      <c r="M1374" s="1">
        <v>24</v>
      </c>
      <c r="O1374" s="14">
        <v>36</v>
      </c>
      <c r="P1374" s="14">
        <v>77</v>
      </c>
      <c r="Q1374" s="14">
        <v>24</v>
      </c>
      <c r="R1374" s="14">
        <v>36</v>
      </c>
      <c r="S1374" s="14">
        <v>10</v>
      </c>
    </row>
    <row r="1375" spans="1:19">
      <c r="A1375" s="1">
        <v>2016</v>
      </c>
      <c r="B1375" s="1">
        <v>42</v>
      </c>
      <c r="C1375" s="1" t="s">
        <v>97</v>
      </c>
      <c r="D1375" s="1" t="e">
        <f t="array" aca="1" ref="D1375" ca="1">_xludf.XLOOKUP(C1375,'country region mapping'!$A$2:$A$250, 'country region mapping'!$E$2:$E$250)</f>
        <v>#NAME?</v>
      </c>
      <c r="E1375" s="1" t="e">
        <f t="array" aca="1" ref="E1375" ca="1">_xludf.XLOOKUP(C1375,'country region mapping'!$A$2:$A$267,'country region mapping'!$F$2:$F$267)</f>
        <v>#NAME?</v>
      </c>
      <c r="F1375" s="1" t="e">
        <f t="array" aca="1" ref="F1375" ca="1">_xludf.XLOOKUP(C1375,'country region mapping'!$A$2:$A$267,'country region mapping'!$G$2:$G$267)</f>
        <v>#NAME?</v>
      </c>
      <c r="G1375" s="1">
        <v>6.0839999999999996</v>
      </c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</row>
    <row r="1376" spans="1:19">
      <c r="A1376" s="1">
        <v>2016</v>
      </c>
      <c r="B1376" s="1">
        <v>43</v>
      </c>
      <c r="C1376" s="1" t="s">
        <v>98</v>
      </c>
      <c r="D1376" s="1" t="e">
        <f t="array" aca="1" ref="D1376" ca="1">_xludf.XLOOKUP(C1376,'country region mapping'!$A$2:$A$250, 'country region mapping'!$E$2:$E$250)</f>
        <v>#NAME?</v>
      </c>
      <c r="E1376" s="1" t="e">
        <f t="array" aca="1" ref="E1376" ca="1">_xludf.XLOOKUP(C1376,'country region mapping'!$A$2:$A$267,'country region mapping'!$F$2:$F$267)</f>
        <v>#NAME?</v>
      </c>
      <c r="F1376" s="1" t="e">
        <f t="array" aca="1" ref="F1376" ca="1">_xludf.XLOOKUP(C1376,'country region mapping'!$A$2:$A$267,'country region mapping'!$G$2:$G$267)</f>
        <v>#NAME?</v>
      </c>
      <c r="G1376" s="1">
        <v>6.0709999999999997</v>
      </c>
      <c r="H1376" s="1">
        <v>133</v>
      </c>
      <c r="I1376" s="1">
        <v>66</v>
      </c>
      <c r="J1376" s="1">
        <v>98</v>
      </c>
      <c r="K1376" s="1">
        <v>48</v>
      </c>
      <c r="L1376" s="1">
        <v>94</v>
      </c>
      <c r="M1376" s="1">
        <v>64</v>
      </c>
      <c r="N1376" s="1">
        <v>39</v>
      </c>
      <c r="O1376" s="1">
        <v>14</v>
      </c>
      <c r="P1376" s="1">
        <v>125</v>
      </c>
      <c r="Q1376" s="1">
        <v>64</v>
      </c>
      <c r="R1376" s="1">
        <v>45</v>
      </c>
      <c r="S1376" s="1">
        <v>115</v>
      </c>
    </row>
    <row r="1377" spans="1:19">
      <c r="A1377" s="1">
        <v>2016</v>
      </c>
      <c r="B1377" s="1">
        <v>44</v>
      </c>
      <c r="C1377" s="1" t="s">
        <v>102</v>
      </c>
      <c r="D1377" s="1" t="e">
        <f t="array" aca="1" ref="D1377" ca="1">_xludf.XLOOKUP(C1377,'country region mapping'!$A$2:$A$250, 'country region mapping'!$E$2:$E$250)</f>
        <v>#NAME?</v>
      </c>
      <c r="E1377" s="1" t="e">
        <f t="array" aca="1" ref="E1377" ca="1">_xludf.XLOOKUP(C1377,'country region mapping'!$A$2:$A$267,'country region mapping'!$F$2:$F$267)</f>
        <v>#NAME?</v>
      </c>
      <c r="F1377" s="1" t="e">
        <f t="array" aca="1" ref="F1377" ca="1">_xludf.XLOOKUP(C1377,'country region mapping'!$A$2:$A$267,'country region mapping'!$G$2:$G$267)</f>
        <v>#NAME?</v>
      </c>
      <c r="G1377" s="1">
        <v>6.008</v>
      </c>
      <c r="H1377" s="1">
        <v>105</v>
      </c>
      <c r="I1377" s="1">
        <v>69</v>
      </c>
      <c r="J1377" s="1">
        <v>80</v>
      </c>
      <c r="K1377" s="1">
        <v>44</v>
      </c>
      <c r="L1377" s="1">
        <v>42</v>
      </c>
      <c r="M1377" s="1">
        <v>68</v>
      </c>
      <c r="N1377" s="1">
        <v>49</v>
      </c>
      <c r="O1377" s="1">
        <v>8</v>
      </c>
      <c r="P1377" s="1">
        <v>113</v>
      </c>
      <c r="Q1377" s="1">
        <v>68</v>
      </c>
      <c r="R1377" s="1">
        <v>50</v>
      </c>
      <c r="S1377" s="1">
        <v>44</v>
      </c>
    </row>
    <row r="1378" spans="1:19">
      <c r="A1378" s="1">
        <v>2016</v>
      </c>
      <c r="B1378" s="1">
        <v>45</v>
      </c>
      <c r="C1378" s="1" t="s">
        <v>96</v>
      </c>
      <c r="D1378" s="1" t="e">
        <f t="array" aca="1" ref="D1378" ca="1">_xludf.XLOOKUP(C1378,'country region mapping'!$A$2:$A$250, 'country region mapping'!$E$2:$E$250)</f>
        <v>#NAME?</v>
      </c>
      <c r="E1378" s="1" t="e">
        <f t="array" aca="1" ref="E1378" ca="1">_xludf.XLOOKUP(C1378,'country region mapping'!$A$2:$A$267,'country region mapping'!$F$2:$F$267)</f>
        <v>#NAME?</v>
      </c>
      <c r="F1378" s="1" t="e">
        <f t="array" aca="1" ref="F1378" ca="1">_xludf.XLOOKUP(C1378,'country region mapping'!$A$2:$A$267,'country region mapping'!$G$2:$G$267)</f>
        <v>#NAME?</v>
      </c>
      <c r="G1378" s="1">
        <v>6.0030000000000001</v>
      </c>
      <c r="H1378" s="1">
        <v>120</v>
      </c>
      <c r="I1378" s="1">
        <v>93</v>
      </c>
      <c r="J1378" s="1">
        <v>90</v>
      </c>
      <c r="K1378" s="1">
        <v>76</v>
      </c>
      <c r="L1378" s="1">
        <v>62</v>
      </c>
      <c r="M1378" s="1">
        <v>133</v>
      </c>
      <c r="N1378" s="1">
        <v>59</v>
      </c>
      <c r="O1378" s="1">
        <v>31</v>
      </c>
      <c r="P1378" s="1">
        <v>110</v>
      </c>
      <c r="Q1378" s="1">
        <v>133</v>
      </c>
      <c r="R1378" s="1">
        <v>47</v>
      </c>
      <c r="S1378" s="1">
        <v>73</v>
      </c>
    </row>
    <row r="1379" spans="1:19">
      <c r="A1379" s="1">
        <v>2016</v>
      </c>
      <c r="B1379" s="1">
        <v>46</v>
      </c>
      <c r="C1379" s="1" t="s">
        <v>109</v>
      </c>
      <c r="D1379" s="1" t="e">
        <f t="array" aca="1" ref="D1379" ca="1">_xludf.XLOOKUP(C1379,'country region mapping'!$A$2:$A$250, 'country region mapping'!$E$2:$E$250)</f>
        <v>#NAME?</v>
      </c>
      <c r="E1379" s="1" t="e">
        <f t="array" aca="1" ref="E1379" ca="1">_xludf.XLOOKUP(C1379,'country region mapping'!$A$2:$A$267,'country region mapping'!$F$2:$F$267)</f>
        <v>#NAME?</v>
      </c>
      <c r="F1379" s="1" t="e">
        <f t="array" aca="1" ref="F1379" ca="1">_xludf.XLOOKUP(C1379,'country region mapping'!$A$2:$A$267,'country region mapping'!$G$2:$G$267)</f>
        <v>#NAME?</v>
      </c>
      <c r="G1379" s="1">
        <v>5.9729999999999999</v>
      </c>
      <c r="H1379" s="1">
        <v>39</v>
      </c>
      <c r="I1379" s="1">
        <v>31</v>
      </c>
      <c r="J1379" s="1">
        <v>40</v>
      </c>
      <c r="K1379" s="1">
        <v>40</v>
      </c>
      <c r="L1379" s="1">
        <v>33</v>
      </c>
      <c r="M1379" s="1">
        <v>69</v>
      </c>
      <c r="N1379" s="1">
        <v>86</v>
      </c>
      <c r="O1379" s="1">
        <v>68</v>
      </c>
      <c r="P1379" s="1">
        <v>42</v>
      </c>
      <c r="Q1379" s="1">
        <v>69</v>
      </c>
      <c r="R1379" s="1">
        <v>105</v>
      </c>
      <c r="S1379" s="1">
        <v>116</v>
      </c>
    </row>
    <row r="1380" spans="1:19">
      <c r="A1380" s="1">
        <v>2016</v>
      </c>
      <c r="B1380" s="1">
        <v>47</v>
      </c>
      <c r="C1380" s="1" t="s">
        <v>99</v>
      </c>
      <c r="D1380" s="1" t="e">
        <f t="array" aca="1" ref="D1380" ca="1">_xludf.XLOOKUP(C1380,'country region mapping'!$A$2:$A$250, 'country region mapping'!$E$2:$E$250)</f>
        <v>#NAME?</v>
      </c>
      <c r="E1380" s="1" t="e">
        <f t="array" aca="1" ref="E1380" ca="1">_xludf.XLOOKUP(C1380,'country region mapping'!$A$2:$A$267,'country region mapping'!$F$2:$F$267)</f>
        <v>#NAME?</v>
      </c>
      <c r="F1380" s="1" t="e">
        <f t="array" aca="1" ref="F1380" ca="1">_xludf.XLOOKUP(C1380,'country region mapping'!$A$2:$A$267,'country region mapping'!$G$2:$G$267)</f>
        <v>#NAME?</v>
      </c>
      <c r="G1380" s="1">
        <v>5.9710000000000001</v>
      </c>
      <c r="H1380" s="1">
        <v>98</v>
      </c>
      <c r="I1380" s="1">
        <v>9</v>
      </c>
      <c r="J1380" s="1">
        <v>97</v>
      </c>
      <c r="K1380" s="1">
        <v>91</v>
      </c>
      <c r="L1380" s="1">
        <v>1</v>
      </c>
      <c r="M1380" s="1">
        <v>28</v>
      </c>
      <c r="O1380" s="14">
        <v>19</v>
      </c>
      <c r="P1380" s="14">
        <v>6</v>
      </c>
      <c r="Q1380" s="14">
        <v>28</v>
      </c>
      <c r="R1380" s="14">
        <v>75</v>
      </c>
      <c r="S1380" s="14">
        <v>48</v>
      </c>
    </row>
    <row r="1381" spans="1:19">
      <c r="A1381" s="1">
        <v>2016</v>
      </c>
      <c r="B1381" s="1">
        <v>48</v>
      </c>
      <c r="C1381" s="1" t="s">
        <v>100</v>
      </c>
      <c r="D1381" s="1" t="e">
        <f t="array" aca="1" ref="D1381" ca="1">_xludf.XLOOKUP(C1381,'country region mapping'!$A$2:$A$250, 'country region mapping'!$E$2:$E$250)</f>
        <v>#NAME?</v>
      </c>
      <c r="E1381" s="1" t="e">
        <f t="array" aca="1" ref="E1381" ca="1">_xludf.XLOOKUP(C1381,'country region mapping'!$A$2:$A$267,'country region mapping'!$F$2:$F$267)</f>
        <v>#NAME?</v>
      </c>
      <c r="F1381" s="1" t="e">
        <f t="array" aca="1" ref="F1381" ca="1">_xludf.XLOOKUP(C1381,'country region mapping'!$A$2:$A$267,'country region mapping'!$G$2:$G$267)</f>
        <v>#NAME?</v>
      </c>
      <c r="G1381" s="1">
        <v>5.9640000000000004</v>
      </c>
      <c r="H1381" s="1">
        <v>42</v>
      </c>
      <c r="I1381" s="1">
        <v>24</v>
      </c>
      <c r="J1381" s="1">
        <v>25</v>
      </c>
      <c r="K1381" s="1">
        <v>5</v>
      </c>
      <c r="L1381" s="1">
        <v>119</v>
      </c>
      <c r="M1381" s="1">
        <v>54</v>
      </c>
      <c r="N1381" s="1">
        <v>117</v>
      </c>
      <c r="O1381" s="1">
        <v>83</v>
      </c>
      <c r="P1381" s="1">
        <v>107</v>
      </c>
      <c r="Q1381" s="1">
        <v>54</v>
      </c>
      <c r="R1381" s="1">
        <v>95</v>
      </c>
      <c r="S1381" s="1">
        <v>90</v>
      </c>
    </row>
    <row r="1382" spans="1:19">
      <c r="A1382" s="1">
        <v>2016</v>
      </c>
      <c r="B1382" s="1">
        <v>49</v>
      </c>
      <c r="C1382" s="1" t="s">
        <v>108</v>
      </c>
      <c r="D1382" s="1" t="e">
        <f t="array" aca="1" ref="D1382" ca="1">_xludf.XLOOKUP(C1382,'country region mapping'!$A$2:$A$250, 'country region mapping'!$E$2:$E$250)</f>
        <v>#NAME?</v>
      </c>
      <c r="E1382" s="1" t="e">
        <f t="array" aca="1" ref="E1382" ca="1">_xludf.XLOOKUP(C1382,'country region mapping'!$A$2:$A$267,'country region mapping'!$F$2:$F$267)</f>
        <v>#NAME?</v>
      </c>
      <c r="F1382" s="1" t="e">
        <f t="array" aca="1" ref="F1382" ca="1">_xludf.XLOOKUP(C1382,'country region mapping'!$A$2:$A$267,'country region mapping'!$G$2:$G$267)</f>
        <v>#NAME?</v>
      </c>
      <c r="G1382" s="1">
        <v>5.9630000000000001</v>
      </c>
      <c r="H1382" s="1">
        <v>67</v>
      </c>
      <c r="I1382" s="1">
        <v>36</v>
      </c>
      <c r="J1382" s="1">
        <v>38</v>
      </c>
      <c r="K1382" s="1">
        <v>87</v>
      </c>
      <c r="L1382" s="1">
        <v>95</v>
      </c>
      <c r="M1382" s="1">
        <v>105</v>
      </c>
      <c r="N1382" s="1">
        <v>124</v>
      </c>
      <c r="O1382" s="1">
        <v>104</v>
      </c>
      <c r="P1382" s="1">
        <v>4</v>
      </c>
      <c r="Q1382" s="1">
        <v>105</v>
      </c>
      <c r="R1382" s="1">
        <v>107</v>
      </c>
      <c r="S1382" s="1">
        <v>128</v>
      </c>
    </row>
    <row r="1383" spans="1:19">
      <c r="A1383" s="1">
        <v>2016</v>
      </c>
      <c r="B1383" s="1">
        <v>50</v>
      </c>
      <c r="C1383" s="1" t="s">
        <v>103</v>
      </c>
      <c r="D1383" s="1" t="e">
        <f t="array" aca="1" ref="D1383" ca="1">_xludf.XLOOKUP(C1383,'country region mapping'!$A$2:$A$250, 'country region mapping'!$E$2:$E$250)</f>
        <v>#NAME?</v>
      </c>
      <c r="E1383" s="1" t="e">
        <f t="array" aca="1" ref="E1383" ca="1">_xludf.XLOOKUP(C1383,'country region mapping'!$A$2:$A$267,'country region mapping'!$F$2:$F$267)</f>
        <v>#NAME?</v>
      </c>
      <c r="F1383" s="1" t="e">
        <f t="array" aca="1" ref="F1383" ca="1">_xludf.XLOOKUP(C1383,'country region mapping'!$A$2:$A$267,'country region mapping'!$G$2:$G$267)</f>
        <v>#NAME?</v>
      </c>
      <c r="G1383" s="1">
        <v>5.9560000000000004</v>
      </c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</row>
    <row r="1384" spans="1:19">
      <c r="A1384" s="1">
        <v>2016</v>
      </c>
      <c r="B1384" s="1">
        <v>51</v>
      </c>
      <c r="C1384" s="1" t="s">
        <v>104</v>
      </c>
      <c r="D1384" s="1" t="e">
        <f t="array" aca="1" ref="D1384" ca="1">_xludf.XLOOKUP(C1384,'country region mapping'!$A$2:$A$250, 'country region mapping'!$E$2:$E$250)</f>
        <v>#NAME?</v>
      </c>
      <c r="E1384" s="1" t="e">
        <f t="array" aca="1" ref="E1384" ca="1">_xludf.XLOOKUP(C1384,'country region mapping'!$A$2:$A$267,'country region mapping'!$F$2:$F$267)</f>
        <v>#NAME?</v>
      </c>
      <c r="F1384" s="1" t="e">
        <f t="array" aca="1" ref="F1384" ca="1">_xludf.XLOOKUP(C1384,'country region mapping'!$A$2:$A$267,'country region mapping'!$G$2:$G$267)</f>
        <v>#NAME?</v>
      </c>
      <c r="G1384" s="1">
        <v>5.92</v>
      </c>
      <c r="H1384" s="1">
        <v>45</v>
      </c>
      <c r="I1384" s="1">
        <v>43</v>
      </c>
      <c r="J1384" s="1">
        <v>29</v>
      </c>
      <c r="K1384" s="1">
        <v>2</v>
      </c>
      <c r="L1384" s="1">
        <v>47</v>
      </c>
      <c r="M1384" s="1">
        <v>46</v>
      </c>
      <c r="N1384" s="1">
        <v>30</v>
      </c>
      <c r="O1384" s="1">
        <v>57</v>
      </c>
      <c r="P1384" s="1">
        <v>18</v>
      </c>
      <c r="Q1384" s="1">
        <v>46</v>
      </c>
      <c r="R1384" s="1">
        <v>73</v>
      </c>
      <c r="S1384" s="1">
        <v>136</v>
      </c>
    </row>
    <row r="1385" spans="1:19">
      <c r="A1385" s="1">
        <v>2016</v>
      </c>
      <c r="B1385" s="1">
        <v>52</v>
      </c>
      <c r="C1385" s="1" t="s">
        <v>114</v>
      </c>
      <c r="D1385" s="1" t="e">
        <f t="array" aca="1" ref="D1385" ca="1">_xludf.XLOOKUP(C1385,'country region mapping'!$A$2:$A$250, 'country region mapping'!$E$2:$E$250)</f>
        <v>#NAME?</v>
      </c>
      <c r="E1385" s="1" t="e">
        <f t="array" aca="1" ref="E1385" ca="1">_xludf.XLOOKUP(C1385,'country region mapping'!$A$2:$A$267,'country region mapping'!$F$2:$F$267)</f>
        <v>#NAME?</v>
      </c>
      <c r="F1385" s="1" t="e">
        <f t="array" aca="1" ref="F1385" ca="1">_xludf.XLOOKUP(C1385,'country region mapping'!$A$2:$A$267,'country region mapping'!$G$2:$G$267)</f>
        <v>#NAME?</v>
      </c>
      <c r="G1385" s="1">
        <v>5.9020000000000001</v>
      </c>
      <c r="H1385" s="1">
        <v>46</v>
      </c>
      <c r="I1385" s="1">
        <v>14</v>
      </c>
      <c r="J1385" s="1">
        <v>36</v>
      </c>
      <c r="K1385" s="1">
        <v>68</v>
      </c>
      <c r="L1385" s="1">
        <v>122</v>
      </c>
      <c r="M1385" s="1">
        <v>129</v>
      </c>
      <c r="N1385" s="1">
        <v>128</v>
      </c>
      <c r="O1385" s="1">
        <v>119</v>
      </c>
      <c r="P1385" s="1">
        <v>58</v>
      </c>
      <c r="Q1385" s="1">
        <v>129</v>
      </c>
      <c r="R1385" s="1">
        <v>122</v>
      </c>
      <c r="S1385" s="1">
        <v>133</v>
      </c>
    </row>
    <row r="1386" spans="1:19">
      <c r="A1386" s="1">
        <v>2016</v>
      </c>
      <c r="B1386" s="1">
        <v>53</v>
      </c>
      <c r="C1386" s="1" t="s">
        <v>85</v>
      </c>
      <c r="D1386" s="1" t="e">
        <f t="array" aca="1" ref="D1386" ca="1">_xludf.XLOOKUP(C1386,'country region mapping'!$A$2:$A$250, 'country region mapping'!$E$2:$E$250)</f>
        <v>#NAME?</v>
      </c>
      <c r="E1386" s="1" t="e">
        <f t="array" aca="1" ref="E1386" ca="1">_xludf.XLOOKUP(C1386,'country region mapping'!$A$2:$A$267,'country region mapping'!$F$2:$F$267)</f>
        <v>#NAME?</v>
      </c>
      <c r="F1386" s="1" t="e">
        <f t="array" aca="1" ref="F1386" ca="1">_xludf.XLOOKUP(C1386,'country region mapping'!$A$2:$A$267,'country region mapping'!$G$2:$G$267)</f>
        <v>#NAME?</v>
      </c>
      <c r="G1386" s="1">
        <v>5.8719999999999999</v>
      </c>
      <c r="H1386" s="1">
        <v>70</v>
      </c>
      <c r="I1386" s="1">
        <v>107</v>
      </c>
      <c r="J1386" s="1">
        <v>69</v>
      </c>
      <c r="K1386" s="1">
        <v>59</v>
      </c>
      <c r="N1386" s="1"/>
      <c r="O1386" s="14">
        <v>115</v>
      </c>
      <c r="P1386" s="14">
        <v>121</v>
      </c>
      <c r="Q1386" s="1"/>
      <c r="R1386" s="1"/>
      <c r="S1386" s="1"/>
    </row>
    <row r="1387" spans="1:19">
      <c r="A1387" s="1">
        <v>2016</v>
      </c>
      <c r="B1387" s="1">
        <v>54</v>
      </c>
      <c r="C1387" s="1" t="s">
        <v>123</v>
      </c>
      <c r="D1387" s="1" t="e">
        <f t="array" aca="1" ref="D1387" ca="1">_xludf.XLOOKUP(C1387,'country region mapping'!$A$2:$A$250, 'country region mapping'!$E$2:$E$250)</f>
        <v>#NAME?</v>
      </c>
      <c r="E1387" s="1" t="e">
        <f t="array" aca="1" ref="E1387" ca="1">_xludf.XLOOKUP(C1387,'country region mapping'!$A$2:$A$267,'country region mapping'!$F$2:$F$267)</f>
        <v>#NAME?</v>
      </c>
      <c r="F1387" s="1" t="e">
        <f t="array" aca="1" ref="F1387" ca="1">_xludf.XLOOKUP(C1387,'country region mapping'!$A$2:$A$267,'country region mapping'!$G$2:$G$267)</f>
        <v>#NAME?</v>
      </c>
      <c r="G1387" s="1">
        <v>5.85</v>
      </c>
      <c r="H1387" s="1">
        <v>23</v>
      </c>
      <c r="I1387" s="1">
        <v>32</v>
      </c>
      <c r="J1387" s="1">
        <v>42</v>
      </c>
      <c r="K1387" s="1">
        <v>62</v>
      </c>
      <c r="L1387" s="1">
        <v>105</v>
      </c>
      <c r="M1387" s="1">
        <v>93</v>
      </c>
      <c r="N1387" s="1">
        <v>98</v>
      </c>
      <c r="O1387" s="1">
        <v>109</v>
      </c>
      <c r="P1387" s="1">
        <v>46</v>
      </c>
      <c r="Q1387" s="1">
        <v>93</v>
      </c>
      <c r="R1387" s="1">
        <v>138</v>
      </c>
      <c r="S1387" s="1">
        <v>132</v>
      </c>
    </row>
    <row r="1388" spans="1:19">
      <c r="A1388" s="1">
        <v>2016</v>
      </c>
      <c r="B1388" s="1">
        <v>55</v>
      </c>
      <c r="C1388" s="1" t="s">
        <v>110</v>
      </c>
      <c r="D1388" s="1" t="e">
        <f t="array" aca="1" ref="D1388" ca="1">_xludf.XLOOKUP(C1388,'country region mapping'!$A$2:$A$267,'country region mapping'!$E$2:$E$267)</f>
        <v>#NAME?</v>
      </c>
      <c r="E1388" s="1" t="e">
        <f t="array" aca="1" ref="E1388" ca="1">_xludf.XLOOKUP(C1388,'country region mapping'!$A$2:$A$267,'country region mapping'!$F$2:$F$267)</f>
        <v>#NAME?</v>
      </c>
      <c r="F1388" s="1" t="e">
        <f t="array" aca="1" ref="F1388" ca="1">_xludf.XLOOKUP(C1388,'country region mapping'!$A$2:$A$267,'country region mapping'!$G$2:$G$267)</f>
        <v>#NAME?</v>
      </c>
      <c r="G1388" s="1">
        <v>5.8380000000000001</v>
      </c>
      <c r="H1388" s="1">
        <v>74</v>
      </c>
      <c r="I1388" s="1">
        <v>83</v>
      </c>
      <c r="J1388" s="1">
        <v>30</v>
      </c>
      <c r="K1388" s="1">
        <v>3</v>
      </c>
      <c r="L1388" s="1">
        <v>126</v>
      </c>
      <c r="M1388" s="1">
        <v>33</v>
      </c>
      <c r="N1388" s="1">
        <v>93</v>
      </c>
      <c r="O1388" s="1">
        <v>108</v>
      </c>
      <c r="P1388" s="1">
        <v>48</v>
      </c>
      <c r="Q1388" s="1">
        <v>33</v>
      </c>
      <c r="R1388" s="1">
        <v>79</v>
      </c>
      <c r="S1388" s="1">
        <v>95</v>
      </c>
    </row>
    <row r="1389" spans="1:19">
      <c r="A1389" s="1">
        <v>2016</v>
      </c>
      <c r="B1389" s="1">
        <v>56</v>
      </c>
      <c r="C1389" s="1" t="s">
        <v>285</v>
      </c>
      <c r="D1389" s="1" t="e">
        <f t="array" aca="1" ref="D1389" ca="1">_xludf.XLOOKUP(C1389,'country region mapping'!$A$2:$A$267,'country region mapping'!$E$2:$E$267)</f>
        <v>#NAME?</v>
      </c>
      <c r="E1389" s="1" t="e">
        <f t="array" aca="1" ref="E1389" ca="1">_xludf.XLOOKUP(C1389,'country region mapping'!$A$2:$A$267,'country region mapping'!$F$2:$F$267)</f>
        <v>#NAME?</v>
      </c>
      <c r="F1389" s="1" t="e">
        <f t="array" aca="1" ref="F1389" ca="1">_xludf.XLOOKUP(C1389,'country region mapping'!$A$2:$A$267,'country region mapping'!$G$2:$G$267)</f>
        <v>#NAME?</v>
      </c>
      <c r="G1389" s="1">
        <v>5.8380000000000001</v>
      </c>
      <c r="H1389" s="1">
        <v>41</v>
      </c>
      <c r="I1389" s="1">
        <v>72</v>
      </c>
      <c r="J1389" s="1">
        <v>85</v>
      </c>
      <c r="K1389" s="1">
        <v>81</v>
      </c>
      <c r="L1389" s="1">
        <v>129</v>
      </c>
      <c r="M1389" s="1">
        <v>76</v>
      </c>
      <c r="N1389" s="1">
        <v>130</v>
      </c>
      <c r="O1389" s="1">
        <v>106</v>
      </c>
      <c r="P1389" s="1">
        <v>72</v>
      </c>
      <c r="Q1389" s="1">
        <v>76</v>
      </c>
      <c r="R1389" s="1">
        <v>77</v>
      </c>
      <c r="S1389" s="1">
        <v>107</v>
      </c>
    </row>
    <row r="1390" spans="1:19">
      <c r="A1390" s="1">
        <v>2016</v>
      </c>
      <c r="B1390" s="1">
        <v>57</v>
      </c>
      <c r="C1390" s="1" t="s">
        <v>128</v>
      </c>
      <c r="D1390" s="1" t="e">
        <f t="array" aca="1" ref="D1390" ca="1">_xludf.XLOOKUP(C1390,'country region mapping'!$A$2:$A$250, 'country region mapping'!$E$2:$E$250)</f>
        <v>#NAME?</v>
      </c>
      <c r="E1390" s="1" t="e">
        <f t="array" aca="1" ref="E1390" ca="1">_xludf.XLOOKUP(C1390,'country region mapping'!$A$2:$A$267,'country region mapping'!$F$2:$F$267)</f>
        <v>#NAME?</v>
      </c>
      <c r="F1390" s="1" t="e">
        <f t="array" aca="1" ref="F1390" ca="1">_xludf.XLOOKUP(C1390,'country region mapping'!$A$2:$A$267,'country region mapping'!$G$2:$G$267)</f>
        <v>#NAME?</v>
      </c>
      <c r="G1390" s="1">
        <v>5.8250000000000002</v>
      </c>
      <c r="H1390" s="1">
        <v>85</v>
      </c>
      <c r="I1390" s="1">
        <v>84</v>
      </c>
      <c r="J1390" s="1">
        <v>47</v>
      </c>
      <c r="K1390" s="1">
        <v>60</v>
      </c>
      <c r="L1390" s="1">
        <v>53</v>
      </c>
      <c r="M1390" s="1">
        <v>80</v>
      </c>
      <c r="N1390" s="1">
        <v>127</v>
      </c>
      <c r="O1390" s="1">
        <v>92</v>
      </c>
      <c r="P1390" s="1">
        <v>63</v>
      </c>
      <c r="Q1390" s="1">
        <v>80</v>
      </c>
      <c r="R1390" s="1">
        <v>126</v>
      </c>
      <c r="S1390" s="1">
        <v>32</v>
      </c>
    </row>
    <row r="1391" spans="1:19">
      <c r="A1391" s="1">
        <v>2016</v>
      </c>
      <c r="B1391" s="1">
        <v>58</v>
      </c>
      <c r="C1391" s="1" t="s">
        <v>112</v>
      </c>
      <c r="D1391" s="1" t="e">
        <f t="array" aca="1" ref="D1391" ca="1">_xludf.XLOOKUP(C1391,'country region mapping'!$A$2:$A$267,'country region mapping'!$E$2:$E$267)</f>
        <v>#NAME?</v>
      </c>
      <c r="E1391" s="1" t="e">
        <f t="array" aca="1" ref="E1391" ca="1">_xludf.XLOOKUP(C1391,'country region mapping'!$A$2:$A$267,'country region mapping'!$F$2:$F$267)</f>
        <v>#NAME?</v>
      </c>
      <c r="F1391" s="1" t="e">
        <f t="array" aca="1" ref="F1391" ca="1">_xludf.XLOOKUP(C1391,'country region mapping'!$A$2:$A$267,'country region mapping'!$G$2:$G$267)</f>
        <v>#NAME?</v>
      </c>
      <c r="G1391" s="1">
        <v>5.8230000000000004</v>
      </c>
      <c r="H1391" s="1">
        <v>63</v>
      </c>
      <c r="I1391" s="1">
        <v>92</v>
      </c>
      <c r="J1391" s="1">
        <v>92</v>
      </c>
      <c r="K1391" s="1">
        <v>84</v>
      </c>
      <c r="L1391" s="1">
        <v>27</v>
      </c>
      <c r="M1391" s="1">
        <v>83</v>
      </c>
      <c r="N1391" s="1">
        <v>89</v>
      </c>
      <c r="O1391" s="1">
        <v>38</v>
      </c>
      <c r="P1391" s="1">
        <v>120</v>
      </c>
      <c r="Q1391" s="1">
        <v>83</v>
      </c>
      <c r="R1391" s="1">
        <v>55</v>
      </c>
      <c r="S1391" s="1">
        <v>54</v>
      </c>
    </row>
    <row r="1392" spans="1:19">
      <c r="A1392" s="1">
        <v>2016</v>
      </c>
      <c r="B1392" s="1">
        <v>59</v>
      </c>
      <c r="C1392" s="1" t="s">
        <v>120</v>
      </c>
      <c r="D1392" s="1" t="e">
        <f t="array" aca="1" ref="D1392" ca="1">_xludf.XLOOKUP(C1392,'country region mapping'!$A$2:$A$250, 'country region mapping'!$E$2:$E$250)</f>
        <v>#NAME?</v>
      </c>
      <c r="E1392" s="1" t="e">
        <f t="array" aca="1" ref="E1392" ca="1">_xludf.XLOOKUP(C1392,'country region mapping'!$A$2:$A$267,'country region mapping'!$F$2:$F$267)</f>
        <v>#NAME?</v>
      </c>
      <c r="F1392" s="1" t="e">
        <f t="array" aca="1" ref="F1392" ca="1">_xludf.XLOOKUP(C1392,'country region mapping'!$A$2:$A$267,'country region mapping'!$G$2:$G$267)</f>
        <v>#NAME?</v>
      </c>
      <c r="G1392" s="1">
        <v>5.8220000000000001</v>
      </c>
      <c r="H1392" s="1">
        <v>1</v>
      </c>
      <c r="I1392" s="1">
        <v>20</v>
      </c>
      <c r="J1392" s="1">
        <v>82</v>
      </c>
      <c r="K1392" s="1">
        <v>95</v>
      </c>
      <c r="L1392" s="1">
        <v>84</v>
      </c>
      <c r="M1392" s="1">
        <v>52</v>
      </c>
      <c r="O1392" s="14">
        <v>117</v>
      </c>
      <c r="P1392" s="14">
        <v>62</v>
      </c>
      <c r="Q1392" s="14">
        <v>52</v>
      </c>
      <c r="R1392" s="14">
        <v>43</v>
      </c>
      <c r="S1392" s="14">
        <v>99</v>
      </c>
    </row>
    <row r="1393" spans="1:19">
      <c r="A1393" s="1">
        <v>2016</v>
      </c>
      <c r="B1393" s="1">
        <v>60</v>
      </c>
      <c r="C1393" s="1" t="s">
        <v>106</v>
      </c>
      <c r="D1393" s="1" t="e">
        <f t="array" aca="1" ref="D1393" ca="1">_xludf.XLOOKUP(C1393,'country region mapping'!$A$2:$A$250, 'country region mapping'!$E$2:$E$250)</f>
        <v>#NAME?</v>
      </c>
      <c r="E1393" s="1" t="e">
        <f t="array" aca="1" ref="E1393" ca="1">_xludf.XLOOKUP(C1393,'country region mapping'!$A$2:$A$267,'country region mapping'!$F$2:$F$267)</f>
        <v>#NAME?</v>
      </c>
      <c r="F1393" s="1" t="e">
        <f t="array" aca="1" ref="F1393" ca="1">_xludf.XLOOKUP(C1393,'country region mapping'!$A$2:$A$267,'country region mapping'!$G$2:$G$267)</f>
        <v>#NAME?</v>
      </c>
      <c r="G1393" s="1">
        <v>5.819</v>
      </c>
      <c r="H1393" s="1">
        <v>61</v>
      </c>
      <c r="I1393" s="1">
        <v>22</v>
      </c>
      <c r="J1393" s="1">
        <v>46</v>
      </c>
      <c r="K1393" s="1">
        <v>79</v>
      </c>
      <c r="L1393" s="1">
        <v>67</v>
      </c>
      <c r="M1393" s="1">
        <v>51</v>
      </c>
      <c r="N1393" s="1">
        <v>31</v>
      </c>
      <c r="O1393" s="1">
        <v>81</v>
      </c>
      <c r="P1393" s="1">
        <v>8</v>
      </c>
      <c r="Q1393" s="1">
        <v>51</v>
      </c>
      <c r="R1393" s="1">
        <v>71</v>
      </c>
      <c r="S1393" s="1">
        <v>105</v>
      </c>
    </row>
    <row r="1394" spans="1:19">
      <c r="A1394" s="1">
        <v>2016</v>
      </c>
      <c r="B1394" s="1">
        <v>62</v>
      </c>
      <c r="C1394" s="1" t="s">
        <v>116</v>
      </c>
      <c r="D1394" s="1" t="e">
        <f t="array" aca="1" ref="D1394" ca="1">_xludf.XLOOKUP(C1394,'country region mapping'!$A$2:$A$250, 'country region mapping'!$E$2:$E$250)</f>
        <v>#NAME?</v>
      </c>
      <c r="E1394" s="1" t="e">
        <f t="array" aca="1" ref="E1394" ca="1">_xludf.XLOOKUP(C1394,'country region mapping'!$A$2:$A$267,'country region mapping'!$F$2:$F$267)</f>
        <v>#NAME?</v>
      </c>
      <c r="F1394" s="1" t="e">
        <f t="array" aca="1" ref="F1394" ca="1">_xludf.XLOOKUP(C1394,'country region mapping'!$A$2:$A$267,'country region mapping'!$G$2:$G$267)</f>
        <v>#NAME?</v>
      </c>
      <c r="G1394" s="1">
        <v>5.758</v>
      </c>
      <c r="H1394" s="1">
        <v>69</v>
      </c>
      <c r="I1394" s="1">
        <v>17</v>
      </c>
      <c r="J1394" s="1">
        <v>34</v>
      </c>
      <c r="K1394" s="1">
        <v>23</v>
      </c>
      <c r="L1394" s="1">
        <v>20</v>
      </c>
      <c r="M1394" s="1">
        <v>50</v>
      </c>
      <c r="N1394" s="1">
        <v>82</v>
      </c>
      <c r="O1394" s="1">
        <v>95</v>
      </c>
      <c r="P1394" s="1">
        <v>71</v>
      </c>
      <c r="Q1394" s="1">
        <v>50</v>
      </c>
      <c r="R1394" s="1">
        <v>23</v>
      </c>
      <c r="S1394" s="1">
        <v>106</v>
      </c>
    </row>
    <row r="1395" spans="1:19">
      <c r="A1395" s="1">
        <v>2016</v>
      </c>
      <c r="B1395" s="1">
        <v>63</v>
      </c>
      <c r="C1395" s="1" t="s">
        <v>118</v>
      </c>
      <c r="D1395" s="1" t="e">
        <f t="array" aca="1" ref="D1395" ca="1">_xludf.XLOOKUP(C1395,'country region mapping'!$A$2:$A$250, 'country region mapping'!$E$2:$E$250)</f>
        <v>#NAME?</v>
      </c>
      <c r="E1395" s="1" t="e">
        <f t="array" aca="1" ref="E1395" ca="1">_xludf.XLOOKUP(C1395,'country region mapping'!$A$2:$A$267,'country region mapping'!$F$2:$F$267)</f>
        <v>#NAME?</v>
      </c>
      <c r="F1395" s="1" t="e">
        <f t="array" aca="1" ref="F1395" ca="1">_xludf.XLOOKUP(C1395,'country region mapping'!$A$2:$A$267,'country region mapping'!$G$2:$G$267)</f>
        <v>#NAME?</v>
      </c>
      <c r="G1395" s="1">
        <v>5.7149999999999999</v>
      </c>
      <c r="H1395" s="1">
        <v>101</v>
      </c>
      <c r="I1395" s="1">
        <v>88</v>
      </c>
      <c r="J1395" s="1">
        <v>73</v>
      </c>
      <c r="K1395" s="1">
        <v>22</v>
      </c>
      <c r="L1395" s="1">
        <v>50</v>
      </c>
      <c r="M1395" s="1">
        <v>108</v>
      </c>
      <c r="N1395" s="1">
        <v>97</v>
      </c>
      <c r="O1395" s="1">
        <v>12</v>
      </c>
      <c r="P1395" s="1">
        <v>106</v>
      </c>
      <c r="Q1395" s="1">
        <v>108</v>
      </c>
      <c r="R1395" s="1">
        <v>67</v>
      </c>
      <c r="S1395" s="1">
        <v>62</v>
      </c>
    </row>
    <row r="1396" spans="1:19">
      <c r="A1396" s="1">
        <v>2016</v>
      </c>
      <c r="B1396" s="1">
        <v>64</v>
      </c>
      <c r="C1396" s="1" t="s">
        <v>121</v>
      </c>
      <c r="D1396" s="1" t="e">
        <f t="array" aca="1" ref="D1396" ca="1">_xludf.XLOOKUP(C1396,'country region mapping'!$A$2:$A$250, 'country region mapping'!$E$2:$E$250)</f>
        <v>#NAME?</v>
      </c>
      <c r="E1396" s="1" t="e">
        <f t="array" aca="1" ref="E1396" ca="1">_xludf.XLOOKUP(C1396,'country region mapping'!$A$2:$A$267,'country region mapping'!$F$2:$F$267)</f>
        <v>#NAME?</v>
      </c>
      <c r="F1396" s="1" t="e">
        <f t="array" aca="1" ref="F1396" ca="1">_xludf.XLOOKUP(C1396,'country region mapping'!$A$2:$A$267,'country region mapping'!$G$2:$G$267)</f>
        <v>#NAME?</v>
      </c>
      <c r="G1396" s="1">
        <v>5.6289999999999996</v>
      </c>
      <c r="H1396" s="1">
        <v>66</v>
      </c>
      <c r="I1396" s="1">
        <v>75</v>
      </c>
      <c r="J1396" s="1">
        <v>54</v>
      </c>
      <c r="K1396" s="1">
        <v>71</v>
      </c>
      <c r="L1396" s="1">
        <v>56</v>
      </c>
      <c r="M1396" s="1">
        <v>27</v>
      </c>
      <c r="N1396" s="1">
        <v>107</v>
      </c>
      <c r="O1396" s="1">
        <v>53</v>
      </c>
      <c r="P1396" s="1">
        <v>56</v>
      </c>
      <c r="Q1396" s="1">
        <v>27</v>
      </c>
      <c r="R1396" s="1">
        <v>9</v>
      </c>
      <c r="S1396" s="1">
        <v>112</v>
      </c>
    </row>
    <row r="1397" spans="1:19">
      <c r="A1397" s="1">
        <v>2016</v>
      </c>
      <c r="B1397" s="1">
        <v>65</v>
      </c>
      <c r="C1397" s="1" t="s">
        <v>124</v>
      </c>
      <c r="D1397" s="1" t="e">
        <f t="array" aca="1" ref="D1397" ca="1">_xludf.XLOOKUP(C1397,'country region mapping'!$A$2:$A$250, 'country region mapping'!$E$2:$E$250)</f>
        <v>#NAME?</v>
      </c>
      <c r="E1397" s="1" t="e">
        <f t="array" aca="1" ref="E1397" ca="1">_xludf.XLOOKUP(C1397,'country region mapping'!$A$2:$A$267,'country region mapping'!$F$2:$F$267)</f>
        <v>#NAME?</v>
      </c>
      <c r="F1397" s="1" t="e">
        <f t="array" aca="1" ref="F1397" ca="1">_xludf.XLOOKUP(C1397,'country region mapping'!$A$2:$A$267,'country region mapping'!$G$2:$G$267)</f>
        <v>#NAME?</v>
      </c>
      <c r="G1397" s="1">
        <v>5.6210000000000004</v>
      </c>
      <c r="H1397" s="1">
        <v>104</v>
      </c>
      <c r="I1397" s="1">
        <v>96</v>
      </c>
      <c r="J1397" s="1">
        <v>33</v>
      </c>
      <c r="K1397" s="1">
        <v>13</v>
      </c>
      <c r="L1397" s="1">
        <v>80</v>
      </c>
      <c r="M1397" s="1">
        <v>41</v>
      </c>
      <c r="N1397" s="1">
        <v>111</v>
      </c>
      <c r="O1397" s="1">
        <v>84</v>
      </c>
      <c r="P1397" s="1">
        <v>102</v>
      </c>
      <c r="Q1397" s="1">
        <v>41</v>
      </c>
      <c r="R1397" s="1">
        <v>46</v>
      </c>
      <c r="S1397" s="1">
        <v>50</v>
      </c>
    </row>
    <row r="1398" spans="1:19">
      <c r="A1398" s="1">
        <v>2016</v>
      </c>
      <c r="B1398" s="1">
        <v>66</v>
      </c>
      <c r="C1398" s="1" t="s">
        <v>129</v>
      </c>
      <c r="D1398" s="1" t="e">
        <f t="array" aca="1" ref="D1398" ca="1">_xludf.XLOOKUP(C1398,'country region mapping'!$A$2:$A$250, 'country region mapping'!$E$2:$E$250)</f>
        <v>#NAME?</v>
      </c>
      <c r="E1398" s="1" t="e">
        <f t="array" aca="1" ref="E1398" ca="1">_xludf.XLOOKUP(C1398,'country region mapping'!$A$2:$A$267,'country region mapping'!$F$2:$F$267)</f>
        <v>#NAME?</v>
      </c>
      <c r="F1398" s="1" t="e">
        <f t="array" aca="1" ref="F1398" ca="1">_xludf.XLOOKUP(C1398,'country region mapping'!$A$2:$A$267,'country region mapping'!$G$2:$G$267)</f>
        <v>#NAME?</v>
      </c>
      <c r="G1398" s="1">
        <v>5.6109999999999998</v>
      </c>
      <c r="H1398" s="1">
        <v>26</v>
      </c>
      <c r="I1398" s="1">
        <v>15</v>
      </c>
      <c r="J1398" s="1">
        <v>35</v>
      </c>
      <c r="K1398" s="1">
        <v>41</v>
      </c>
      <c r="L1398" s="1">
        <v>43</v>
      </c>
      <c r="M1398" s="1">
        <v>85</v>
      </c>
      <c r="N1398" s="1">
        <v>25</v>
      </c>
      <c r="O1398" s="1">
        <v>74</v>
      </c>
      <c r="P1398" s="1">
        <v>12</v>
      </c>
      <c r="Q1398" s="1">
        <v>85</v>
      </c>
      <c r="R1398" s="1">
        <v>57</v>
      </c>
      <c r="S1398" s="1">
        <v>122</v>
      </c>
    </row>
    <row r="1399" spans="1:19">
      <c r="A1399" s="1">
        <v>2016</v>
      </c>
      <c r="B1399" s="1">
        <v>67</v>
      </c>
      <c r="C1399" s="1" t="s">
        <v>115</v>
      </c>
      <c r="D1399" s="1" t="e">
        <f t="array" aca="1" ref="D1399" ca="1">_xludf.XLOOKUP(C1399,'country region mapping'!$A$2:$A$250, 'country region mapping'!$E$2:$E$250)</f>
        <v>#NAME?</v>
      </c>
      <c r="E1399" s="1" t="e">
        <f t="array" aca="1" ref="E1399" ca="1">_xludf.XLOOKUP(C1399,'country region mapping'!$A$2:$A$267,'country region mapping'!$F$2:$F$267)</f>
        <v>#NAME?</v>
      </c>
      <c r="F1399" s="1" t="e">
        <f t="array" aca="1" ref="F1399" ca="1">_xludf.XLOOKUP(C1399,'country region mapping'!$A$2:$A$267,'country region mapping'!$G$2:$G$267)</f>
        <v>#NAME?</v>
      </c>
      <c r="G1399" s="1">
        <v>5.569</v>
      </c>
      <c r="H1399" s="1">
        <v>31</v>
      </c>
      <c r="I1399" s="1">
        <v>25</v>
      </c>
      <c r="J1399" s="1">
        <v>52</v>
      </c>
      <c r="K1399" s="1">
        <v>70</v>
      </c>
      <c r="L1399" s="1">
        <v>109</v>
      </c>
      <c r="M1399" s="1">
        <v>92</v>
      </c>
      <c r="N1399" s="1">
        <v>26</v>
      </c>
      <c r="O1399" s="1">
        <v>133</v>
      </c>
      <c r="P1399" s="1">
        <v>14</v>
      </c>
      <c r="Q1399" s="1">
        <v>92</v>
      </c>
      <c r="R1399" s="1">
        <v>65</v>
      </c>
      <c r="S1399" s="1">
        <v>135</v>
      </c>
    </row>
    <row r="1400" spans="1:19">
      <c r="A1400" s="1">
        <v>2016</v>
      </c>
      <c r="B1400" s="1">
        <v>68</v>
      </c>
      <c r="C1400" s="1" t="s">
        <v>122</v>
      </c>
      <c r="D1400" s="1" t="e">
        <f t="array" aca="1" ref="D1400" ca="1">_xludf.XLOOKUP(C1400,'country region mapping'!$A$2:$A$250, 'country region mapping'!$E$2:$E$250)</f>
        <v>#NAME?</v>
      </c>
      <c r="E1400" s="1" t="e">
        <f t="array" aca="1" ref="E1400" ca="1">_xludf.XLOOKUP(C1400,'country region mapping'!$A$2:$A$267,'country region mapping'!$F$2:$F$267)</f>
        <v>#NAME?</v>
      </c>
      <c r="F1400" s="1" t="e">
        <f t="array" aca="1" ref="F1400" ca="1">_xludf.XLOOKUP(C1400,'country region mapping'!$A$2:$A$267,'country region mapping'!$G$2:$G$267)</f>
        <v>#NAME?</v>
      </c>
      <c r="G1400" s="1">
        <v>5.5250000000000004</v>
      </c>
      <c r="H1400" s="1">
        <v>128</v>
      </c>
      <c r="I1400" s="1">
        <v>59</v>
      </c>
      <c r="J1400" s="1">
        <v>86</v>
      </c>
      <c r="K1400" s="1">
        <v>86</v>
      </c>
      <c r="L1400" s="1">
        <v>52</v>
      </c>
      <c r="M1400" s="1">
        <v>95</v>
      </c>
      <c r="O1400" s="14">
        <v>78</v>
      </c>
      <c r="P1400" s="14">
        <v>126</v>
      </c>
      <c r="Q1400" s="14">
        <v>95</v>
      </c>
      <c r="R1400" s="14">
        <v>64</v>
      </c>
      <c r="S1400" s="14">
        <v>3</v>
      </c>
    </row>
    <row r="1401" spans="1:19">
      <c r="A1401" s="1">
        <v>2016</v>
      </c>
      <c r="B1401" s="1">
        <v>69</v>
      </c>
      <c r="C1401" s="1" t="s">
        <v>136</v>
      </c>
      <c r="D1401" s="1" t="e">
        <f t="array" aca="1" ref="D1401" ca="1">_xludf.XLOOKUP(C1401,'country region mapping'!$A$2:$A$250, 'country region mapping'!$E$2:$E$250)</f>
        <v>#NAME?</v>
      </c>
      <c r="E1401" s="1" t="e">
        <f t="array" aca="1" ref="E1401" ca="1">_xludf.XLOOKUP(C1401,'country region mapping'!$A$2:$A$267,'country region mapping'!$F$2:$F$267)</f>
        <v>#NAME?</v>
      </c>
      <c r="F1401" s="1" t="e">
        <f t="array" aca="1" ref="F1401" ca="1">_xludf.XLOOKUP(C1401,'country region mapping'!$A$2:$A$267,'country region mapping'!$G$2:$G$267)</f>
        <v>#NAME?</v>
      </c>
      <c r="G1401" s="1">
        <v>5.5</v>
      </c>
      <c r="H1401" s="1">
        <v>103</v>
      </c>
      <c r="I1401" s="1">
        <v>57</v>
      </c>
      <c r="J1401" s="1">
        <v>51</v>
      </c>
      <c r="K1401" s="1">
        <v>50</v>
      </c>
      <c r="L1401" s="1">
        <v>114</v>
      </c>
      <c r="M1401" s="1">
        <v>62</v>
      </c>
      <c r="N1401" s="1">
        <v>46</v>
      </c>
      <c r="O1401" s="1">
        <v>140</v>
      </c>
      <c r="P1401" s="1">
        <v>127</v>
      </c>
      <c r="Q1401" s="1">
        <v>62</v>
      </c>
      <c r="R1401" s="1">
        <v>82</v>
      </c>
      <c r="S1401" s="1">
        <v>6</v>
      </c>
    </row>
    <row r="1402" spans="1:19">
      <c r="A1402" s="1">
        <v>2016</v>
      </c>
      <c r="B1402" s="1">
        <v>70</v>
      </c>
      <c r="C1402" s="1" t="s">
        <v>126</v>
      </c>
      <c r="D1402" s="1" t="e">
        <f t="array" aca="1" ref="D1402" ca="1">_xludf.XLOOKUP(C1402,'country region mapping'!$A$2:$A$250, 'country region mapping'!$E$2:$E$250)</f>
        <v>#NAME?</v>
      </c>
      <c r="E1402" s="1" t="e">
        <f t="array" aca="1" ref="E1402" ca="1">_xludf.XLOOKUP(C1402,'country region mapping'!$A$2:$A$267,'country region mapping'!$F$2:$F$267)</f>
        <v>#NAME?</v>
      </c>
      <c r="F1402" s="1" t="e">
        <f t="array" aca="1" ref="F1402" ca="1">_xludf.XLOOKUP(C1402,'country region mapping'!$A$2:$A$267,'country region mapping'!$G$2:$G$267)</f>
        <v>#NAME?</v>
      </c>
      <c r="G1402" s="1">
        <v>5.4930000000000003</v>
      </c>
      <c r="H1402" s="1">
        <v>54</v>
      </c>
      <c r="I1402" s="1">
        <v>13</v>
      </c>
      <c r="J1402" s="1">
        <v>76</v>
      </c>
      <c r="K1402" s="1">
        <v>69</v>
      </c>
      <c r="L1402" s="1">
        <v>37</v>
      </c>
      <c r="M1402" s="1">
        <v>82</v>
      </c>
      <c r="N1402" s="1">
        <v>44</v>
      </c>
      <c r="O1402" s="1">
        <v>1</v>
      </c>
      <c r="P1402" s="1">
        <v>20</v>
      </c>
      <c r="Q1402" s="1">
        <v>82</v>
      </c>
      <c r="R1402" s="1">
        <v>121</v>
      </c>
      <c r="S1402" s="1">
        <v>131</v>
      </c>
    </row>
    <row r="1403" spans="1:19">
      <c r="A1403" s="1">
        <v>2016</v>
      </c>
      <c r="B1403" s="1">
        <v>71</v>
      </c>
      <c r="C1403" s="1" t="s">
        <v>132</v>
      </c>
      <c r="D1403" s="1" t="e">
        <f t="array" aca="1" ref="D1403" ca="1">_xludf.XLOOKUP(C1403,'country region mapping'!$A$2:$A$267,'country region mapping'!$E$2:$E$267)</f>
        <v>#NAME?</v>
      </c>
      <c r="E1403" s="1" t="e">
        <f t="array" aca="1" ref="E1403" ca="1">_xludf.XLOOKUP(C1403,'country region mapping'!$A$2:$A$267,'country region mapping'!$F$2:$F$267)</f>
        <v>#NAME?</v>
      </c>
      <c r="F1403" s="1" t="e">
        <f t="array" aca="1" ref="F1403" ca="1">_xludf.XLOOKUP(C1403,'country region mapping'!$A$2:$A$267,'country region mapping'!$G$2:$G$267)</f>
        <v>#NAME?</v>
      </c>
      <c r="G1403" s="1">
        <v>5.4720000000000004</v>
      </c>
      <c r="H1403" s="1">
        <v>36</v>
      </c>
      <c r="I1403" s="1">
        <v>76</v>
      </c>
      <c r="J1403" s="1">
        <v>9</v>
      </c>
      <c r="K1403" s="1"/>
      <c r="L1403" s="1">
        <v>63</v>
      </c>
      <c r="M1403" s="1">
        <v>21</v>
      </c>
      <c r="N1403" s="1">
        <v>12</v>
      </c>
      <c r="O1403" s="1">
        <v>111</v>
      </c>
      <c r="P1403" s="1">
        <v>32</v>
      </c>
      <c r="Q1403" s="1">
        <v>21</v>
      </c>
      <c r="R1403" s="1">
        <v>78</v>
      </c>
      <c r="S1403" s="1">
        <v>34</v>
      </c>
    </row>
    <row r="1404" spans="1:19">
      <c r="A1404" s="1">
        <v>2016</v>
      </c>
      <c r="B1404" s="1">
        <v>72</v>
      </c>
      <c r="C1404" s="1" t="s">
        <v>141</v>
      </c>
      <c r="D1404" s="1" t="e">
        <f t="array" aca="1" ref="D1404" ca="1">_xludf.XLOOKUP(C1404,'country region mapping'!$A$2:$A$250, 'country region mapping'!$E$2:$E$250)</f>
        <v>#NAME?</v>
      </c>
      <c r="E1404" s="1" t="e">
        <f t="array" aca="1" ref="E1404" ca="1">_xludf.XLOOKUP(C1404,'country region mapping'!$A$2:$A$267,'country region mapping'!$F$2:$F$267)</f>
        <v>#NAME?</v>
      </c>
      <c r="F1404" s="1" t="e">
        <f t="array" aca="1" ref="F1404" ca="1">_xludf.XLOOKUP(C1404,'country region mapping'!$A$2:$A$267,'country region mapping'!$G$2:$G$267)</f>
        <v>#NAME?</v>
      </c>
      <c r="G1404" s="1">
        <v>5.43</v>
      </c>
      <c r="H1404" s="1">
        <v>111</v>
      </c>
      <c r="I1404" s="1">
        <v>79</v>
      </c>
      <c r="J1404" s="1">
        <v>95</v>
      </c>
      <c r="K1404" s="1">
        <v>94</v>
      </c>
      <c r="L1404" s="1">
        <v>17</v>
      </c>
      <c r="M1404" s="1">
        <v>96</v>
      </c>
      <c r="N1404" s="1">
        <v>54</v>
      </c>
      <c r="O1404" s="1">
        <v>9</v>
      </c>
      <c r="P1404" s="1">
        <v>79</v>
      </c>
      <c r="Q1404" s="1">
        <v>96</v>
      </c>
      <c r="R1404" s="1">
        <v>14</v>
      </c>
      <c r="S1404" s="1">
        <v>67</v>
      </c>
    </row>
    <row r="1405" spans="1:19">
      <c r="A1405" s="1">
        <v>2016</v>
      </c>
      <c r="B1405" s="1">
        <v>73</v>
      </c>
      <c r="C1405" s="1" t="s">
        <v>145</v>
      </c>
      <c r="D1405" s="1" t="e">
        <f t="array" aca="1" ref="D1405" ca="1">_xludf.XLOOKUP(C1405,'country region mapping'!$A$2:$A$250, 'country region mapping'!$E$2:$E$250)</f>
        <v>#NAME?</v>
      </c>
      <c r="E1405" s="1" t="e">
        <f t="array" aca="1" ref="E1405" ca="1">_xludf.XLOOKUP(C1405,'country region mapping'!$A$2:$A$267,'country region mapping'!$F$2:$F$267)</f>
        <v>#NAME?</v>
      </c>
      <c r="F1405" s="1" t="e">
        <f t="array" aca="1" ref="F1405" ca="1">_xludf.XLOOKUP(C1405,'country region mapping'!$A$2:$A$267,'country region mapping'!$G$2:$G$267)</f>
        <v>#NAME?</v>
      </c>
      <c r="G1405" s="1">
        <v>5.3949999999999996</v>
      </c>
      <c r="H1405" s="1">
        <v>108</v>
      </c>
      <c r="I1405" s="1">
        <v>47</v>
      </c>
      <c r="J1405" s="1">
        <v>62</v>
      </c>
      <c r="K1405" s="1">
        <v>51</v>
      </c>
      <c r="L1405" s="1">
        <v>121</v>
      </c>
      <c r="M1405" s="1">
        <v>74</v>
      </c>
      <c r="N1405" s="1">
        <v>105</v>
      </c>
      <c r="O1405" s="1">
        <v>135</v>
      </c>
      <c r="P1405" s="1">
        <v>83</v>
      </c>
      <c r="Q1405" s="1">
        <v>74</v>
      </c>
      <c r="R1405" s="1">
        <v>130</v>
      </c>
      <c r="S1405" s="1">
        <v>138</v>
      </c>
    </row>
    <row r="1406" spans="1:19">
      <c r="A1406" s="1">
        <v>2016</v>
      </c>
      <c r="B1406" s="1">
        <v>74</v>
      </c>
      <c r="C1406" s="1" t="s">
        <v>138</v>
      </c>
      <c r="D1406" s="1" t="e">
        <f t="array" aca="1" ref="D1406" ca="1">_xludf.XLOOKUP(C1406,'country region mapping'!$A$2:$A$250, 'country region mapping'!$E$2:$E$250)</f>
        <v>#NAME?</v>
      </c>
      <c r="E1406" s="1" t="e">
        <f t="array" aca="1" ref="E1406" ca="1">_xludf.XLOOKUP(C1406,'country region mapping'!$A$2:$A$267,'country region mapping'!$F$2:$F$267)</f>
        <v>#NAME?</v>
      </c>
      <c r="F1406" s="1" t="e">
        <f t="array" aca="1" ref="F1406" ca="1">_xludf.XLOOKUP(C1406,'country region mapping'!$A$2:$A$267,'country region mapping'!$G$2:$G$267)</f>
        <v>#NAME?</v>
      </c>
      <c r="G1406" s="1">
        <v>5.3360000000000003</v>
      </c>
      <c r="H1406" s="1">
        <v>125</v>
      </c>
      <c r="I1406" s="1">
        <v>80</v>
      </c>
      <c r="J1406" s="1">
        <v>93</v>
      </c>
      <c r="K1406" s="1">
        <v>38</v>
      </c>
      <c r="L1406" s="1">
        <v>74</v>
      </c>
      <c r="M1406" s="1">
        <v>75</v>
      </c>
      <c r="O1406" s="14">
        <v>94</v>
      </c>
      <c r="P1406" s="14">
        <v>93</v>
      </c>
      <c r="Q1406" s="14">
        <v>75</v>
      </c>
      <c r="R1406" s="14">
        <v>93</v>
      </c>
      <c r="S1406" s="14">
        <v>46</v>
      </c>
    </row>
    <row r="1407" spans="1:19">
      <c r="A1407" s="1">
        <v>2016</v>
      </c>
      <c r="B1407" s="1">
        <v>75</v>
      </c>
      <c r="C1407" s="1" t="s">
        <v>151</v>
      </c>
      <c r="D1407" s="1" t="e">
        <f t="array" aca="1" ref="D1407" ca="1">_xludf.XLOOKUP(C1407,'country region mapping'!$A$2:$A$250, 'country region mapping'!$E$2:$E$250)</f>
        <v>#NAME?</v>
      </c>
      <c r="E1407" s="1" t="e">
        <f t="array" aca="1" ref="E1407" ca="1">_xludf.XLOOKUP(C1407,'country region mapping'!$A$2:$A$267,'country region mapping'!$F$2:$F$267)</f>
        <v>#NAME?</v>
      </c>
      <c r="F1407" s="1" t="e">
        <f t="array" aca="1" ref="F1407" ca="1">_xludf.XLOOKUP(C1407,'country region mapping'!$A$2:$A$267,'country region mapping'!$G$2:$G$267)</f>
        <v>#NAME?</v>
      </c>
      <c r="G1407" s="1">
        <v>5.3239999999999998</v>
      </c>
      <c r="H1407" s="1">
        <v>38</v>
      </c>
      <c r="I1407" s="1">
        <v>44</v>
      </c>
      <c r="J1407" s="1">
        <v>41</v>
      </c>
      <c r="K1407" s="1">
        <v>52</v>
      </c>
      <c r="L1407" s="1">
        <v>130</v>
      </c>
      <c r="M1407" s="1">
        <v>104</v>
      </c>
      <c r="N1407" s="1">
        <v>123</v>
      </c>
      <c r="O1407" s="1">
        <v>100</v>
      </c>
      <c r="P1407" s="1">
        <v>52</v>
      </c>
      <c r="Q1407" s="1">
        <v>104</v>
      </c>
      <c r="R1407" s="1">
        <v>123</v>
      </c>
      <c r="S1407" s="1">
        <v>120</v>
      </c>
    </row>
    <row r="1408" spans="1:19">
      <c r="A1408" s="1">
        <v>2016</v>
      </c>
      <c r="B1408" s="1">
        <v>76</v>
      </c>
      <c r="C1408" s="1" t="s">
        <v>130</v>
      </c>
      <c r="D1408" s="1" t="e">
        <f t="array" aca="1" ref="D1408" ca="1">_xludf.XLOOKUP(C1408,'country region mapping'!$A$2:$A$250, 'country region mapping'!$E$2:$E$250)</f>
        <v>#NAME?</v>
      </c>
      <c r="E1408" s="1" t="e">
        <f t="array" aca="1" ref="E1408" ca="1">_xludf.XLOOKUP(C1408,'country region mapping'!$A$2:$A$267,'country region mapping'!$F$2:$F$267)</f>
        <v>#NAME?</v>
      </c>
      <c r="F1408" s="1" t="e">
        <f t="array" aca="1" ref="F1408" ca="1">_xludf.XLOOKUP(C1408,'country region mapping'!$A$2:$A$267,'country region mapping'!$G$2:$G$267)</f>
        <v>#NAME?</v>
      </c>
      <c r="G1408" s="1">
        <v>5.3109999999999999</v>
      </c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</row>
    <row r="1409" spans="1:19">
      <c r="A1409" s="1">
        <v>2016</v>
      </c>
      <c r="B1409" s="1">
        <v>77</v>
      </c>
      <c r="C1409" s="1" t="s">
        <v>131</v>
      </c>
      <c r="D1409" s="1" t="e">
        <f t="array" aca="1" ref="D1409" ca="1">_xludf.XLOOKUP(C1409,'country region mapping'!$A$2:$A$250, 'country region mapping'!$E$2:$E$250)</f>
        <v>#NAME?</v>
      </c>
      <c r="E1409" s="1" t="e">
        <f t="array" aca="1" ref="E1409" ca="1">_xludf.XLOOKUP(C1409,'country region mapping'!$A$2:$A$267,'country region mapping'!$F$2:$F$267)</f>
        <v>#NAME?</v>
      </c>
      <c r="F1409" s="1" t="e">
        <f t="array" aca="1" ref="F1409" ca="1">_xludf.XLOOKUP(C1409,'country region mapping'!$A$2:$A$267,'country region mapping'!$G$2:$G$267)</f>
        <v>#NAME?</v>
      </c>
      <c r="G1409" s="1">
        <v>5.2930000000000001</v>
      </c>
      <c r="H1409" s="1">
        <v>50</v>
      </c>
      <c r="I1409" s="1">
        <v>90</v>
      </c>
      <c r="J1409" s="1">
        <v>44</v>
      </c>
      <c r="K1409" s="1">
        <v>35</v>
      </c>
      <c r="L1409" s="1">
        <v>107</v>
      </c>
      <c r="M1409" s="1">
        <v>63</v>
      </c>
      <c r="N1409" s="1">
        <v>103</v>
      </c>
      <c r="O1409" s="1">
        <v>112</v>
      </c>
      <c r="P1409" s="1">
        <v>103</v>
      </c>
      <c r="Q1409" s="1">
        <v>63</v>
      </c>
      <c r="R1409" s="1">
        <v>108</v>
      </c>
      <c r="S1409" s="1">
        <v>139</v>
      </c>
    </row>
    <row r="1410" spans="1:19">
      <c r="A1410" s="1">
        <v>2016</v>
      </c>
      <c r="B1410" s="1">
        <v>78</v>
      </c>
      <c r="C1410" s="1" t="s">
        <v>135</v>
      </c>
      <c r="D1410" s="1" t="e">
        <f t="array" aca="1" ref="D1410" ca="1">_xludf.XLOOKUP(C1410,'country region mapping'!$A$2:$A$267,'country region mapping'!$E$2:$E$267)</f>
        <v>#NAME?</v>
      </c>
      <c r="E1410" s="1" t="e">
        <f t="array" aca="1" ref="E1410" ca="1">_xludf.XLOOKUP(C1410,'country region mapping'!$A$2:$A$267,'country region mapping'!$F$2:$F$267)</f>
        <v>#NAME?</v>
      </c>
      <c r="F1410" s="1" t="e">
        <f t="array" aca="1" ref="F1410" ca="1">_xludf.XLOOKUP(C1410,'country region mapping'!$A$2:$A$267,'country region mapping'!$G$2:$G$267)</f>
        <v>#NAME?</v>
      </c>
      <c r="G1410" s="1">
        <v>5.2789999999999999</v>
      </c>
      <c r="H1410" s="1">
        <v>95</v>
      </c>
      <c r="I1410" s="1">
        <v>78</v>
      </c>
      <c r="J1410" s="1">
        <v>89</v>
      </c>
      <c r="K1410" s="1"/>
      <c r="L1410" s="1">
        <v>51</v>
      </c>
      <c r="M1410" s="1">
        <v>32</v>
      </c>
      <c r="N1410" s="1">
        <v>126</v>
      </c>
      <c r="O1410" s="1">
        <v>101</v>
      </c>
      <c r="Q1410" s="14">
        <v>32</v>
      </c>
      <c r="R1410" s="14">
        <v>136</v>
      </c>
      <c r="S1410" s="14">
        <v>52</v>
      </c>
    </row>
    <row r="1411" spans="1:19">
      <c r="A1411" s="1">
        <v>2016</v>
      </c>
      <c r="B1411" s="1">
        <v>79</v>
      </c>
      <c r="C1411" s="1" t="s">
        <v>142</v>
      </c>
      <c r="D1411" s="1" t="e">
        <f t="array" aca="1" ref="D1411" ca="1">_xludf.XLOOKUP(C1411,'country region mapping'!$A$2:$A$250, 'country region mapping'!$E$2:$E$250)</f>
        <v>#NAME?</v>
      </c>
      <c r="E1411" s="1" t="e">
        <f t="array" aca="1" ref="E1411" ca="1">_xludf.XLOOKUP(C1411,'country region mapping'!$A$2:$A$267,'country region mapping'!$F$2:$F$267)</f>
        <v>#NAME?</v>
      </c>
      <c r="F1411" s="1" t="e">
        <f t="array" aca="1" ref="F1411" ca="1">_xludf.XLOOKUP(C1411,'country region mapping'!$A$2:$A$267,'country region mapping'!$G$2:$G$267)</f>
        <v>#NAME?</v>
      </c>
      <c r="G1411" s="1">
        <v>5.2729999999999997</v>
      </c>
      <c r="H1411" s="1">
        <v>60</v>
      </c>
      <c r="I1411" s="1">
        <v>110</v>
      </c>
      <c r="J1411" s="1">
        <v>70</v>
      </c>
      <c r="K1411" s="1">
        <v>36</v>
      </c>
      <c r="M1411" s="14">
        <v>135</v>
      </c>
      <c r="N1411" s="14"/>
      <c r="O1411" s="14">
        <v>62</v>
      </c>
      <c r="P1411" s="14">
        <v>5</v>
      </c>
      <c r="Q1411" s="14">
        <v>135</v>
      </c>
      <c r="R1411" s="14">
        <v>135</v>
      </c>
      <c r="S1411" s="14">
        <v>130</v>
      </c>
    </row>
    <row r="1412" spans="1:19">
      <c r="A1412" s="1">
        <v>2016</v>
      </c>
      <c r="B1412" s="1">
        <v>80</v>
      </c>
      <c r="C1412" s="1" t="s">
        <v>152</v>
      </c>
      <c r="D1412" s="1" t="e">
        <f t="array" aca="1" ref="D1412" ca="1">_xludf.XLOOKUP(C1412,'country region mapping'!$A$2:$A$250, 'country region mapping'!$E$2:$E$250)</f>
        <v>#NAME?</v>
      </c>
      <c r="E1412" s="1" t="e">
        <f t="array" aca="1" ref="E1412" ca="1">_xludf.XLOOKUP(C1412,'country region mapping'!$A$2:$A$267,'country region mapping'!$F$2:$F$267)</f>
        <v>#NAME?</v>
      </c>
      <c r="F1412" s="1" t="e">
        <f t="array" aca="1" ref="F1412" ca="1">_xludf.XLOOKUP(C1412,'country region mapping'!$A$2:$A$267,'country region mapping'!$G$2:$G$267)</f>
        <v>#NAME?</v>
      </c>
      <c r="G1412" s="1">
        <v>5.2690000000000001</v>
      </c>
      <c r="H1412" s="1">
        <v>51</v>
      </c>
      <c r="I1412" s="1">
        <v>127</v>
      </c>
      <c r="J1412" s="1">
        <v>110</v>
      </c>
      <c r="K1412" s="1">
        <v>107</v>
      </c>
      <c r="L1412" s="1">
        <v>116</v>
      </c>
      <c r="M1412" s="1">
        <v>47</v>
      </c>
      <c r="N1412" s="1">
        <v>55</v>
      </c>
      <c r="O1412" s="1">
        <v>132</v>
      </c>
      <c r="P1412" s="1">
        <v>100</v>
      </c>
      <c r="Q1412" s="1">
        <v>47</v>
      </c>
      <c r="R1412" s="1">
        <v>111</v>
      </c>
      <c r="S1412" s="1">
        <v>74</v>
      </c>
    </row>
    <row r="1413" spans="1:19">
      <c r="A1413" s="1">
        <v>2016</v>
      </c>
      <c r="B1413" s="1">
        <v>81</v>
      </c>
      <c r="C1413" s="1" t="s">
        <v>137</v>
      </c>
      <c r="D1413" s="1" t="e">
        <f t="array" aca="1" ref="D1413" ca="1">_xludf.XLOOKUP(C1413,'country region mapping'!$A$2:$A$250, 'country region mapping'!$E$2:$E$250)</f>
        <v>#NAME?</v>
      </c>
      <c r="E1413" s="1" t="e">
        <f t="array" aca="1" ref="E1413" ca="1">_xludf.XLOOKUP(C1413,'country region mapping'!$A$2:$A$267,'country region mapping'!$F$2:$F$267)</f>
        <v>#NAME?</v>
      </c>
      <c r="F1413" s="1" t="e">
        <f t="array" aca="1" ref="F1413" ca="1">_xludf.XLOOKUP(C1413,'country region mapping'!$A$2:$A$267,'country region mapping'!$G$2:$G$267)</f>
        <v>#NAME?</v>
      </c>
      <c r="G1413" s="1">
        <v>5.2619999999999996</v>
      </c>
      <c r="H1413" s="1">
        <v>116</v>
      </c>
      <c r="I1413" s="1">
        <v>95</v>
      </c>
      <c r="J1413" s="1">
        <v>87</v>
      </c>
      <c r="K1413" s="1">
        <v>85</v>
      </c>
      <c r="L1413" s="1">
        <v>49</v>
      </c>
      <c r="M1413" s="1">
        <v>2</v>
      </c>
      <c r="N1413" s="1">
        <v>104</v>
      </c>
      <c r="O1413" s="1">
        <v>25</v>
      </c>
      <c r="P1413" s="1">
        <v>108</v>
      </c>
      <c r="Q1413" s="1">
        <v>2</v>
      </c>
      <c r="R1413" s="1">
        <v>1</v>
      </c>
      <c r="S1413" s="1">
        <v>77</v>
      </c>
    </row>
    <row r="1414" spans="1:19">
      <c r="A1414" s="1">
        <v>2016</v>
      </c>
      <c r="B1414" s="1">
        <v>82</v>
      </c>
      <c r="C1414" s="1" t="s">
        <v>93</v>
      </c>
      <c r="D1414" s="1" t="e">
        <f t="array" aca="1" ref="D1414" ca="1">_xludf.XLOOKUP(C1414,'country region mapping'!$A$2:$A$267,'country region mapping'!$E$2:$E$267)</f>
        <v>#NAME?</v>
      </c>
      <c r="E1414" s="1" t="e">
        <f t="array" aca="1" ref="E1414" ca="1">_xludf.XLOOKUP(C1414,'country region mapping'!$A$2:$A$267,'country region mapping'!$F$2:$F$267)</f>
        <v>#NAME?</v>
      </c>
      <c r="F1414" s="1" t="e">
        <f t="array" aca="1" ref="F1414" ca="1">_xludf.XLOOKUP(C1414,'country region mapping'!$A$2:$A$267,'country region mapping'!$G$2:$G$267)</f>
        <v>#NAME?</v>
      </c>
      <c r="G1414" s="1">
        <v>5.25</v>
      </c>
      <c r="H1414" s="1">
        <v>124</v>
      </c>
      <c r="I1414" s="1">
        <v>40</v>
      </c>
      <c r="J1414" s="1">
        <v>129</v>
      </c>
      <c r="K1414" s="1">
        <v>83</v>
      </c>
      <c r="L1414" s="1">
        <v>137</v>
      </c>
      <c r="M1414" s="1">
        <v>121</v>
      </c>
      <c r="N1414" s="1">
        <v>106</v>
      </c>
      <c r="O1414" s="1">
        <v>64</v>
      </c>
      <c r="P1414" s="1">
        <v>128</v>
      </c>
      <c r="Q1414" s="1">
        <v>121</v>
      </c>
      <c r="R1414" s="1">
        <v>116</v>
      </c>
      <c r="S1414" s="1">
        <v>84</v>
      </c>
    </row>
    <row r="1415" spans="1:19">
      <c r="A1415" s="1">
        <v>2016</v>
      </c>
      <c r="B1415" s="1">
        <v>83</v>
      </c>
      <c r="C1415" s="1" t="s">
        <v>147</v>
      </c>
      <c r="D1415" s="1" t="e">
        <f t="array" aca="1" ref="D1415" ca="1">_xludf.XLOOKUP(C1415,'country region mapping'!$A$2:$A$250, 'country region mapping'!$E$2:$E$250)</f>
        <v>#NAME?</v>
      </c>
      <c r="E1415" s="1" t="e">
        <f t="array" aca="1" ref="E1415" ca="1">_xludf.XLOOKUP(C1415,'country region mapping'!$A$2:$A$267,'country region mapping'!$F$2:$F$267)</f>
        <v>#NAME?</v>
      </c>
      <c r="F1415" s="1" t="e">
        <f t="array" aca="1" ref="F1415" ca="1">_xludf.XLOOKUP(C1415,'country region mapping'!$A$2:$A$267,'country region mapping'!$G$2:$G$267)</f>
        <v>#NAME?</v>
      </c>
      <c r="G1415" s="1">
        <v>5.2370000000000001</v>
      </c>
      <c r="H1415" s="1">
        <v>89</v>
      </c>
      <c r="I1415" s="1">
        <v>62</v>
      </c>
      <c r="J1415" s="1">
        <v>56</v>
      </c>
      <c r="K1415" s="1">
        <v>42</v>
      </c>
      <c r="L1415" s="1">
        <v>128</v>
      </c>
      <c r="M1415" s="1">
        <v>78</v>
      </c>
      <c r="N1415" s="1">
        <v>87</v>
      </c>
      <c r="O1415" s="1">
        <v>122</v>
      </c>
      <c r="P1415" s="1">
        <v>104</v>
      </c>
      <c r="Q1415" s="1">
        <v>78</v>
      </c>
      <c r="R1415" s="1">
        <v>120</v>
      </c>
      <c r="S1415" s="1">
        <v>109</v>
      </c>
    </row>
    <row r="1416" spans="1:19">
      <c r="A1416" s="1">
        <v>2016</v>
      </c>
      <c r="B1416" s="1">
        <v>84</v>
      </c>
      <c r="C1416" s="1" t="s">
        <v>150</v>
      </c>
      <c r="D1416" s="1" t="e">
        <f t="array" aca="1" ref="D1416" ca="1">_xludf.XLOOKUP(C1416,'country region mapping'!$A$2:$A$250, 'country region mapping'!$E$2:$E$250)</f>
        <v>#NAME?</v>
      </c>
      <c r="E1416" s="1" t="e">
        <f t="array" aca="1" ref="E1416" ca="1">_xludf.XLOOKUP(C1416,'country region mapping'!$A$2:$A$267,'country region mapping'!$F$2:$F$267)</f>
        <v>#NAME?</v>
      </c>
      <c r="F1416" s="1" t="e">
        <f t="array" aca="1" ref="F1416" ca="1">_xludf.XLOOKUP(C1416,'country region mapping'!$A$2:$A$267,'country region mapping'!$G$2:$G$267)</f>
        <v>#NAME?</v>
      </c>
      <c r="G1416" s="1">
        <v>5.2350000000000003</v>
      </c>
      <c r="H1416" s="1">
        <v>78</v>
      </c>
      <c r="I1416" s="1">
        <v>121</v>
      </c>
      <c r="J1416" s="1">
        <v>94</v>
      </c>
      <c r="K1416" s="1">
        <v>80</v>
      </c>
      <c r="L1416" s="1">
        <v>57</v>
      </c>
      <c r="M1416" s="1">
        <v>140</v>
      </c>
      <c r="N1416" s="1">
        <v>34</v>
      </c>
      <c r="O1416" s="1">
        <v>72</v>
      </c>
      <c r="P1416" s="1">
        <v>25</v>
      </c>
      <c r="Q1416" s="1">
        <v>140</v>
      </c>
      <c r="R1416" s="1">
        <v>131</v>
      </c>
      <c r="S1416" s="1">
        <v>98</v>
      </c>
    </row>
    <row r="1417" spans="1:19">
      <c r="A1417" s="1">
        <v>2016</v>
      </c>
      <c r="B1417" s="1">
        <v>85</v>
      </c>
      <c r="C1417" s="1" t="s">
        <v>140</v>
      </c>
      <c r="D1417" s="1" t="e">
        <f t="array" aca="1" ref="D1417" ca="1">_xludf.XLOOKUP(C1417,'country region mapping'!$A$2:$A$250, 'country region mapping'!$E$2:$E$250)</f>
        <v>#NAME?</v>
      </c>
      <c r="E1417" s="1" t="e">
        <f t="array" aca="1" ref="E1417" ca="1">_xludf.XLOOKUP(C1417,'country region mapping'!$A$2:$A$267,'country region mapping'!$F$2:$F$267)</f>
        <v>#NAME?</v>
      </c>
      <c r="F1417" s="1" t="e">
        <f t="array" aca="1" ref="F1417" ca="1">_xludf.XLOOKUP(C1417,'country region mapping'!$A$2:$A$267,'country region mapping'!$G$2:$G$267)</f>
        <v>#NAME?</v>
      </c>
      <c r="G1417" s="1">
        <v>5.234</v>
      </c>
      <c r="H1417" s="1">
        <v>12</v>
      </c>
      <c r="I1417" s="1">
        <v>99</v>
      </c>
      <c r="J1417" s="1">
        <v>59</v>
      </c>
      <c r="K1417" s="1">
        <v>66</v>
      </c>
      <c r="L1417" s="1">
        <v>96</v>
      </c>
      <c r="M1417" s="1">
        <v>126</v>
      </c>
      <c r="N1417" s="1">
        <v>21</v>
      </c>
      <c r="O1417" s="1">
        <v>131</v>
      </c>
      <c r="P1417" s="1">
        <v>16</v>
      </c>
      <c r="Q1417" s="1">
        <v>126</v>
      </c>
      <c r="R1417" s="1">
        <v>88</v>
      </c>
      <c r="S1417" s="1">
        <v>129</v>
      </c>
    </row>
    <row r="1418" spans="1:19">
      <c r="A1418" s="1">
        <v>2016</v>
      </c>
      <c r="B1418" s="1">
        <v>86</v>
      </c>
      <c r="C1418" s="1" t="s">
        <v>149</v>
      </c>
      <c r="D1418" s="1" t="e">
        <f t="array" aca="1" ref="D1418" ca="1">_xludf.XLOOKUP(C1418,'country region mapping'!$A$2:$A$250, 'country region mapping'!$E$2:$E$250)</f>
        <v>#NAME?</v>
      </c>
      <c r="E1418" s="1" t="e">
        <f t="array" aca="1" ref="E1418" ca="1">_xludf.XLOOKUP(C1418,'country region mapping'!$A$2:$A$267,'country region mapping'!$F$2:$F$267)</f>
        <v>#NAME?</v>
      </c>
      <c r="F1418" s="1" t="e">
        <f t="array" aca="1" ref="F1418" ca="1">_xludf.XLOOKUP(C1418,'country region mapping'!$A$2:$A$267,'country region mapping'!$G$2:$G$267)</f>
        <v>#NAME?</v>
      </c>
      <c r="G1418" s="1">
        <v>5.23</v>
      </c>
      <c r="H1418" s="1">
        <v>139</v>
      </c>
      <c r="I1418" s="1">
        <v>48</v>
      </c>
      <c r="J1418" s="1">
        <v>63</v>
      </c>
      <c r="K1418" s="1">
        <v>77</v>
      </c>
      <c r="L1418" s="1">
        <v>32</v>
      </c>
      <c r="M1418" s="1">
        <v>79</v>
      </c>
      <c r="N1418" s="1">
        <v>40</v>
      </c>
      <c r="O1418" s="1">
        <v>44</v>
      </c>
      <c r="P1418" s="1">
        <v>73</v>
      </c>
      <c r="Q1418" s="1">
        <v>79</v>
      </c>
      <c r="R1418" s="1">
        <v>17</v>
      </c>
      <c r="S1418" s="1">
        <v>22</v>
      </c>
    </row>
    <row r="1419" spans="1:19">
      <c r="A1419" s="1">
        <v>2016</v>
      </c>
      <c r="B1419" s="1">
        <v>87</v>
      </c>
      <c r="C1419" s="1" t="s">
        <v>160</v>
      </c>
      <c r="D1419" s="1" t="e">
        <f t="array" aca="1" ref="D1419" ca="1">_xludf.XLOOKUP(C1419,'country region mapping'!$A$2:$A$250, 'country region mapping'!$E$2:$E$250)</f>
        <v>#NAME?</v>
      </c>
      <c r="E1419" s="1" t="e">
        <f t="array" aca="1" ref="E1419" ca="1">_xludf.XLOOKUP(C1419,'country region mapping'!$A$2:$A$267,'country region mapping'!$F$2:$F$267)</f>
        <v>#NAME?</v>
      </c>
      <c r="F1419" s="1" t="e">
        <f t="array" aca="1" ref="F1419" ca="1">_xludf.XLOOKUP(C1419,'country region mapping'!$A$2:$A$267,'country region mapping'!$G$2:$G$267)</f>
        <v>#NAME?</v>
      </c>
      <c r="G1419" s="1">
        <v>5.2270000000000003</v>
      </c>
      <c r="H1419" s="1">
        <v>96</v>
      </c>
      <c r="I1419" s="1">
        <v>89</v>
      </c>
      <c r="J1419" s="1">
        <v>43</v>
      </c>
      <c r="K1419" s="1">
        <v>24</v>
      </c>
      <c r="L1419" s="1">
        <v>135</v>
      </c>
      <c r="M1419" s="1">
        <v>131</v>
      </c>
      <c r="N1419" s="1">
        <v>112</v>
      </c>
      <c r="O1419" s="1">
        <v>97</v>
      </c>
      <c r="P1419" s="1">
        <v>101</v>
      </c>
      <c r="Q1419" s="1">
        <v>131</v>
      </c>
      <c r="R1419" s="1">
        <v>115</v>
      </c>
      <c r="S1419" s="1">
        <v>71</v>
      </c>
    </row>
    <row r="1420" spans="1:19">
      <c r="A1420" s="1">
        <v>2016</v>
      </c>
      <c r="B1420" s="1">
        <v>88</v>
      </c>
      <c r="C1420" s="1" t="s">
        <v>154</v>
      </c>
      <c r="D1420" s="1" t="e">
        <f t="array" aca="1" ref="D1420" ca="1">_xludf.XLOOKUP(C1420,'country region mapping'!$A$2:$A$250, 'country region mapping'!$E$2:$E$250)</f>
        <v>#NAME?</v>
      </c>
      <c r="E1420" s="1" t="e">
        <f t="array" aca="1" ref="E1420" ca="1">_xludf.XLOOKUP(C1420,'country region mapping'!$A$2:$A$267,'country region mapping'!$F$2:$F$267)</f>
        <v>#NAME?</v>
      </c>
      <c r="F1420" s="1" t="e">
        <f t="array" aca="1" ref="F1420" ca="1">_xludf.XLOOKUP(C1420,'country region mapping'!$A$2:$A$267,'country region mapping'!$G$2:$G$267)</f>
        <v>#NAME?</v>
      </c>
      <c r="G1420" s="1">
        <v>5.2249999999999996</v>
      </c>
      <c r="H1420" s="1">
        <v>86</v>
      </c>
      <c r="I1420" s="1">
        <v>77</v>
      </c>
      <c r="J1420" s="1">
        <v>68</v>
      </c>
      <c r="K1420" s="1">
        <v>45</v>
      </c>
      <c r="L1420" s="1">
        <v>110</v>
      </c>
      <c r="M1420" s="1">
        <v>40</v>
      </c>
      <c r="N1420" s="1">
        <v>90</v>
      </c>
      <c r="O1420" s="1">
        <v>130</v>
      </c>
      <c r="P1420" s="1">
        <v>66</v>
      </c>
      <c r="Q1420" s="1">
        <v>40</v>
      </c>
      <c r="R1420" s="1">
        <v>104</v>
      </c>
      <c r="S1420" s="1">
        <v>81</v>
      </c>
    </row>
    <row r="1421" spans="1:19">
      <c r="A1421" s="1">
        <v>2016</v>
      </c>
      <c r="B1421" s="1">
        <v>89</v>
      </c>
      <c r="C1421" s="1" t="s">
        <v>155</v>
      </c>
      <c r="D1421" s="1" t="e">
        <f t="array" aca="1" ref="D1421" ca="1">_xludf.XLOOKUP(C1421,'country region mapping'!$A$2:$A$250, 'country region mapping'!$E$2:$E$250)</f>
        <v>#NAME?</v>
      </c>
      <c r="E1421" s="1" t="e">
        <f t="array" aca="1" ref="E1421" ca="1">_xludf.XLOOKUP(C1421,'country region mapping'!$A$2:$A$267,'country region mapping'!$F$2:$F$267)</f>
        <v>#NAME?</v>
      </c>
      <c r="F1421" s="1" t="e">
        <f t="array" aca="1" ref="F1421" ca="1">_xludf.XLOOKUP(C1421,'country region mapping'!$A$2:$A$267,'country region mapping'!$G$2:$G$267)</f>
        <v>#NAME?</v>
      </c>
      <c r="G1421" s="1">
        <v>5.1950000000000003</v>
      </c>
      <c r="H1421" s="1">
        <v>75</v>
      </c>
      <c r="I1421" s="1">
        <v>39</v>
      </c>
      <c r="J1421" s="1">
        <v>37</v>
      </c>
      <c r="K1421" s="1">
        <v>25</v>
      </c>
      <c r="L1421" s="1">
        <v>46</v>
      </c>
      <c r="M1421" s="1">
        <v>113</v>
      </c>
      <c r="N1421" s="1">
        <v>122</v>
      </c>
      <c r="O1421" s="1">
        <v>71</v>
      </c>
      <c r="P1421" s="1">
        <v>99</v>
      </c>
      <c r="Q1421" s="1">
        <v>113</v>
      </c>
      <c r="R1421" s="1">
        <v>80</v>
      </c>
      <c r="S1421" s="1">
        <v>78</v>
      </c>
    </row>
    <row r="1422" spans="1:19">
      <c r="A1422" s="1">
        <v>2016</v>
      </c>
      <c r="B1422" s="1">
        <v>90</v>
      </c>
      <c r="C1422" s="1" t="s">
        <v>146</v>
      </c>
      <c r="D1422" s="1" t="e">
        <f t="array" aca="1" ref="D1422" ca="1">_xludf.XLOOKUP(C1422,'country region mapping'!$A$2:$A$250, 'country region mapping'!$E$2:$E$250)</f>
        <v>#NAME?</v>
      </c>
      <c r="E1422" s="1" t="e">
        <f t="array" aca="1" ref="E1422" ca="1">_xludf.XLOOKUP(C1422,'country region mapping'!$A$2:$A$267,'country region mapping'!$F$2:$F$267)</f>
        <v>#NAME?</v>
      </c>
      <c r="F1422" s="1" t="e">
        <f t="array" aca="1" ref="F1422" ca="1">_xludf.XLOOKUP(C1422,'country region mapping'!$A$2:$A$267,'country region mapping'!$G$2:$G$267)</f>
        <v>#NAME?</v>
      </c>
      <c r="G1422" s="1">
        <v>5.1820000000000004</v>
      </c>
      <c r="H1422" s="1">
        <v>88</v>
      </c>
      <c r="I1422" s="1">
        <v>86</v>
      </c>
      <c r="J1422" s="1">
        <v>75</v>
      </c>
      <c r="K1422" s="1">
        <v>47</v>
      </c>
      <c r="L1422" s="1">
        <v>117</v>
      </c>
      <c r="M1422" s="1">
        <v>31</v>
      </c>
      <c r="N1422" s="1">
        <v>129</v>
      </c>
      <c r="O1422" s="1">
        <v>114</v>
      </c>
      <c r="P1422" s="1">
        <v>89</v>
      </c>
      <c r="Q1422" s="1">
        <v>31</v>
      </c>
      <c r="R1422" s="1">
        <v>133</v>
      </c>
      <c r="S1422" s="1">
        <v>59</v>
      </c>
    </row>
    <row r="1423" spans="1:19">
      <c r="A1423" s="1">
        <v>2016</v>
      </c>
      <c r="B1423" s="1">
        <v>91</v>
      </c>
      <c r="C1423" s="1" t="s">
        <v>167</v>
      </c>
      <c r="D1423" s="1" t="e">
        <f t="array" aca="1" ref="D1423" ca="1">_xludf.XLOOKUP(C1423,'country region mapping'!$A$2:$A$250, 'country region mapping'!$E$2:$E$250)</f>
        <v>#NAME?</v>
      </c>
      <c r="E1423" s="1" t="e">
        <f t="array" aca="1" ref="E1423" ca="1">_xludf.XLOOKUP(C1423,'country region mapping'!$A$2:$A$267,'country region mapping'!$F$2:$F$267)</f>
        <v>#NAME?</v>
      </c>
      <c r="F1423" s="1" t="e">
        <f t="array" aca="1" ref="F1423" ca="1">_xludf.XLOOKUP(C1423,'country region mapping'!$A$2:$A$267,'country region mapping'!$G$2:$G$267)</f>
        <v>#NAME?</v>
      </c>
      <c r="G1423" s="1">
        <v>5.181</v>
      </c>
      <c r="H1423" s="1">
        <v>136</v>
      </c>
      <c r="I1423" s="1">
        <v>101</v>
      </c>
      <c r="J1423" s="1">
        <v>101</v>
      </c>
      <c r="K1423" s="1">
        <v>89</v>
      </c>
      <c r="L1423" s="1">
        <v>40</v>
      </c>
      <c r="M1423" s="1">
        <v>49</v>
      </c>
      <c r="N1423" s="1">
        <v>56</v>
      </c>
      <c r="O1423" s="1">
        <v>13</v>
      </c>
      <c r="P1423" s="1">
        <v>82</v>
      </c>
      <c r="Q1423" s="1">
        <v>49</v>
      </c>
      <c r="R1423" s="1">
        <v>21</v>
      </c>
      <c r="S1423" s="1">
        <v>53</v>
      </c>
    </row>
    <row r="1424" spans="1:19">
      <c r="A1424" s="1">
        <v>2016</v>
      </c>
      <c r="B1424" s="1">
        <v>92</v>
      </c>
      <c r="C1424" s="1" t="s">
        <v>156</v>
      </c>
      <c r="D1424" s="1" t="e">
        <f t="array" aca="1" ref="D1424" ca="1">_xludf.XLOOKUP(C1424,'country region mapping'!$A$2:$A$250, 'country region mapping'!$E$2:$E$250)</f>
        <v>#NAME?</v>
      </c>
      <c r="E1424" s="1" t="e">
        <f t="array" aca="1" ref="E1424" ca="1">_xludf.XLOOKUP(C1424,'country region mapping'!$A$2:$A$267,'country region mapping'!$F$2:$F$267)</f>
        <v>#NAME?</v>
      </c>
      <c r="F1424" s="1" t="e">
        <f t="array" aca="1" ref="F1424" ca="1">_xludf.XLOOKUP(C1424,'country region mapping'!$A$2:$A$267,'country region mapping'!$G$2:$G$267)</f>
        <v>#NAME?</v>
      </c>
      <c r="G1424" s="1">
        <v>5.1749999999999998</v>
      </c>
      <c r="H1424" s="1">
        <v>80</v>
      </c>
      <c r="I1424" s="1">
        <v>61</v>
      </c>
      <c r="J1424" s="1">
        <v>60</v>
      </c>
      <c r="K1424" s="1">
        <v>57</v>
      </c>
      <c r="L1424" s="1">
        <v>98</v>
      </c>
      <c r="M1424" s="1">
        <v>34</v>
      </c>
      <c r="N1424" s="1">
        <v>99</v>
      </c>
      <c r="O1424" s="1">
        <v>102</v>
      </c>
      <c r="P1424" s="1">
        <v>80</v>
      </c>
      <c r="Q1424" s="1">
        <v>34</v>
      </c>
      <c r="R1424" s="1">
        <v>106</v>
      </c>
      <c r="S1424" s="1">
        <v>75</v>
      </c>
    </row>
    <row r="1425" spans="1:19">
      <c r="A1425" s="1">
        <v>2016</v>
      </c>
      <c r="B1425" s="1">
        <v>93</v>
      </c>
      <c r="C1425" s="1" t="s">
        <v>134</v>
      </c>
      <c r="D1425" s="1" t="e">
        <f t="array" aca="1" ref="D1425" ca="1">_xludf.XLOOKUP(C1425,'country region mapping'!$A$2:$A$250, 'country region mapping'!$E$2:$E$250)</f>
        <v>#NAME?</v>
      </c>
      <c r="E1425" s="1" t="e">
        <f t="array" aca="1" ref="E1425" ca="1">_xludf.XLOOKUP(C1425,'country region mapping'!$A$2:$A$267,'country region mapping'!$F$2:$F$267)</f>
        <v>#NAME?</v>
      </c>
      <c r="F1425" s="1" t="e">
        <f t="array" aca="1" ref="F1425" ca="1">_xludf.XLOOKUP(C1425,'country region mapping'!$A$2:$A$267,'country region mapping'!$G$2:$G$267)</f>
        <v>#NAME?</v>
      </c>
      <c r="G1425" s="1">
        <v>5.1509999999999998</v>
      </c>
      <c r="H1425" s="1">
        <v>81</v>
      </c>
      <c r="I1425" s="1">
        <v>132</v>
      </c>
      <c r="J1425" s="1">
        <v>138</v>
      </c>
      <c r="K1425" s="1">
        <v>13</v>
      </c>
      <c r="L1425" s="1">
        <v>133</v>
      </c>
      <c r="M1425" s="1">
        <v>94</v>
      </c>
      <c r="N1425" s="1">
        <v>15</v>
      </c>
      <c r="O1425" s="1">
        <v>18</v>
      </c>
      <c r="P1425" s="1">
        <v>19</v>
      </c>
      <c r="Q1425" s="1">
        <v>94</v>
      </c>
      <c r="R1425" s="1">
        <v>48</v>
      </c>
      <c r="S1425" s="1">
        <v>17</v>
      </c>
    </row>
    <row r="1426" spans="1:19">
      <c r="A1426" s="1">
        <v>2016</v>
      </c>
      <c r="B1426" s="1">
        <v>95</v>
      </c>
      <c r="C1426" s="1" t="s">
        <v>165</v>
      </c>
      <c r="D1426" s="1" t="e">
        <f t="array" aca="1" ref="D1426" ca="1">_xludf.XLOOKUP(C1426,'country region mapping'!$A$2:$A$250, 'country region mapping'!$E$2:$E$250)</f>
        <v>#NAME?</v>
      </c>
      <c r="E1426" s="1" t="e">
        <f t="array" aca="1" ref="E1426" ca="1">_xludf.XLOOKUP(C1426,'country region mapping'!$A$2:$A$267,'country region mapping'!$F$2:$F$267)</f>
        <v>#NAME?</v>
      </c>
      <c r="F1426" s="1" t="e">
        <f t="array" aca="1" ref="F1426" ca="1">_xludf.XLOOKUP(C1426,'country region mapping'!$A$2:$A$267,'country region mapping'!$G$2:$G$267)</f>
        <v>#NAME?</v>
      </c>
      <c r="G1426" s="1">
        <v>5.0739999999999998</v>
      </c>
      <c r="H1426" s="1">
        <v>114</v>
      </c>
      <c r="I1426" s="1">
        <v>87</v>
      </c>
      <c r="J1426" s="1">
        <v>103</v>
      </c>
      <c r="K1426" s="1">
        <v>119</v>
      </c>
      <c r="L1426" s="1">
        <v>64</v>
      </c>
      <c r="M1426" s="1">
        <v>66</v>
      </c>
      <c r="N1426" s="1">
        <v>118</v>
      </c>
      <c r="O1426" s="1">
        <v>26</v>
      </c>
      <c r="P1426" s="1">
        <v>59</v>
      </c>
      <c r="Q1426" s="1">
        <v>66</v>
      </c>
      <c r="R1426" s="1">
        <v>30</v>
      </c>
      <c r="S1426" s="1">
        <v>16</v>
      </c>
    </row>
    <row r="1427" spans="1:19">
      <c r="A1427" s="1">
        <v>2016</v>
      </c>
      <c r="B1427" s="1">
        <v>96</v>
      </c>
      <c r="C1427" s="1" t="s">
        <v>162</v>
      </c>
      <c r="D1427" s="1" t="e">
        <f t="array" aca="1" ref="D1427" ca="1">_xludf.XLOOKUP(C1427,'country region mapping'!$A$2:$A$250, 'country region mapping'!$E$2:$E$250)</f>
        <v>#NAME?</v>
      </c>
      <c r="E1427" s="1" t="e">
        <f t="array" aca="1" ref="E1427" ca="1">_xludf.XLOOKUP(C1427,'country region mapping'!$A$2:$A$267,'country region mapping'!$F$2:$F$267)</f>
        <v>#NAME?</v>
      </c>
      <c r="F1427" s="1" t="e">
        <f t="array" aca="1" ref="F1427" ca="1">_xludf.XLOOKUP(C1427,'country region mapping'!$A$2:$A$267,'country region mapping'!$G$2:$G$267)</f>
        <v>#NAME?</v>
      </c>
      <c r="G1427" s="1">
        <v>5.0410000000000004</v>
      </c>
      <c r="H1427" s="1">
        <v>17</v>
      </c>
      <c r="I1427" s="1">
        <v>65</v>
      </c>
      <c r="J1427" s="1">
        <v>119</v>
      </c>
      <c r="K1427" s="1">
        <v>73</v>
      </c>
      <c r="L1427" s="1">
        <v>99</v>
      </c>
      <c r="M1427" s="1">
        <v>89</v>
      </c>
      <c r="N1427" s="1">
        <v>24</v>
      </c>
      <c r="O1427" s="1">
        <v>103</v>
      </c>
      <c r="P1427" s="1">
        <v>37</v>
      </c>
      <c r="Q1427" s="1">
        <v>89</v>
      </c>
      <c r="R1427" s="1">
        <v>5</v>
      </c>
      <c r="S1427" s="1">
        <v>85</v>
      </c>
    </row>
    <row r="1428" spans="1:19">
      <c r="A1428" s="1">
        <v>2016</v>
      </c>
      <c r="B1428" s="1">
        <v>97</v>
      </c>
      <c r="C1428" s="1" t="s">
        <v>143</v>
      </c>
      <c r="D1428" s="1" t="e">
        <f t="array" aca="1" ref="D1428" ca="1">_xludf.XLOOKUP(C1428,'country region mapping'!$A$2:$A$250, 'country region mapping'!$E$2:$E$250)</f>
        <v>#NAME?</v>
      </c>
      <c r="E1428" s="1" t="e">
        <f t="array" aca="1" ref="E1428" ca="1">_xludf.XLOOKUP(C1428,'country region mapping'!$A$2:$A$267,'country region mapping'!$F$2:$F$267)</f>
        <v>#NAME?</v>
      </c>
      <c r="F1428" s="1" t="e">
        <f t="array" aca="1" ref="F1428" ca="1">_xludf.XLOOKUP(C1428,'country region mapping'!$A$2:$A$267,'country region mapping'!$G$2:$G$267)</f>
        <v>#NAME?</v>
      </c>
      <c r="G1428" s="1">
        <v>5.0110000000000001</v>
      </c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</row>
    <row r="1429" spans="1:19">
      <c r="A1429" s="1">
        <v>2016</v>
      </c>
      <c r="B1429" s="1">
        <v>98</v>
      </c>
      <c r="C1429" s="1" t="s">
        <v>144</v>
      </c>
      <c r="D1429" s="1" t="e">
        <f t="array" aca="1" ref="D1429" ca="1">_xludf.XLOOKUP(C1429,'country region mapping'!$A$2:$A$250, 'country region mapping'!$E$2:$E$250)</f>
        <v>#NAME?</v>
      </c>
      <c r="E1429" s="1" t="e">
        <f t="array" aca="1" ref="E1429" ca="1">_xludf.XLOOKUP(C1429,'country region mapping'!$A$2:$A$267,'country region mapping'!$F$2:$F$267)</f>
        <v>#NAME?</v>
      </c>
      <c r="F1429" s="1" t="e">
        <f t="array" aca="1" ref="F1429" ca="1">_xludf.XLOOKUP(C1429,'country region mapping'!$A$2:$A$267,'country region mapping'!$G$2:$G$267)</f>
        <v>#NAME?</v>
      </c>
      <c r="G1429" s="1">
        <v>5.0039999999999996</v>
      </c>
      <c r="H1429" s="1">
        <v>49</v>
      </c>
      <c r="I1429" s="1">
        <v>33</v>
      </c>
      <c r="J1429" s="1">
        <v>104</v>
      </c>
      <c r="K1429" s="1">
        <v>72</v>
      </c>
      <c r="L1429" s="1">
        <v>58</v>
      </c>
      <c r="M1429" s="1">
        <v>61</v>
      </c>
      <c r="N1429" s="1">
        <v>120</v>
      </c>
      <c r="O1429" s="1">
        <v>67</v>
      </c>
      <c r="P1429" s="1">
        <v>3</v>
      </c>
      <c r="Q1429" s="1">
        <v>61</v>
      </c>
      <c r="R1429" s="1">
        <v>96</v>
      </c>
      <c r="S1429" s="1">
        <v>80</v>
      </c>
    </row>
    <row r="1430" spans="1:19">
      <c r="A1430" s="1">
        <v>2016</v>
      </c>
      <c r="B1430" s="1">
        <v>99</v>
      </c>
      <c r="C1430" s="1" t="s">
        <v>172</v>
      </c>
      <c r="D1430" s="1" t="e">
        <f t="array" aca="1" ref="D1430" ca="1">_xludf.XLOOKUP(C1430,'country region mapping'!$A$2:$A$250, 'country region mapping'!$E$2:$E$250)</f>
        <v>#NAME?</v>
      </c>
      <c r="E1430" s="1" t="e">
        <f t="array" aca="1" ref="E1430" ca="1">_xludf.XLOOKUP(C1430,'country region mapping'!$A$2:$A$267,'country region mapping'!$F$2:$F$267)</f>
        <v>#NAME?</v>
      </c>
      <c r="F1430" s="1" t="e">
        <f t="array" aca="1" ref="F1430" ca="1">_xludf.XLOOKUP(C1430,'country region mapping'!$A$2:$A$267,'country region mapping'!$G$2:$G$267)</f>
        <v>#NAME?</v>
      </c>
      <c r="G1430" s="1">
        <v>4.9619999999999997</v>
      </c>
      <c r="H1430" s="1">
        <v>109</v>
      </c>
      <c r="I1430" s="1">
        <v>73</v>
      </c>
      <c r="J1430" s="1">
        <v>113</v>
      </c>
      <c r="K1430" s="1">
        <v>97</v>
      </c>
      <c r="L1430" s="1">
        <v>45</v>
      </c>
      <c r="M1430" s="1">
        <v>37</v>
      </c>
      <c r="N1430" s="1">
        <v>74</v>
      </c>
      <c r="O1430" s="1">
        <v>128</v>
      </c>
      <c r="P1430" s="1">
        <v>116</v>
      </c>
      <c r="Q1430" s="1">
        <v>37</v>
      </c>
      <c r="R1430" s="1">
        <v>27</v>
      </c>
      <c r="S1430" s="1">
        <v>92</v>
      </c>
    </row>
    <row r="1431" spans="1:19">
      <c r="A1431" s="1">
        <v>2016</v>
      </c>
      <c r="B1431" s="1">
        <v>100</v>
      </c>
      <c r="C1431" s="1" t="s">
        <v>163</v>
      </c>
      <c r="D1431" s="1" t="e">
        <f t="array" aca="1" ref="D1431" ca="1">_xludf.XLOOKUP(C1431,'country region mapping'!$A$2:$A$250, 'country region mapping'!$E$2:$E$250)</f>
        <v>#NAME?</v>
      </c>
      <c r="E1431" s="1" t="e">
        <f t="array" aca="1" ref="E1431" ca="1">_xludf.XLOOKUP(C1431,'country region mapping'!$A$2:$A$267,'country region mapping'!$F$2:$F$267)</f>
        <v>#NAME?</v>
      </c>
      <c r="F1431" s="1" t="e">
        <f t="array" aca="1" ref="F1431" ca="1">_xludf.XLOOKUP(C1431,'country region mapping'!$A$2:$A$267,'country region mapping'!$G$2:$G$267)</f>
        <v>#NAME?</v>
      </c>
      <c r="G1431" s="1">
        <v>4.9550000000000001</v>
      </c>
      <c r="H1431" s="1">
        <v>19</v>
      </c>
      <c r="I1431" s="1">
        <v>7</v>
      </c>
      <c r="J1431" s="1">
        <v>78</v>
      </c>
      <c r="K1431" s="1">
        <v>93</v>
      </c>
      <c r="L1431" s="1">
        <v>78</v>
      </c>
      <c r="M1431" s="1">
        <v>35</v>
      </c>
      <c r="N1431" s="1">
        <v>114</v>
      </c>
      <c r="O1431" s="1">
        <v>118</v>
      </c>
      <c r="P1431" s="1">
        <v>10</v>
      </c>
      <c r="Q1431" s="1">
        <v>35</v>
      </c>
      <c r="R1431" s="1">
        <v>12</v>
      </c>
      <c r="S1431" s="1">
        <v>72</v>
      </c>
    </row>
    <row r="1432" spans="1:19">
      <c r="A1432" s="1">
        <v>2016</v>
      </c>
      <c r="B1432" s="1">
        <v>101</v>
      </c>
      <c r="C1432" s="1" t="s">
        <v>185</v>
      </c>
      <c r="D1432" s="1" t="e">
        <f t="array" aca="1" ref="D1432" ca="1">_xludf.XLOOKUP(C1432,'country region mapping'!$A$2:$A$250, 'country region mapping'!$E$2:$E$250)</f>
        <v>#NAME?</v>
      </c>
      <c r="E1432" s="1" t="e">
        <f t="array" aca="1" ref="E1432" ca="1">_xludf.XLOOKUP(C1432,'country region mapping'!$A$2:$A$267,'country region mapping'!$F$2:$F$267)</f>
        <v>#NAME?</v>
      </c>
      <c r="F1432" s="1" t="e">
        <f t="array" aca="1" ref="F1432" ca="1">_xludf.XLOOKUP(C1432,'country region mapping'!$A$2:$A$267,'country region mapping'!$G$2:$G$267)</f>
        <v>#NAME?</v>
      </c>
      <c r="G1432" s="1">
        <v>4.8289999999999997</v>
      </c>
      <c r="H1432" s="1">
        <v>132</v>
      </c>
      <c r="I1432" s="1">
        <v>60</v>
      </c>
      <c r="J1432" s="1">
        <v>77</v>
      </c>
      <c r="K1432" s="1">
        <v>113</v>
      </c>
      <c r="L1432" s="1">
        <v>71</v>
      </c>
      <c r="M1432" s="1">
        <v>81</v>
      </c>
      <c r="N1432" s="1">
        <v>70</v>
      </c>
      <c r="O1432" s="1">
        <v>29</v>
      </c>
      <c r="P1432" s="1">
        <v>85</v>
      </c>
      <c r="Q1432" s="1">
        <v>81</v>
      </c>
      <c r="R1432" s="1">
        <v>18</v>
      </c>
      <c r="S1432" s="1">
        <v>11</v>
      </c>
    </row>
    <row r="1433" spans="1:19">
      <c r="A1433" s="1">
        <v>2016</v>
      </c>
      <c r="B1433" s="1">
        <v>102</v>
      </c>
      <c r="C1433" s="1" t="s">
        <v>159</v>
      </c>
      <c r="D1433" s="1" t="e">
        <f t="array" aca="1" ref="D1433" ca="1">_xludf.XLOOKUP(C1433,'country region mapping'!$A$2:$A$250, 'country region mapping'!$E$2:$E$250)</f>
        <v>#NAME?</v>
      </c>
      <c r="E1433" s="1" t="e">
        <f t="array" aca="1" ref="E1433" ca="1">_xludf.XLOOKUP(C1433,'country region mapping'!$A$2:$A$267,'country region mapping'!$F$2:$F$267)</f>
        <v>#NAME?</v>
      </c>
      <c r="F1433" s="1" t="e">
        <f t="array" aca="1" ref="F1433" ca="1">_xludf.XLOOKUP(C1433,'country region mapping'!$A$2:$A$267,'country region mapping'!$G$2:$G$267)</f>
        <v>#NAME?</v>
      </c>
      <c r="G1433" s="1">
        <v>4.8049999999999997</v>
      </c>
      <c r="H1433" s="1">
        <v>76</v>
      </c>
      <c r="I1433" s="1">
        <v>115</v>
      </c>
      <c r="J1433" s="1">
        <v>84</v>
      </c>
      <c r="K1433" s="1">
        <v>53</v>
      </c>
      <c r="L1433" s="1">
        <v>120</v>
      </c>
      <c r="M1433" s="1">
        <v>118</v>
      </c>
      <c r="N1433" s="1">
        <v>66</v>
      </c>
      <c r="O1433" s="1">
        <v>126</v>
      </c>
      <c r="P1433" s="1">
        <v>124</v>
      </c>
      <c r="Q1433" s="1">
        <v>118</v>
      </c>
      <c r="R1433" s="1">
        <v>113</v>
      </c>
      <c r="S1433" s="1">
        <v>30</v>
      </c>
    </row>
    <row r="1434" spans="1:19">
      <c r="A1434" s="1">
        <v>2016</v>
      </c>
      <c r="B1434" s="1">
        <v>103</v>
      </c>
      <c r="C1434" s="1" t="s">
        <v>173</v>
      </c>
      <c r="D1434" s="1" t="e">
        <f t="array" aca="1" ref="D1434" ca="1">_xludf.XLOOKUP(C1434,'country region mapping'!$A$2:$A$267,'country region mapping'!$E$2:$E$267)</f>
        <v>#NAME?</v>
      </c>
      <c r="E1434" s="1" t="e">
        <f t="array" aca="1" ref="E1434" ca="1">_xludf.XLOOKUP(C1434,'country region mapping'!$A$2:$A$267,'country region mapping'!$F$2:$F$267)</f>
        <v>#NAME?</v>
      </c>
      <c r="F1434" s="1" t="e">
        <f t="array" aca="1" ref="F1434" ca="1">_xludf.XLOOKUP(C1434,'country region mapping'!$A$2:$A$267,'country region mapping'!$G$2:$G$267)</f>
        <v>#NAME?</v>
      </c>
      <c r="G1434" s="1">
        <v>4.7750000000000004</v>
      </c>
      <c r="H1434" s="1">
        <v>102</v>
      </c>
      <c r="I1434" s="1">
        <v>81</v>
      </c>
      <c r="J1434" s="1">
        <v>100</v>
      </c>
      <c r="K1434" s="1"/>
      <c r="L1434" s="1">
        <v>124</v>
      </c>
      <c r="M1434" s="1">
        <v>127</v>
      </c>
      <c r="N1434" s="1">
        <v>69</v>
      </c>
      <c r="O1434" s="1">
        <v>124</v>
      </c>
      <c r="Q1434" s="14">
        <v>127</v>
      </c>
      <c r="R1434" s="14">
        <v>128</v>
      </c>
      <c r="S1434" s="14">
        <v>103</v>
      </c>
    </row>
    <row r="1435" spans="1:19">
      <c r="A1435" s="1">
        <v>2016</v>
      </c>
      <c r="B1435" s="1">
        <v>104</v>
      </c>
      <c r="C1435" s="1" t="s">
        <v>191</v>
      </c>
      <c r="D1435" s="1" t="e">
        <f t="array" aca="1" ref="D1435" ca="1">_xludf.XLOOKUP(C1435,'country region mapping'!$A$2:$A$250, 'country region mapping'!$E$2:$E$250)</f>
        <v>#NAME?</v>
      </c>
      <c r="E1435" s="1" t="e">
        <f t="array" aca="1" ref="E1435" ca="1">_xludf.XLOOKUP(C1435,'country region mapping'!$A$2:$A$267,'country region mapping'!$F$2:$F$267)</f>
        <v>#NAME?</v>
      </c>
      <c r="F1435" s="1" t="e">
        <f t="array" aca="1" ref="F1435" ca="1">_xludf.XLOOKUP(C1435,'country region mapping'!$A$2:$A$267,'country region mapping'!$G$2:$G$267)</f>
        <v>#NAME?</v>
      </c>
      <c r="G1435" s="1">
        <v>4.7350000000000003</v>
      </c>
      <c r="H1435" s="1">
        <v>64</v>
      </c>
      <c r="I1435" s="1">
        <v>85</v>
      </c>
      <c r="J1435" s="1">
        <v>79</v>
      </c>
      <c r="K1435" s="1">
        <v>90</v>
      </c>
      <c r="L1435" s="1">
        <v>111</v>
      </c>
      <c r="M1435" s="1">
        <v>111</v>
      </c>
      <c r="N1435" s="1">
        <v>75</v>
      </c>
      <c r="O1435" s="1">
        <v>125</v>
      </c>
      <c r="P1435" s="1">
        <v>117</v>
      </c>
      <c r="Q1435" s="1">
        <v>111</v>
      </c>
      <c r="R1435" s="1">
        <v>132</v>
      </c>
      <c r="S1435" s="1">
        <v>51</v>
      </c>
    </row>
    <row r="1436" spans="1:19">
      <c r="A1436" s="1">
        <v>2016</v>
      </c>
      <c r="B1436" s="1">
        <v>105</v>
      </c>
      <c r="C1436" s="1" t="s">
        <v>205</v>
      </c>
      <c r="D1436" s="1" t="e">
        <f t="array" aca="1" ref="D1436" ca="1">_xludf.XLOOKUP(C1436,'country region mapping'!$A$2:$A$250, 'country region mapping'!$E$2:$E$250)</f>
        <v>#NAME?</v>
      </c>
      <c r="E1436" s="1" t="e">
        <f t="array" aca="1" ref="E1436" ca="1">_xludf.XLOOKUP(C1436,'country region mapping'!$A$2:$A$267,'country region mapping'!$F$2:$F$267)</f>
        <v>#NAME?</v>
      </c>
      <c r="F1436" s="1" t="e">
        <f t="array" aca="1" ref="F1436" ca="1">_xludf.XLOOKUP(C1436,'country region mapping'!$A$2:$A$267,'country region mapping'!$G$2:$G$267)</f>
        <v>#NAME?</v>
      </c>
      <c r="G1436" s="1">
        <v>4.7140000000000004</v>
      </c>
      <c r="H1436" s="1">
        <v>48</v>
      </c>
      <c r="I1436" s="1">
        <v>27</v>
      </c>
      <c r="J1436" s="1">
        <v>53</v>
      </c>
      <c r="K1436" s="1">
        <v>64</v>
      </c>
      <c r="L1436" s="1">
        <v>101</v>
      </c>
      <c r="M1436" s="1">
        <v>109</v>
      </c>
      <c r="N1436" s="1">
        <v>125</v>
      </c>
      <c r="O1436" s="1">
        <v>123</v>
      </c>
      <c r="P1436" s="1">
        <v>11</v>
      </c>
      <c r="Q1436" s="1">
        <v>109</v>
      </c>
      <c r="R1436" s="1">
        <v>139</v>
      </c>
      <c r="S1436" s="1">
        <v>125</v>
      </c>
    </row>
    <row r="1437" spans="1:19">
      <c r="A1437" s="1">
        <v>2016</v>
      </c>
      <c r="B1437" s="1">
        <v>106</v>
      </c>
      <c r="C1437" s="1" t="s">
        <v>178</v>
      </c>
      <c r="D1437" s="1" t="e">
        <f t="array" aca="1" ref="D1437" ca="1">_xludf.XLOOKUP(C1437,'country region mapping'!$A$2:$A$250, 'country region mapping'!$E$2:$E$250)</f>
        <v>#NAME?</v>
      </c>
      <c r="E1437" s="1" t="e">
        <f t="array" aca="1" ref="E1437" ca="1">_xludf.XLOOKUP(C1437,'country region mapping'!$A$2:$A$267,'country region mapping'!$F$2:$F$267)</f>
        <v>#NAME?</v>
      </c>
      <c r="F1437" s="1" t="e">
        <f t="array" aca="1" ref="F1437" ca="1">_xludf.XLOOKUP(C1437,'country region mapping'!$A$2:$A$267,'country region mapping'!$G$2:$G$267)</f>
        <v>#NAME?</v>
      </c>
      <c r="G1437" s="1">
        <v>4.7089999999999996</v>
      </c>
      <c r="H1437" s="1">
        <v>141</v>
      </c>
      <c r="I1437" s="1">
        <v>120</v>
      </c>
      <c r="J1437" s="1">
        <v>124</v>
      </c>
      <c r="K1437" s="1">
        <v>129</v>
      </c>
      <c r="L1437" s="1">
        <v>106</v>
      </c>
      <c r="M1437" s="1">
        <v>72</v>
      </c>
      <c r="N1437" s="1">
        <v>95</v>
      </c>
      <c r="O1437" s="1">
        <v>89</v>
      </c>
      <c r="P1437" s="1">
        <v>134</v>
      </c>
      <c r="Q1437" s="1">
        <v>72</v>
      </c>
      <c r="R1437" s="1">
        <v>8</v>
      </c>
      <c r="S1437" s="1">
        <v>1</v>
      </c>
    </row>
    <row r="1438" spans="1:19">
      <c r="A1438" s="1">
        <v>2016</v>
      </c>
      <c r="B1438" s="1">
        <v>107</v>
      </c>
      <c r="C1438" s="1" t="s">
        <v>182</v>
      </c>
      <c r="D1438" s="1" t="e">
        <f t="array" aca="1" ref="D1438" ca="1">_xludf.XLOOKUP(C1438,'country region mapping'!$A$2:$A$250, 'country region mapping'!$E$2:$E$250)</f>
        <v>#NAME?</v>
      </c>
      <c r="E1438" s="1" t="e">
        <f t="array" aca="1" ref="E1438" ca="1">_xludf.XLOOKUP(C1438,'country region mapping'!$A$2:$A$267,'country region mapping'!$F$2:$F$267)</f>
        <v>#NAME?</v>
      </c>
      <c r="F1438" s="1" t="e">
        <f t="array" aca="1" ref="F1438" ca="1">_xludf.XLOOKUP(C1438,'country region mapping'!$A$2:$A$267,'country region mapping'!$G$2:$G$267)</f>
        <v>#NAME?</v>
      </c>
      <c r="G1438" s="1">
        <v>4.6950000000000003</v>
      </c>
      <c r="H1438" s="1">
        <v>100</v>
      </c>
      <c r="I1438" s="1">
        <v>119</v>
      </c>
      <c r="J1438" s="1">
        <v>112</v>
      </c>
      <c r="K1438" s="1">
        <v>126</v>
      </c>
      <c r="L1438" s="1">
        <v>97</v>
      </c>
      <c r="M1438" s="1">
        <v>90</v>
      </c>
      <c r="N1438" s="1">
        <v>102</v>
      </c>
      <c r="O1438" s="1">
        <v>82</v>
      </c>
      <c r="P1438" s="1">
        <v>114</v>
      </c>
      <c r="Q1438" s="1">
        <v>90</v>
      </c>
      <c r="R1438" s="1">
        <v>66</v>
      </c>
      <c r="S1438" s="1">
        <v>36</v>
      </c>
    </row>
    <row r="1439" spans="1:19">
      <c r="A1439" s="1">
        <v>2016</v>
      </c>
      <c r="B1439" s="1">
        <v>108</v>
      </c>
      <c r="C1439" s="1" t="s">
        <v>169</v>
      </c>
      <c r="D1439" s="1" t="e">
        <f t="array" aca="1" ref="D1439" ca="1">_xludf.XLOOKUP(C1439,'country region mapping'!$A$2:$A$267,'country region mapping'!$E$2:$E$267)</f>
        <v>#NAME?</v>
      </c>
      <c r="E1439" s="1" t="e">
        <f t="array" aca="1" ref="E1439" ca="1">_xludf.XLOOKUP(C1439,'country region mapping'!$A$2:$A$267,'country region mapping'!$F$2:$F$267)</f>
        <v>#NAME?</v>
      </c>
      <c r="F1439" s="1" t="e">
        <f t="array" aca="1" ref="F1439" ca="1">_xludf.XLOOKUP(C1439,'country region mapping'!$A$2:$A$267,'country region mapping'!$G$2:$G$267)</f>
        <v>#NAME?</v>
      </c>
      <c r="G1439" s="1">
        <v>4.6920000000000002</v>
      </c>
      <c r="H1439" s="1">
        <v>115</v>
      </c>
      <c r="I1439" s="1">
        <v>134</v>
      </c>
      <c r="J1439" s="1">
        <v>74</v>
      </c>
      <c r="K1439" s="1">
        <v>55</v>
      </c>
      <c r="L1439" s="1">
        <v>72</v>
      </c>
      <c r="M1439" s="1">
        <v>23</v>
      </c>
      <c r="N1439" s="1">
        <v>33</v>
      </c>
      <c r="O1439" s="1">
        <v>98</v>
      </c>
      <c r="P1439" s="1">
        <v>139</v>
      </c>
      <c r="Q1439" s="1">
        <v>23</v>
      </c>
      <c r="R1439" s="1">
        <v>41</v>
      </c>
      <c r="S1439" s="1">
        <v>29</v>
      </c>
    </row>
    <row r="1440" spans="1:19">
      <c r="A1440" s="1">
        <v>2016</v>
      </c>
      <c r="B1440" s="1">
        <v>109</v>
      </c>
      <c r="C1440" s="1" t="s">
        <v>174</v>
      </c>
      <c r="D1440" s="1" t="e">
        <f t="array" aca="1" ref="D1440" ca="1">_xludf.XLOOKUP(C1440,'country region mapping'!$A$2:$A$250, 'country region mapping'!$E$2:$E$250)</f>
        <v>#NAME?</v>
      </c>
      <c r="E1440" s="1" t="e">
        <f t="array" aca="1" ref="E1440" ca="1">_xludf.XLOOKUP(C1440,'country region mapping'!$A$2:$A$267,'country region mapping'!$F$2:$F$267)</f>
        <v>#NAME?</v>
      </c>
      <c r="F1440" s="1" t="e">
        <f t="array" aca="1" ref="F1440" ca="1">_xludf.XLOOKUP(C1440,'country region mapping'!$A$2:$A$267,'country region mapping'!$G$2:$G$267)</f>
        <v>#NAME?</v>
      </c>
      <c r="G1440" s="1">
        <v>4.6440000000000001</v>
      </c>
      <c r="H1440" s="1">
        <v>123</v>
      </c>
      <c r="I1440" s="1">
        <v>125</v>
      </c>
      <c r="J1440" s="1">
        <v>81</v>
      </c>
      <c r="K1440" s="1">
        <v>33</v>
      </c>
      <c r="L1440" s="1">
        <v>90</v>
      </c>
      <c r="M1440" s="1">
        <v>65</v>
      </c>
      <c r="N1440" s="1">
        <v>115</v>
      </c>
      <c r="O1440" s="1">
        <v>113</v>
      </c>
      <c r="P1440" s="1">
        <v>96</v>
      </c>
      <c r="Q1440" s="1">
        <v>65</v>
      </c>
      <c r="R1440" s="1">
        <v>119</v>
      </c>
      <c r="S1440" s="1">
        <v>97</v>
      </c>
    </row>
    <row r="1441" spans="1:19">
      <c r="A1441" s="1">
        <v>2016</v>
      </c>
      <c r="B1441" s="1">
        <v>110</v>
      </c>
      <c r="C1441" s="1" t="s">
        <v>176</v>
      </c>
      <c r="D1441" s="1" t="e">
        <f t="array" aca="1" ref="D1441" ca="1">_xludf.XLOOKUP(C1441,'country region mapping'!$A$2:$A$250, 'country region mapping'!$E$2:$E$250)</f>
        <v>#NAME?</v>
      </c>
      <c r="E1441" s="1" t="e">
        <f t="array" aca="1" ref="E1441" ca="1">_xludf.XLOOKUP(C1441,'country region mapping'!$A$2:$A$267,'country region mapping'!$F$2:$F$267)</f>
        <v>#NAME?</v>
      </c>
      <c r="F1441" s="1" t="e">
        <f t="array" aca="1" ref="F1441" ca="1">_xludf.XLOOKUP(C1441,'country region mapping'!$A$2:$A$267,'country region mapping'!$G$2:$G$267)</f>
        <v>#NAME?</v>
      </c>
      <c r="G1441" s="1">
        <v>4.6079999999999997</v>
      </c>
      <c r="H1441" s="1">
        <v>58</v>
      </c>
      <c r="I1441" s="1">
        <v>122</v>
      </c>
      <c r="J1441" s="1">
        <v>105</v>
      </c>
      <c r="K1441" s="1">
        <v>78</v>
      </c>
      <c r="L1441" s="1">
        <v>29</v>
      </c>
      <c r="M1441" s="1">
        <v>117</v>
      </c>
      <c r="N1441" s="1">
        <v>28</v>
      </c>
      <c r="O1441" s="1">
        <v>139</v>
      </c>
      <c r="P1441" s="1">
        <v>49</v>
      </c>
      <c r="Q1441" s="1">
        <v>117</v>
      </c>
      <c r="R1441" s="1">
        <v>129</v>
      </c>
      <c r="S1441" s="1">
        <v>124</v>
      </c>
    </row>
    <row r="1442" spans="1:19">
      <c r="A1442" s="1">
        <v>2016</v>
      </c>
      <c r="B1442" s="1">
        <v>111</v>
      </c>
      <c r="C1442" s="1" t="s">
        <v>181</v>
      </c>
      <c r="D1442" s="1" t="e">
        <f t="array" aca="1" ref="D1442" ca="1">_xludf.XLOOKUP(C1442,'country region mapping'!$A$2:$A$250, 'country region mapping'!$E$2:$E$250)</f>
        <v>#NAME?</v>
      </c>
      <c r="E1442" s="1" t="e">
        <f t="array" aca="1" ref="E1442" ca="1">_xludf.XLOOKUP(C1442,'country region mapping'!$A$2:$A$267,'country region mapping'!$F$2:$F$267)</f>
        <v>#NAME?</v>
      </c>
      <c r="F1442" s="1" t="e">
        <f t="array" aca="1" ref="F1442" ca="1">_xludf.XLOOKUP(C1442,'country region mapping'!$A$2:$A$267,'country region mapping'!$G$2:$G$267)</f>
        <v>#NAME?</v>
      </c>
      <c r="G1442" s="1">
        <v>4.5739999999999998</v>
      </c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</row>
    <row r="1443" spans="1:19">
      <c r="A1443" s="1">
        <v>2016</v>
      </c>
      <c r="B1443" s="1">
        <v>112</v>
      </c>
      <c r="C1443" s="1" t="s">
        <v>193</v>
      </c>
      <c r="D1443" s="1" t="e">
        <f t="array" aca="1" ref="D1443" ca="1">_xludf.XLOOKUP(C1443,'country region mapping'!$A$2:$A$250, 'country region mapping'!$E$2:$E$250)</f>
        <v>#NAME?</v>
      </c>
      <c r="E1443" s="1" t="e">
        <f t="array" aca="1" ref="E1443" ca="1">_xludf.XLOOKUP(C1443,'country region mapping'!$A$2:$A$267,'country region mapping'!$F$2:$F$267)</f>
        <v>#NAME?</v>
      </c>
      <c r="F1443" s="1" t="e">
        <f t="array" aca="1" ref="F1443" ca="1">_xludf.XLOOKUP(C1443,'country region mapping'!$A$2:$A$267,'country region mapping'!$G$2:$G$267)</f>
        <v>#NAME?</v>
      </c>
      <c r="G1443" s="1">
        <v>4.5529999999999999</v>
      </c>
      <c r="H1443" s="1">
        <v>106</v>
      </c>
      <c r="I1443" s="1">
        <v>114</v>
      </c>
      <c r="J1443" s="1">
        <v>111</v>
      </c>
      <c r="K1443" s="1">
        <v>106</v>
      </c>
      <c r="L1443" s="1">
        <v>83</v>
      </c>
      <c r="M1443" s="1">
        <v>20</v>
      </c>
      <c r="N1443" s="1">
        <v>79</v>
      </c>
      <c r="O1443" s="1">
        <v>42</v>
      </c>
      <c r="P1443" s="1">
        <v>43</v>
      </c>
      <c r="Q1443" s="1">
        <v>20</v>
      </c>
      <c r="R1443" s="1">
        <v>2</v>
      </c>
      <c r="S1443" s="1">
        <v>4</v>
      </c>
    </row>
    <row r="1444" spans="1:19">
      <c r="A1444" s="1">
        <v>2016</v>
      </c>
      <c r="B1444" s="1">
        <v>113</v>
      </c>
      <c r="C1444" s="1" t="s">
        <v>252</v>
      </c>
      <c r="D1444" s="1" t="e">
        <f t="array" aca="1" ref="D1444" ca="1">_xludf.XLOOKUP(C1444,'country region mapping'!$A$2:$A$250, 'country region mapping'!$E$2:$E$250)</f>
        <v>#NAME?</v>
      </c>
      <c r="E1444" s="1" t="e">
        <f t="array" aca="1" ref="E1444" ca="1">_xludf.XLOOKUP(C1444,'country region mapping'!$A$2:$A$267,'country region mapping'!$F$2:$F$267)</f>
        <v>#NAME?</v>
      </c>
      <c r="F1444" s="1" t="e">
        <f t="array" aca="1" ref="F1444" ca="1">_xludf.XLOOKUP(C1444,'country region mapping'!$A$2:$A$267,'country region mapping'!$G$2:$G$267)</f>
        <v>#NAME?</v>
      </c>
      <c r="G1444" s="1">
        <v>4.55</v>
      </c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</row>
    <row r="1445" spans="1:19">
      <c r="A1445" s="1">
        <v>2016</v>
      </c>
      <c r="B1445" s="1">
        <v>114</v>
      </c>
      <c r="C1445" s="1" t="s">
        <v>190</v>
      </c>
      <c r="D1445" s="1" t="e">
        <f t="array" aca="1" ref="D1445" ca="1">_xludf.XLOOKUP(C1445,'country region mapping'!$A$2:$A$250, 'country region mapping'!$E$2:$E$250)</f>
        <v>#NAME?</v>
      </c>
      <c r="E1445" s="1" t="e">
        <f t="array" aca="1" ref="E1445" ca="1">_xludf.XLOOKUP(C1445,'country region mapping'!$A$2:$A$267,'country region mapping'!$F$2:$F$267)</f>
        <v>#NAME?</v>
      </c>
      <c r="F1445" s="1" t="e">
        <f t="array" aca="1" ref="F1445" ca="1">_xludf.XLOOKUP(C1445,'country region mapping'!$A$2:$A$267,'country region mapping'!$G$2:$G$267)</f>
        <v>#NAME?</v>
      </c>
      <c r="G1445" s="1">
        <v>4.5449999999999999</v>
      </c>
      <c r="H1445" s="1">
        <v>40</v>
      </c>
      <c r="I1445" s="1">
        <v>94</v>
      </c>
      <c r="J1445" s="1">
        <v>107</v>
      </c>
      <c r="K1445" s="1">
        <v>100</v>
      </c>
      <c r="L1445" s="1">
        <v>28</v>
      </c>
      <c r="M1445" s="1">
        <v>1</v>
      </c>
      <c r="N1445" s="1">
        <v>22</v>
      </c>
      <c r="O1445" s="1">
        <v>65</v>
      </c>
      <c r="P1445" s="1">
        <v>86</v>
      </c>
      <c r="Q1445" s="1">
        <v>1</v>
      </c>
      <c r="R1445" s="1">
        <v>3</v>
      </c>
      <c r="S1445" s="1">
        <v>57</v>
      </c>
    </row>
    <row r="1446" spans="1:19">
      <c r="A1446" s="1">
        <v>2016</v>
      </c>
      <c r="B1446" s="1">
        <v>115</v>
      </c>
      <c r="C1446" s="1" t="s">
        <v>204</v>
      </c>
      <c r="D1446" s="1" t="e">
        <f t="array" aca="1" ref="D1446" ca="1">_xludf.XLOOKUP(C1446,'country region mapping'!$A$2:$A$250, 'country region mapping'!$E$2:$E$250)</f>
        <v>#NAME?</v>
      </c>
      <c r="E1446" s="1" t="e">
        <f t="array" aca="1" ref="E1446" ca="1">_xludf.XLOOKUP(C1446,'country region mapping'!$A$2:$A$267,'country region mapping'!$F$2:$F$267)</f>
        <v>#NAME?</v>
      </c>
      <c r="F1446" s="1" t="e">
        <f t="array" aca="1" ref="F1446" ca="1">_xludf.XLOOKUP(C1446,'country region mapping'!$A$2:$A$267,'country region mapping'!$G$2:$G$267)</f>
        <v>#NAME?</v>
      </c>
      <c r="G1446" s="1">
        <v>4.5350000000000001</v>
      </c>
      <c r="H1446" s="1">
        <v>35</v>
      </c>
      <c r="I1446" s="1">
        <v>71</v>
      </c>
      <c r="J1446" s="1">
        <v>114</v>
      </c>
      <c r="K1446" s="1">
        <v>101</v>
      </c>
      <c r="L1446" s="1">
        <v>86</v>
      </c>
      <c r="M1446" s="1">
        <v>122</v>
      </c>
      <c r="N1446" s="1">
        <v>58</v>
      </c>
      <c r="O1446" s="1">
        <v>16</v>
      </c>
      <c r="P1446" s="1">
        <v>55</v>
      </c>
      <c r="Q1446" s="1">
        <v>122</v>
      </c>
      <c r="R1446" s="1">
        <v>52</v>
      </c>
      <c r="S1446" s="1">
        <v>33</v>
      </c>
    </row>
    <row r="1447" spans="1:19">
      <c r="A1447" s="1">
        <v>2016</v>
      </c>
      <c r="B1447" s="1">
        <v>116</v>
      </c>
      <c r="C1447" s="1" t="s">
        <v>170</v>
      </c>
      <c r="D1447" s="1" t="e">
        <f t="array" aca="1" ref="D1447" ca="1">_xludf.XLOOKUP(C1447,'country region mapping'!$A$2:$A$250, 'country region mapping'!$E$2:$E$250)</f>
        <v>#NAME?</v>
      </c>
      <c r="E1447" s="1" t="e">
        <f t="array" aca="1" ref="E1447" ca="1">_xludf.XLOOKUP(C1447,'country region mapping'!$A$2:$A$267,'country region mapping'!$F$2:$F$267)</f>
        <v>#NAME?</v>
      </c>
      <c r="F1447" s="1" t="e">
        <f t="array" aca="1" ref="F1447" ca="1">_xludf.XLOOKUP(C1447,'country region mapping'!$A$2:$A$267,'country region mapping'!$G$2:$G$267)</f>
        <v>#NAME?</v>
      </c>
      <c r="G1447" s="1">
        <v>4.5140000000000002</v>
      </c>
      <c r="H1447" s="1">
        <v>140</v>
      </c>
      <c r="I1447" s="1">
        <v>104</v>
      </c>
      <c r="J1447" s="1">
        <v>115</v>
      </c>
      <c r="K1447" s="1">
        <v>121</v>
      </c>
      <c r="L1447" s="1">
        <v>59</v>
      </c>
      <c r="M1447" s="1">
        <v>44</v>
      </c>
      <c r="N1447" s="1">
        <v>48</v>
      </c>
      <c r="O1447" s="1">
        <v>58</v>
      </c>
      <c r="P1447" s="1">
        <v>118</v>
      </c>
      <c r="Q1447" s="1">
        <v>44</v>
      </c>
      <c r="R1447" s="1">
        <v>19</v>
      </c>
      <c r="S1447" s="1">
        <v>15</v>
      </c>
    </row>
    <row r="1448" spans="1:19">
      <c r="A1448" s="1">
        <v>2016</v>
      </c>
      <c r="B1448" s="1">
        <v>117</v>
      </c>
      <c r="C1448" s="1" t="s">
        <v>179</v>
      </c>
      <c r="D1448" s="1" t="e">
        <f t="array" aca="1" ref="D1448" ca="1">_xludf.XLOOKUP(C1448,'country region mapping'!$A$2:$A$250, 'country region mapping'!$E$2:$E$250)</f>
        <v>#NAME?</v>
      </c>
      <c r="E1448" s="1" t="e">
        <f t="array" aca="1" ref="E1448" ca="1">_xludf.XLOOKUP(C1448,'country region mapping'!$A$2:$A$267,'country region mapping'!$F$2:$F$267)</f>
        <v>#NAME?</v>
      </c>
      <c r="F1448" s="1" t="e">
        <f t="array" aca="1" ref="F1448" ca="1">_xludf.XLOOKUP(C1448,'country region mapping'!$A$2:$A$267,'country region mapping'!$G$2:$G$267)</f>
        <v>#NAME?</v>
      </c>
      <c r="G1448" s="1">
        <v>4.4969999999999999</v>
      </c>
      <c r="H1448" s="1">
        <v>135</v>
      </c>
      <c r="I1448" s="1">
        <v>111</v>
      </c>
      <c r="J1448" s="1">
        <v>72</v>
      </c>
      <c r="K1448" s="1">
        <v>96</v>
      </c>
      <c r="L1448" s="1">
        <v>108</v>
      </c>
      <c r="M1448" s="1">
        <v>77</v>
      </c>
      <c r="N1448" s="1">
        <v>60</v>
      </c>
      <c r="O1448" s="1">
        <v>138</v>
      </c>
      <c r="P1448" s="1">
        <v>141</v>
      </c>
      <c r="Q1448" s="1">
        <v>77</v>
      </c>
      <c r="R1448" s="1">
        <v>87</v>
      </c>
      <c r="S1448" s="1">
        <v>2</v>
      </c>
    </row>
    <row r="1449" spans="1:19">
      <c r="A1449" s="1">
        <v>2016</v>
      </c>
      <c r="B1449" s="1">
        <v>118</v>
      </c>
      <c r="C1449" s="1" t="s">
        <v>306</v>
      </c>
      <c r="D1449" s="1" t="e">
        <f t="array" aca="1" ref="D1449" ca="1">_xludf.XLOOKUP(C1449,'country region mapping'!$A$2:$A$250, 'country region mapping'!$E$2:$E$250)</f>
        <v>#NAME?</v>
      </c>
      <c r="E1449" s="1" t="e">
        <f t="array" aca="1" ref="E1449" ca="1">_xludf.XLOOKUP(C1449,'country region mapping'!$A$2:$A$267,'country region mapping'!$F$2:$F$267)</f>
        <v>#NAME?</v>
      </c>
      <c r="F1449" s="1" t="e">
        <f t="array" aca="1" ref="F1449" ca="1">_xludf.XLOOKUP(C1449,'country region mapping'!$A$2:$A$267,'country region mapping'!$G$2:$G$267)</f>
        <v>#NAME?</v>
      </c>
      <c r="G1449" s="1">
        <v>4.4649999999999999</v>
      </c>
      <c r="H1449" s="1">
        <v>87</v>
      </c>
      <c r="I1449" s="1">
        <v>98</v>
      </c>
      <c r="J1449" s="1">
        <v>58</v>
      </c>
      <c r="K1449" s="1">
        <v>111</v>
      </c>
      <c r="L1449" s="1">
        <v>103</v>
      </c>
      <c r="M1449" s="1">
        <v>124</v>
      </c>
      <c r="N1449" s="1">
        <v>73</v>
      </c>
      <c r="O1449" s="1">
        <v>88</v>
      </c>
      <c r="P1449" s="1">
        <v>131</v>
      </c>
      <c r="Q1449" s="1">
        <v>124</v>
      </c>
      <c r="R1449" s="1">
        <v>112</v>
      </c>
      <c r="S1449" s="1">
        <v>37</v>
      </c>
    </row>
    <row r="1450" spans="1:19">
      <c r="A1450" s="1">
        <v>2016</v>
      </c>
      <c r="B1450" s="1">
        <v>119</v>
      </c>
      <c r="C1450" s="1" t="s">
        <v>183</v>
      </c>
      <c r="D1450" s="1" t="e">
        <f t="array" aca="1" ref="D1450" ca="1">_xludf.XLOOKUP(C1450,'country region mapping'!$A$2:$A$250, 'country region mapping'!$E$2:$E$250)</f>
        <v>#NAME?</v>
      </c>
      <c r="E1450" s="1" t="e">
        <f t="array" aca="1" ref="E1450" ca="1">_xludf.XLOOKUP(C1450,'country region mapping'!$A$2:$A$267,'country region mapping'!$F$2:$F$267)</f>
        <v>#NAME?</v>
      </c>
      <c r="F1450" s="1" t="e">
        <f t="array" aca="1" ref="F1450" ca="1">_xludf.XLOOKUP(C1450,'country region mapping'!$A$2:$A$267,'country region mapping'!$G$2:$G$267)</f>
        <v>#NAME?</v>
      </c>
      <c r="G1450" s="1">
        <v>4.46</v>
      </c>
      <c r="H1450" s="1">
        <v>34</v>
      </c>
      <c r="I1450" s="1">
        <v>112</v>
      </c>
      <c r="J1450" s="1">
        <v>132</v>
      </c>
      <c r="K1450" s="1">
        <v>102</v>
      </c>
      <c r="L1450" s="1">
        <v>85</v>
      </c>
      <c r="M1450" s="1">
        <v>91</v>
      </c>
      <c r="N1450" s="1">
        <v>32</v>
      </c>
      <c r="O1450" s="1">
        <v>86</v>
      </c>
      <c r="P1450" s="1">
        <v>61</v>
      </c>
      <c r="Q1450" s="1">
        <v>91</v>
      </c>
      <c r="R1450" s="1">
        <v>85</v>
      </c>
      <c r="S1450" s="1">
        <v>108</v>
      </c>
    </row>
    <row r="1451" spans="1:19">
      <c r="A1451" s="1">
        <v>2016</v>
      </c>
      <c r="B1451" s="1">
        <v>120</v>
      </c>
      <c r="C1451" s="1" t="s">
        <v>187</v>
      </c>
      <c r="D1451" s="1" t="e">
        <f t="array" aca="1" ref="D1451" ca="1">_xludf.XLOOKUP(C1451,'country region mapping'!$A$2:$A$250, 'country region mapping'!$E$2:$E$250)</f>
        <v>#NAME?</v>
      </c>
      <c r="E1451" s="1" t="e">
        <f t="array" aca="1" ref="E1451" ca="1">_xludf.XLOOKUP(C1451,'country region mapping'!$A$2:$A$267,'country region mapping'!$F$2:$F$267)</f>
        <v>#NAME?</v>
      </c>
      <c r="F1451" s="1" t="e">
        <f t="array" aca="1" ref="F1451" ca="1">_xludf.XLOOKUP(C1451,'country region mapping'!$A$2:$A$267,'country region mapping'!$G$2:$G$267)</f>
        <v>#NAME?</v>
      </c>
      <c r="G1451" s="1">
        <v>4.4400000000000004</v>
      </c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</row>
    <row r="1452" spans="1:19">
      <c r="A1452" s="1">
        <v>2016</v>
      </c>
      <c r="B1452" s="1">
        <v>121</v>
      </c>
      <c r="C1452" s="1" t="s">
        <v>192</v>
      </c>
      <c r="D1452" s="1" t="e">
        <f t="array" aca="1" ref="D1452" ca="1">_xludf.XLOOKUP(C1452,'country region mapping'!$A$2:$A$250, 'country region mapping'!$E$2:$E$250)</f>
        <v>#NAME?</v>
      </c>
      <c r="E1452" s="1" t="e">
        <f t="array" aca="1" ref="E1452" ca="1">_xludf.XLOOKUP(C1452,'country region mapping'!$A$2:$A$267,'country region mapping'!$F$2:$F$267)</f>
        <v>#NAME?</v>
      </c>
      <c r="F1452" s="1" t="e">
        <f t="array" aca="1" ref="F1452" ca="1">_xludf.XLOOKUP(C1452,'country region mapping'!$A$2:$A$267,'country region mapping'!$G$2:$G$267)</f>
        <v>#NAME?</v>
      </c>
      <c r="G1452" s="1">
        <v>4.3760000000000003</v>
      </c>
      <c r="H1452" s="1">
        <v>72</v>
      </c>
      <c r="I1452" s="1">
        <v>113</v>
      </c>
      <c r="J1452" s="1">
        <v>83</v>
      </c>
      <c r="K1452" s="1">
        <v>63</v>
      </c>
      <c r="L1452" s="1">
        <v>123</v>
      </c>
      <c r="M1452" s="1">
        <v>119</v>
      </c>
      <c r="N1452" s="1">
        <v>121</v>
      </c>
      <c r="O1452" s="1">
        <v>129</v>
      </c>
      <c r="P1452" s="1">
        <v>132</v>
      </c>
      <c r="Q1452" s="1">
        <v>119</v>
      </c>
      <c r="R1452" s="1">
        <v>140</v>
      </c>
      <c r="S1452" s="1">
        <v>91</v>
      </c>
    </row>
    <row r="1453" spans="1:19">
      <c r="A1453" s="1">
        <v>2016</v>
      </c>
      <c r="B1453" s="1">
        <v>122</v>
      </c>
      <c r="C1453" s="1" t="s">
        <v>188</v>
      </c>
      <c r="D1453" s="1" t="e">
        <f t="array" aca="1" ref="D1453" ca="1">_xludf.XLOOKUP(C1453,'country region mapping'!$A$2:$A$250, 'country region mapping'!$E$2:$E$250)</f>
        <v>#NAME?</v>
      </c>
      <c r="E1453" s="1" t="e">
        <f t="array" aca="1" ref="E1453" ca="1">_xludf.XLOOKUP(C1453,'country region mapping'!$A$2:$A$267,'country region mapping'!$F$2:$F$267)</f>
        <v>#NAME?</v>
      </c>
      <c r="F1453" s="1" t="e">
        <f t="array" aca="1" ref="F1453" ca="1">_xludf.XLOOKUP(C1453,'country region mapping'!$A$2:$A$267,'country region mapping'!$G$2:$G$267)</f>
        <v>#NAME?</v>
      </c>
      <c r="G1453" s="1">
        <v>4.3150000000000004</v>
      </c>
      <c r="H1453" s="1">
        <v>25</v>
      </c>
      <c r="I1453" s="1">
        <v>131</v>
      </c>
      <c r="J1453" s="1">
        <v>99</v>
      </c>
      <c r="K1453" s="1">
        <v>99</v>
      </c>
      <c r="L1453" s="1">
        <v>55</v>
      </c>
      <c r="M1453" s="1">
        <v>59</v>
      </c>
      <c r="N1453" s="1">
        <v>47</v>
      </c>
      <c r="O1453" s="1">
        <v>77</v>
      </c>
      <c r="P1453" s="1">
        <v>109</v>
      </c>
      <c r="Q1453" s="1">
        <v>59</v>
      </c>
      <c r="R1453" s="1">
        <v>34</v>
      </c>
      <c r="S1453" s="1">
        <v>119</v>
      </c>
    </row>
    <row r="1454" spans="1:19">
      <c r="A1454" s="1">
        <v>2016</v>
      </c>
      <c r="B1454" s="1">
        <v>123</v>
      </c>
      <c r="C1454" s="1" t="s">
        <v>206</v>
      </c>
      <c r="D1454" s="1" t="e">
        <f t="array" aca="1" ref="D1454" ca="1">_xludf.XLOOKUP(C1454,'country region mapping'!$A$2:$A$250, 'country region mapping'!$E$2:$E$250)</f>
        <v>#NAME?</v>
      </c>
      <c r="E1454" s="1" t="e">
        <f t="array" aca="1" ref="E1454" ca="1">_xludf.XLOOKUP(C1454,'country region mapping'!$A$2:$A$267,'country region mapping'!$F$2:$F$267)</f>
        <v>#NAME?</v>
      </c>
      <c r="F1454" s="1" t="e">
        <f t="array" aca="1" ref="F1454" ca="1">_xludf.XLOOKUP(C1454,'country region mapping'!$A$2:$A$267,'country region mapping'!$G$2:$G$267)</f>
        <v>#NAME?</v>
      </c>
      <c r="G1454" s="1">
        <v>4.2919999999999998</v>
      </c>
      <c r="H1454" s="1">
        <v>82</v>
      </c>
      <c r="I1454" s="1">
        <v>97</v>
      </c>
      <c r="J1454" s="1">
        <v>102</v>
      </c>
      <c r="K1454" s="1">
        <v>92</v>
      </c>
      <c r="L1454" s="1">
        <v>136</v>
      </c>
      <c r="M1454" s="1">
        <v>137</v>
      </c>
      <c r="N1454" s="1">
        <v>85</v>
      </c>
      <c r="O1454" s="1">
        <v>50</v>
      </c>
      <c r="P1454" s="1">
        <v>38</v>
      </c>
      <c r="Q1454" s="1">
        <v>137</v>
      </c>
      <c r="R1454" s="1">
        <v>124</v>
      </c>
      <c r="S1454" s="1">
        <v>111</v>
      </c>
    </row>
    <row r="1455" spans="1:19">
      <c r="A1455" s="1">
        <v>2016</v>
      </c>
      <c r="B1455" s="1">
        <v>124</v>
      </c>
      <c r="C1455" s="1" t="s">
        <v>202</v>
      </c>
      <c r="D1455" s="1" t="e">
        <f t="array" aca="1" ref="D1455" ca="1">_xludf.XLOOKUP(C1455,'country region mapping'!$A$2:$A$250, 'country region mapping'!$E$2:$E$250)</f>
        <v>#NAME?</v>
      </c>
      <c r="E1455" s="1" t="e">
        <f t="array" aca="1" ref="E1455" ca="1">_xludf.XLOOKUP(C1455,'country region mapping'!$A$2:$A$267,'country region mapping'!$F$2:$F$267)</f>
        <v>#NAME?</v>
      </c>
      <c r="F1455" s="1" t="e">
        <f t="array" aca="1" ref="F1455" ca="1">_xludf.XLOOKUP(C1455,'country region mapping'!$A$2:$A$267,'country region mapping'!$G$2:$G$267)</f>
        <v>#NAME?</v>
      </c>
      <c r="G1455" s="1">
        <v>4.2910000000000004</v>
      </c>
      <c r="H1455" s="1">
        <v>126</v>
      </c>
      <c r="I1455" s="1">
        <v>130</v>
      </c>
      <c r="J1455" s="1">
        <v>96</v>
      </c>
      <c r="K1455" s="1">
        <v>116</v>
      </c>
      <c r="L1455" s="1">
        <v>66</v>
      </c>
      <c r="M1455" s="1">
        <v>115</v>
      </c>
      <c r="N1455" s="1">
        <v>53</v>
      </c>
      <c r="O1455" s="1">
        <v>105</v>
      </c>
      <c r="P1455" s="1">
        <v>88</v>
      </c>
      <c r="Q1455" s="1">
        <v>115</v>
      </c>
      <c r="R1455" s="1">
        <v>94</v>
      </c>
      <c r="S1455" s="1">
        <v>24</v>
      </c>
    </row>
    <row r="1456" spans="1:19">
      <c r="A1456" s="1">
        <v>2016</v>
      </c>
      <c r="B1456" s="1">
        <v>125</v>
      </c>
      <c r="C1456" s="1" t="s">
        <v>201</v>
      </c>
      <c r="D1456" s="1" t="e">
        <f t="array" aca="1" ref="D1456" ca="1">_xludf.XLOOKUP(C1456,'country region mapping'!$A$2:$A$250, 'country region mapping'!$E$2:$E$250)</f>
        <v>#NAME?</v>
      </c>
      <c r="E1456" s="1" t="e">
        <f t="array" aca="1" ref="E1456" ca="1">_xludf.XLOOKUP(C1456,'country region mapping'!$A$2:$A$267,'country region mapping'!$F$2:$F$267)</f>
        <v>#NAME?</v>
      </c>
      <c r="F1456" s="1" t="e">
        <f t="array" aca="1" ref="F1456" ca="1">_xludf.XLOOKUP(C1456,'country region mapping'!$A$2:$A$267,'country region mapping'!$G$2:$G$267)</f>
        <v>#NAME?</v>
      </c>
      <c r="G1456" s="1">
        <v>4.2859999999999996</v>
      </c>
      <c r="H1456" s="1">
        <v>53</v>
      </c>
      <c r="I1456" s="1">
        <v>136</v>
      </c>
      <c r="J1456" s="1">
        <v>71</v>
      </c>
      <c r="K1456" s="1">
        <v>74</v>
      </c>
      <c r="L1456" s="1">
        <v>125</v>
      </c>
      <c r="M1456" s="1">
        <v>138</v>
      </c>
      <c r="N1456" s="1">
        <v>20</v>
      </c>
      <c r="O1456" s="1">
        <v>137</v>
      </c>
      <c r="P1456" s="1">
        <v>41</v>
      </c>
      <c r="Q1456" s="1">
        <v>138</v>
      </c>
      <c r="R1456" s="1">
        <v>125</v>
      </c>
      <c r="S1456" s="1">
        <v>114</v>
      </c>
    </row>
    <row r="1457" spans="1:19">
      <c r="A1457" s="1">
        <v>2016</v>
      </c>
      <c r="B1457" s="1">
        <v>126</v>
      </c>
      <c r="C1457" s="1" t="s">
        <v>199</v>
      </c>
      <c r="D1457" s="1" t="e">
        <f t="array" aca="1" ref="D1457" ca="1">_xludf.XLOOKUP(C1457,'country region mapping'!$A$2:$A$267,'country region mapping'!$E$2:$E$267)</f>
        <v>#NAME?</v>
      </c>
      <c r="E1457" s="1" t="e">
        <f t="array" aca="1" ref="E1457" ca="1">_xludf.XLOOKUP(C1457,'country region mapping'!$A$2:$A$267,'country region mapping'!$F$2:$F$267)</f>
        <v>#NAME?</v>
      </c>
      <c r="F1457" s="1" t="e">
        <f t="array" aca="1" ref="F1457" ca="1">_xludf.XLOOKUP(C1457,'country region mapping'!$A$2:$A$267,'country region mapping'!$G$2:$G$267)</f>
        <v>#NAME?</v>
      </c>
      <c r="G1457" s="1">
        <v>4.28</v>
      </c>
      <c r="H1457" s="1">
        <v>14</v>
      </c>
      <c r="I1457" s="1">
        <v>63</v>
      </c>
      <c r="J1457" s="1">
        <v>139</v>
      </c>
      <c r="K1457" s="1">
        <v>127</v>
      </c>
      <c r="L1457" s="1">
        <v>115</v>
      </c>
      <c r="M1457" s="1">
        <v>130</v>
      </c>
      <c r="N1457" s="1">
        <v>100</v>
      </c>
      <c r="O1457" s="1">
        <v>91</v>
      </c>
      <c r="P1457" s="1">
        <v>39</v>
      </c>
      <c r="Q1457" s="1">
        <v>130</v>
      </c>
      <c r="R1457" s="1">
        <v>117</v>
      </c>
      <c r="S1457" s="1">
        <v>121</v>
      </c>
    </row>
    <row r="1458" spans="1:19">
      <c r="A1458" s="1">
        <v>2016</v>
      </c>
      <c r="B1458" s="1">
        <v>127</v>
      </c>
      <c r="C1458" s="1" t="s">
        <v>311</v>
      </c>
      <c r="D1458" s="1" t="e">
        <f t="array" aca="1" ref="D1458" ca="1">_xludf.XLOOKUP(C1458,'country region mapping'!$A$2:$A$250, 'country region mapping'!$E$2:$E$250)</f>
        <v>#NAME?</v>
      </c>
      <c r="E1458" s="1" t="e">
        <f t="array" aca="1" ref="E1458" ca="1">_xludf.XLOOKUP(C1458,'country region mapping'!$A$2:$A$267,'country region mapping'!$F$2:$F$267)</f>
        <v>#NAME?</v>
      </c>
      <c r="F1458" s="1" t="e">
        <f t="array" aca="1" ref="F1458" ca="1">_xludf.XLOOKUP(C1458,'country region mapping'!$A$2:$A$267,'country region mapping'!$G$2:$G$267)</f>
        <v>#NAME?</v>
      </c>
      <c r="G1458" s="1">
        <v>4.1900000000000004</v>
      </c>
      <c r="H1458" s="1">
        <v>28</v>
      </c>
      <c r="I1458" s="1">
        <v>74</v>
      </c>
      <c r="J1458" s="1">
        <v>127</v>
      </c>
      <c r="K1458" s="1">
        <v>123</v>
      </c>
      <c r="L1458" s="1">
        <v>104</v>
      </c>
      <c r="M1458" s="1">
        <v>125</v>
      </c>
      <c r="N1458" s="1">
        <v>94</v>
      </c>
      <c r="O1458" s="1">
        <v>33</v>
      </c>
      <c r="P1458" s="1">
        <v>91</v>
      </c>
      <c r="Q1458" s="1">
        <v>125</v>
      </c>
      <c r="R1458" s="1">
        <v>114</v>
      </c>
      <c r="S1458" s="1">
        <v>70</v>
      </c>
    </row>
    <row r="1459" spans="1:19">
      <c r="A1459" s="1">
        <v>2016</v>
      </c>
      <c r="B1459" s="1">
        <v>128</v>
      </c>
      <c r="C1459" s="1" t="s">
        <v>220</v>
      </c>
      <c r="D1459" s="1" t="e">
        <f t="array" aca="1" ref="D1459" ca="1">_xludf.XLOOKUP(C1459,'country region mapping'!$A$2:$A$267,'country region mapping'!$E$2:$E$267)</f>
        <v>#NAME?</v>
      </c>
      <c r="E1459" s="1" t="e">
        <f t="array" aca="1" ref="E1459" ca="1">_xludf.XLOOKUP(C1459,'country region mapping'!$A$2:$A$267,'country region mapping'!$F$2:$F$267)</f>
        <v>#NAME?</v>
      </c>
      <c r="F1459" s="1" t="e">
        <f t="array" aca="1" ref="F1459" ca="1">_xludf.XLOOKUP(C1459,'country region mapping'!$A$2:$A$267,'country region mapping'!$G$2:$G$267)</f>
        <v>#NAME?</v>
      </c>
      <c r="G1459" s="1">
        <v>4.18</v>
      </c>
      <c r="H1459" s="1">
        <v>110</v>
      </c>
      <c r="I1459" s="1">
        <v>128</v>
      </c>
      <c r="J1459" s="1">
        <v>108</v>
      </c>
      <c r="K1459" s="1">
        <v>75</v>
      </c>
      <c r="L1459" s="1"/>
      <c r="M1459" s="1">
        <v>99</v>
      </c>
      <c r="N1459" s="1">
        <v>45</v>
      </c>
      <c r="O1459" s="1">
        <v>56</v>
      </c>
      <c r="P1459" s="1">
        <v>123</v>
      </c>
      <c r="Q1459" s="1">
        <v>99</v>
      </c>
      <c r="R1459" s="1">
        <v>127</v>
      </c>
      <c r="S1459" s="1">
        <v>43</v>
      </c>
    </row>
    <row r="1460" spans="1:19">
      <c r="A1460" s="1">
        <v>2016</v>
      </c>
      <c r="B1460" s="1">
        <v>129</v>
      </c>
      <c r="C1460" s="1" t="s">
        <v>221</v>
      </c>
      <c r="D1460" s="1" t="e">
        <f t="array" aca="1" ref="D1460" ca="1">_xludf.XLOOKUP(C1460,'country region mapping'!$A$2:$A$250, 'country region mapping'!$E$2:$E$250)</f>
        <v>#NAME?</v>
      </c>
      <c r="E1460" s="1" t="e">
        <f t="array" aca="1" ref="E1460" ca="1">_xludf.XLOOKUP(C1460,'country region mapping'!$A$2:$A$267,'country region mapping'!$F$2:$F$267)</f>
        <v>#NAME?</v>
      </c>
      <c r="F1460" s="1" t="e">
        <f t="array" aca="1" ref="F1460" ca="1">_xludf.XLOOKUP(C1460,'country region mapping'!$A$2:$A$267,'country region mapping'!$G$2:$G$267)</f>
        <v>#NAME?</v>
      </c>
      <c r="G1460" s="1">
        <v>4.1680000000000001</v>
      </c>
      <c r="H1460" s="1">
        <v>118</v>
      </c>
      <c r="I1460" s="1">
        <v>109</v>
      </c>
      <c r="J1460" s="1">
        <v>109</v>
      </c>
      <c r="K1460" s="1">
        <v>98</v>
      </c>
      <c r="L1460" s="1">
        <v>2</v>
      </c>
      <c r="M1460" s="1">
        <v>60</v>
      </c>
      <c r="N1460" s="1">
        <v>84</v>
      </c>
      <c r="O1460" s="1">
        <v>48</v>
      </c>
      <c r="P1460" s="1">
        <v>129</v>
      </c>
      <c r="Q1460" s="1">
        <v>60</v>
      </c>
      <c r="R1460" s="1">
        <v>134</v>
      </c>
      <c r="S1460" s="1">
        <v>140</v>
      </c>
    </row>
    <row r="1461" spans="1:19">
      <c r="A1461" s="1">
        <v>2016</v>
      </c>
      <c r="B1461" s="1">
        <v>130</v>
      </c>
      <c r="C1461" s="1" t="s">
        <v>211</v>
      </c>
      <c r="D1461" s="1" t="e">
        <f t="array" aca="1" ref="D1461" ca="1">_xludf.XLOOKUP(C1461,'country region mapping'!$A$2:$A$250, 'country region mapping'!$E$2:$E$250)</f>
        <v>#NAME?</v>
      </c>
      <c r="E1461" s="1" t="e">
        <f t="array" aca="1" ref="E1461" ca="1">_xludf.XLOOKUP(C1461,'country region mapping'!$A$2:$A$267,'country region mapping'!$F$2:$F$267)</f>
        <v>#NAME?</v>
      </c>
      <c r="F1461" s="1" t="e">
        <f t="array" aca="1" ref="F1461" ca="1">_xludf.XLOOKUP(C1461,'country region mapping'!$A$2:$A$267,'country region mapping'!$G$2:$G$267)</f>
        <v>#NAME?</v>
      </c>
      <c r="G1461" s="1">
        <v>4.1390000000000002</v>
      </c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</row>
    <row r="1462" spans="1:19">
      <c r="A1462" s="1">
        <v>2016</v>
      </c>
      <c r="B1462" s="1">
        <v>131</v>
      </c>
      <c r="C1462" s="1" t="s">
        <v>197</v>
      </c>
      <c r="D1462" s="1" t="e">
        <f t="array" aca="1" ref="D1462" ca="1">_xludf.XLOOKUP(C1462,'country region mapping'!$A$2:$A$250, 'country region mapping'!$E$2:$E$250)</f>
        <v>#NAME?</v>
      </c>
      <c r="E1462" s="1" t="e">
        <f t="array" aca="1" ref="E1462" ca="1">_xludf.XLOOKUP(C1462,'country region mapping'!$A$2:$A$267,'country region mapping'!$F$2:$F$267)</f>
        <v>#NAME?</v>
      </c>
      <c r="F1462" s="1" t="e">
        <f t="array" aca="1" ref="F1462" ca="1">_xludf.XLOOKUP(C1462,'country region mapping'!$A$2:$A$267,'country region mapping'!$G$2:$G$267)</f>
        <v>#NAME?</v>
      </c>
      <c r="G1462" s="1">
        <v>4.12</v>
      </c>
      <c r="H1462" s="1">
        <v>130</v>
      </c>
      <c r="I1462" s="1">
        <v>123</v>
      </c>
      <c r="J1462" s="1">
        <v>106</v>
      </c>
      <c r="K1462" s="1">
        <v>108</v>
      </c>
      <c r="L1462" s="1">
        <v>82</v>
      </c>
      <c r="M1462" s="1">
        <v>48</v>
      </c>
      <c r="N1462" s="1">
        <v>109</v>
      </c>
      <c r="O1462" s="1">
        <v>70</v>
      </c>
      <c r="P1462" s="1">
        <v>90</v>
      </c>
      <c r="Q1462" s="1">
        <v>48</v>
      </c>
      <c r="R1462" s="1">
        <v>13</v>
      </c>
      <c r="S1462" s="1">
        <v>31</v>
      </c>
    </row>
    <row r="1463" spans="1:19">
      <c r="A1463" s="1">
        <v>2016</v>
      </c>
      <c r="B1463" s="1">
        <v>132</v>
      </c>
      <c r="C1463" s="1" t="s">
        <v>195</v>
      </c>
      <c r="D1463" s="1" t="e">
        <f t="array" aca="1" ref="D1463" ca="1">_xludf.XLOOKUP(C1463,'country region mapping'!$A$2:$A$250, 'country region mapping'!$E$2:$E$250)</f>
        <v>#NAME?</v>
      </c>
      <c r="E1463" s="1" t="e">
        <f t="array" aca="1" ref="E1463" ca="1">_xludf.XLOOKUP(C1463,'country region mapping'!$A$2:$A$267,'country region mapping'!$F$2:$F$267)</f>
        <v>#NAME?</v>
      </c>
      <c r="F1463" s="1" t="e">
        <f t="array" aca="1" ref="F1463" ca="1">_xludf.XLOOKUP(C1463,'country region mapping'!$A$2:$A$267,'country region mapping'!$G$2:$G$267)</f>
        <v>#NAME?</v>
      </c>
      <c r="G1463" s="1">
        <v>4.0960000000000001</v>
      </c>
      <c r="H1463" s="1">
        <v>62</v>
      </c>
      <c r="I1463" s="1">
        <v>52</v>
      </c>
      <c r="J1463" s="1">
        <v>67</v>
      </c>
      <c r="K1463" s="1">
        <v>82</v>
      </c>
      <c r="L1463" s="1">
        <v>134</v>
      </c>
      <c r="M1463" s="1">
        <v>53</v>
      </c>
      <c r="N1463" s="1">
        <v>108</v>
      </c>
      <c r="O1463" s="1">
        <v>121</v>
      </c>
      <c r="P1463" s="1">
        <v>36</v>
      </c>
      <c r="Q1463" s="1">
        <v>53</v>
      </c>
      <c r="R1463" s="1">
        <v>84</v>
      </c>
      <c r="S1463" s="1">
        <v>100</v>
      </c>
    </row>
    <row r="1464" spans="1:19">
      <c r="A1464" s="1">
        <v>2016</v>
      </c>
      <c r="B1464" s="1">
        <v>133</v>
      </c>
      <c r="C1464" s="1" t="s">
        <v>231</v>
      </c>
      <c r="D1464" s="1" t="e">
        <f t="array" aca="1" ref="D1464" ca="1">_xludf.XLOOKUP(C1464,'country region mapping'!$A$2:$A$250, 'country region mapping'!$E$2:$E$250)</f>
        <v>#NAME?</v>
      </c>
      <c r="E1464" s="1" t="e">
        <f t="array" aca="1" ref="E1464" ca="1">_xludf.XLOOKUP(C1464,'country region mapping'!$A$2:$A$267,'country region mapping'!$F$2:$F$267)</f>
        <v>#NAME?</v>
      </c>
      <c r="F1464" s="1" t="e">
        <f t="array" aca="1" ref="F1464" ca="1">_xludf.XLOOKUP(C1464,'country region mapping'!$A$2:$A$267,'country region mapping'!$G$2:$G$267)</f>
        <v>#NAME?</v>
      </c>
      <c r="G1464" s="1">
        <v>4.0810000000000004</v>
      </c>
      <c r="H1464" s="1">
        <v>137</v>
      </c>
      <c r="I1464" s="1">
        <v>106</v>
      </c>
      <c r="J1464" s="1">
        <v>125</v>
      </c>
      <c r="K1464" s="1">
        <v>109</v>
      </c>
      <c r="L1464" s="1">
        <v>87</v>
      </c>
      <c r="M1464" s="1">
        <v>55</v>
      </c>
      <c r="N1464" s="1">
        <v>67</v>
      </c>
      <c r="O1464" s="1">
        <v>69</v>
      </c>
      <c r="P1464" s="1">
        <v>130</v>
      </c>
      <c r="Q1464" s="1">
        <v>55</v>
      </c>
      <c r="R1464" s="1">
        <v>28</v>
      </c>
      <c r="S1464" s="1">
        <v>9</v>
      </c>
    </row>
    <row r="1465" spans="1:19">
      <c r="A1465" s="1">
        <v>2016</v>
      </c>
      <c r="B1465" s="1">
        <v>134</v>
      </c>
      <c r="C1465" s="1" t="s">
        <v>229</v>
      </c>
      <c r="D1465" s="1" t="e">
        <f t="array" aca="1" ref="D1465" ca="1">_xludf.XLOOKUP(C1465,'country region mapping'!$A$2:$A$250, 'country region mapping'!$E$2:$E$250)</f>
        <v>#NAME?</v>
      </c>
      <c r="E1465" s="1" t="e">
        <f t="array" aca="1" ref="E1465" ca="1">_xludf.XLOOKUP(C1465,'country region mapping'!$A$2:$A$267,'country region mapping'!$F$2:$F$267)</f>
        <v>#NAME?</v>
      </c>
      <c r="F1465" s="1" t="e">
        <f t="array" aca="1" ref="F1465" ca="1">_xludf.XLOOKUP(C1465,'country region mapping'!$A$2:$A$267,'country region mapping'!$G$2:$G$267)</f>
        <v>#NAME?</v>
      </c>
      <c r="G1465" s="1">
        <v>4.032</v>
      </c>
      <c r="H1465" s="1">
        <v>56</v>
      </c>
      <c r="I1465" s="1">
        <v>105</v>
      </c>
      <c r="J1465" s="1">
        <v>130</v>
      </c>
      <c r="K1465" s="1">
        <v>120</v>
      </c>
      <c r="L1465" s="1">
        <v>113</v>
      </c>
      <c r="M1465" s="1">
        <v>106</v>
      </c>
      <c r="N1465" s="1">
        <v>36</v>
      </c>
      <c r="O1465" s="1">
        <v>99</v>
      </c>
      <c r="P1465" s="1">
        <v>105</v>
      </c>
      <c r="Q1465" s="1">
        <v>106</v>
      </c>
      <c r="R1465" s="1">
        <v>59</v>
      </c>
      <c r="S1465" s="1">
        <v>63</v>
      </c>
    </row>
    <row r="1466" spans="1:19">
      <c r="A1466" s="1">
        <v>2016</v>
      </c>
      <c r="B1466" s="1">
        <v>135</v>
      </c>
      <c r="C1466" s="1" t="s">
        <v>224</v>
      </c>
      <c r="D1466" s="1" t="e">
        <f t="array" aca="1" ref="D1466" ca="1">_xludf.XLOOKUP(C1466,'country region mapping'!$A$2:$A$250, 'country region mapping'!$E$2:$E$250)</f>
        <v>#NAME?</v>
      </c>
      <c r="E1466" s="1" t="e">
        <f t="array" aca="1" ref="E1466" ca="1">_xludf.XLOOKUP(C1466,'country region mapping'!$A$2:$A$267,'country region mapping'!$F$2:$F$267)</f>
        <v>#NAME?</v>
      </c>
      <c r="F1466" s="1" t="e">
        <f t="array" aca="1" ref="F1466" ca="1">_xludf.XLOOKUP(C1466,'country region mapping'!$A$2:$A$267,'country region mapping'!$G$2:$G$267)</f>
        <v>#NAME?</v>
      </c>
      <c r="G1466" s="1">
        <v>4.0279999999999996</v>
      </c>
      <c r="H1466" s="1">
        <v>94</v>
      </c>
      <c r="I1466" s="1">
        <v>116</v>
      </c>
      <c r="J1466" s="1">
        <v>137</v>
      </c>
      <c r="K1466" s="1">
        <v>124</v>
      </c>
      <c r="L1466" s="1">
        <v>100</v>
      </c>
      <c r="M1466" s="1">
        <v>123</v>
      </c>
      <c r="N1466" s="1">
        <v>71</v>
      </c>
      <c r="O1466" s="1">
        <v>76</v>
      </c>
      <c r="P1466" s="1">
        <v>98</v>
      </c>
      <c r="Q1466" s="1">
        <v>123</v>
      </c>
      <c r="R1466" s="1">
        <v>118</v>
      </c>
      <c r="S1466" s="1">
        <v>88</v>
      </c>
    </row>
    <row r="1467" spans="1:19">
      <c r="A1467" s="1">
        <v>2016</v>
      </c>
      <c r="B1467" s="1">
        <v>136</v>
      </c>
      <c r="C1467" s="1" t="s">
        <v>210</v>
      </c>
      <c r="D1467" s="1" t="e">
        <f t="array" aca="1" ref="D1467" ca="1">_xludf.XLOOKUP(C1467,'country region mapping'!$A$2:$A$250, 'country region mapping'!$E$2:$E$250)</f>
        <v>#NAME?</v>
      </c>
      <c r="E1467" s="1" t="e">
        <f t="array" aca="1" ref="E1467" ca="1">_xludf.XLOOKUP(C1467,'country region mapping'!$A$2:$A$267,'country region mapping'!$F$2:$F$267)</f>
        <v>#NAME?</v>
      </c>
      <c r="F1467" s="1" t="e">
        <f t="array" aca="1" ref="F1467" ca="1">_xludf.XLOOKUP(C1467,'country region mapping'!$A$2:$A$267,'country region mapping'!$G$2:$G$267)</f>
        <v>#NAME?</v>
      </c>
      <c r="G1467" s="1">
        <v>3.97</v>
      </c>
      <c r="H1467" s="1">
        <v>90</v>
      </c>
      <c r="I1467" s="1">
        <v>138</v>
      </c>
      <c r="J1467" s="1">
        <v>136</v>
      </c>
      <c r="K1467" s="1">
        <v>114</v>
      </c>
      <c r="L1467" s="1">
        <v>60</v>
      </c>
      <c r="M1467" s="1">
        <v>98</v>
      </c>
      <c r="N1467" s="1">
        <v>78</v>
      </c>
      <c r="O1467" s="1">
        <v>107</v>
      </c>
      <c r="P1467" s="1">
        <v>97</v>
      </c>
      <c r="Q1467" s="1">
        <v>98</v>
      </c>
      <c r="R1467" s="1">
        <v>22</v>
      </c>
      <c r="S1467" s="1">
        <v>14</v>
      </c>
    </row>
    <row r="1468" spans="1:19">
      <c r="A1468" s="1">
        <v>2016</v>
      </c>
      <c r="B1468" s="1">
        <v>137</v>
      </c>
      <c r="C1468" s="1" t="s">
        <v>227</v>
      </c>
      <c r="D1468" s="1" t="e">
        <f t="array" aca="1" ref="D1468" ca="1">_xludf.XLOOKUP(C1468,'country region mapping'!$A$2:$A$250, 'country region mapping'!$E$2:$E$250)</f>
        <v>#NAME?</v>
      </c>
      <c r="E1468" s="1" t="e">
        <f t="array" aca="1" ref="E1468" ca="1">_xludf.XLOOKUP(C1468,'country region mapping'!$A$2:$A$267,'country region mapping'!$F$2:$F$267)</f>
        <v>#NAME?</v>
      </c>
      <c r="F1468" s="1" t="e">
        <f t="array" aca="1" ref="F1468" ca="1">_xludf.XLOOKUP(C1468,'country region mapping'!$A$2:$A$267,'country region mapping'!$G$2:$G$267)</f>
        <v>#NAME?</v>
      </c>
      <c r="G1468" s="1">
        <v>3.9359999999999999</v>
      </c>
      <c r="H1468" s="1">
        <v>107</v>
      </c>
      <c r="I1468" s="1">
        <v>129</v>
      </c>
      <c r="J1468" s="1">
        <v>133</v>
      </c>
      <c r="K1468" s="1">
        <v>132</v>
      </c>
      <c r="L1468" s="1">
        <v>132</v>
      </c>
      <c r="M1468" s="1">
        <v>88</v>
      </c>
      <c r="N1468" s="1">
        <v>77</v>
      </c>
      <c r="O1468" s="1">
        <v>116</v>
      </c>
      <c r="P1468" s="1">
        <v>135</v>
      </c>
      <c r="Q1468" s="1">
        <v>88</v>
      </c>
      <c r="R1468" s="1">
        <v>90</v>
      </c>
      <c r="S1468" s="1">
        <v>96</v>
      </c>
    </row>
    <row r="1469" spans="1:19">
      <c r="A1469" s="1">
        <v>2016</v>
      </c>
      <c r="B1469" s="1">
        <v>138</v>
      </c>
      <c r="C1469" s="1" t="s">
        <v>208</v>
      </c>
      <c r="D1469" s="1" t="e">
        <f t="array" aca="1" ref="D1469" ca="1">_xludf.XLOOKUP(C1469,'country region mapping'!$A$2:$A$250, 'country region mapping'!$E$2:$E$250)</f>
        <v>#NAME?</v>
      </c>
      <c r="E1469" s="1" t="e">
        <f t="array" aca="1" ref="E1469" ca="1">_xludf.XLOOKUP(C1469,'country region mapping'!$A$2:$A$267,'country region mapping'!$F$2:$F$267)</f>
        <v>#NAME?</v>
      </c>
      <c r="F1469" s="1" t="e">
        <f t="array" aca="1" ref="F1469" ca="1">_xludf.XLOOKUP(C1469,'country region mapping'!$A$2:$A$267,'country region mapping'!$G$2:$G$267)</f>
        <v>#NAME?</v>
      </c>
      <c r="G1469" s="1">
        <v>3.875</v>
      </c>
      <c r="H1469" s="1">
        <v>131</v>
      </c>
      <c r="I1469" s="1">
        <v>102</v>
      </c>
      <c r="J1469" s="1">
        <v>117</v>
      </c>
      <c r="K1469" s="1">
        <v>131</v>
      </c>
      <c r="L1469" s="1">
        <v>88</v>
      </c>
      <c r="M1469" s="1">
        <v>128</v>
      </c>
      <c r="N1469" s="1">
        <v>37</v>
      </c>
      <c r="O1469" s="1">
        <v>61</v>
      </c>
      <c r="P1469" s="1">
        <v>29</v>
      </c>
      <c r="Q1469" s="1">
        <v>128</v>
      </c>
      <c r="R1469" s="1">
        <v>62</v>
      </c>
      <c r="S1469" s="1">
        <v>20</v>
      </c>
    </row>
    <row r="1470" spans="1:19">
      <c r="A1470" s="1">
        <v>2016</v>
      </c>
      <c r="B1470" s="1">
        <v>139</v>
      </c>
      <c r="C1470" s="1" t="s">
        <v>321</v>
      </c>
      <c r="D1470" s="1" t="e">
        <f t="array" aca="1" ref="D1470" ca="1">_xludf.XLOOKUP(C1470,'country region mapping'!$A$2:$A$250, 'country region mapping'!$E$2:$E$250)</f>
        <v>#NAME?</v>
      </c>
      <c r="E1470" s="1" t="e">
        <f t="array" aca="1" ref="E1470" ca="1">_xludf.XLOOKUP(C1470,'country region mapping'!$A$2:$A$267,'country region mapping'!$F$2:$F$267)</f>
        <v>#NAME?</v>
      </c>
      <c r="F1470" s="1" t="e">
        <f t="array" aca="1" ref="F1470" ca="1">_xludf.XLOOKUP(C1470,'country region mapping'!$A$2:$A$267,'country region mapping'!$G$2:$G$267)</f>
        <v>#NAME?</v>
      </c>
      <c r="G1470" s="1">
        <v>3.8079999999999998</v>
      </c>
      <c r="H1470" s="1">
        <v>138</v>
      </c>
      <c r="I1470" s="1">
        <v>91</v>
      </c>
      <c r="J1470" s="1">
        <v>121</v>
      </c>
      <c r="K1470" s="1">
        <v>135</v>
      </c>
      <c r="L1470" s="1">
        <v>91</v>
      </c>
      <c r="M1470" s="1">
        <v>132</v>
      </c>
      <c r="N1470" s="1">
        <v>43</v>
      </c>
      <c r="O1470" s="1">
        <v>60</v>
      </c>
      <c r="P1470" s="1">
        <v>70</v>
      </c>
      <c r="Q1470" s="1">
        <v>132</v>
      </c>
      <c r="R1470" s="1">
        <v>49</v>
      </c>
      <c r="S1470" s="1">
        <v>19</v>
      </c>
    </row>
    <row r="1471" spans="1:19">
      <c r="A1471" s="1">
        <v>2016</v>
      </c>
      <c r="B1471" s="1">
        <v>140</v>
      </c>
      <c r="C1471" s="1" t="s">
        <v>222</v>
      </c>
      <c r="D1471" s="1" t="e">
        <f t="array" aca="1" ref="D1471" ca="1">_xludf.XLOOKUP(C1471,'country region mapping'!$A$2:$A$250, 'country region mapping'!$E$2:$E$250)</f>
        <v>#NAME?</v>
      </c>
      <c r="E1471" s="1" t="e">
        <f t="array" aca="1" ref="E1471" ca="1">_xludf.XLOOKUP(C1471,'country region mapping'!$A$2:$A$267,'country region mapping'!$F$2:$F$267)</f>
        <v>#NAME?</v>
      </c>
      <c r="F1471" s="1" t="e">
        <f t="array" aca="1" ref="F1471" ca="1">_xludf.XLOOKUP(C1471,'country region mapping'!$A$2:$A$267,'country region mapping'!$G$2:$G$267)</f>
        <v>#NAME?</v>
      </c>
      <c r="G1471" s="1">
        <v>3.7949999999999999</v>
      </c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</row>
    <row r="1472" spans="1:19">
      <c r="A1472" s="1">
        <v>2016</v>
      </c>
      <c r="B1472" s="1">
        <v>141</v>
      </c>
      <c r="C1472" s="1" t="s">
        <v>245</v>
      </c>
      <c r="D1472" s="1" t="e">
        <f t="array" aca="1" ref="D1472" ca="1">_xludf.XLOOKUP(C1472,'country region mapping'!$A$2:$A$250, 'country region mapping'!$E$2:$E$250)</f>
        <v>#NAME?</v>
      </c>
      <c r="E1472" s="1" t="e">
        <f t="array" aca="1" ref="E1472" ca="1">_xludf.XLOOKUP(C1472,'country region mapping'!$A$2:$A$267,'country region mapping'!$F$2:$F$267)</f>
        <v>#NAME?</v>
      </c>
      <c r="F1472" s="1" t="e">
        <f t="array" aca="1" ref="F1472" ca="1">_xludf.XLOOKUP(C1472,'country region mapping'!$A$2:$A$267,'country region mapping'!$G$2:$G$267)</f>
        <v>#NAME?</v>
      </c>
      <c r="G1472" s="1">
        <v>3.794</v>
      </c>
      <c r="H1472" s="1">
        <v>32</v>
      </c>
      <c r="I1472" s="1">
        <v>135</v>
      </c>
      <c r="J1472" s="1">
        <v>123</v>
      </c>
      <c r="K1472" s="1">
        <v>128</v>
      </c>
      <c r="L1472" s="1">
        <v>133</v>
      </c>
      <c r="M1472" s="1">
        <v>84</v>
      </c>
      <c r="N1472" s="1">
        <v>57</v>
      </c>
      <c r="O1472" s="1">
        <v>134</v>
      </c>
      <c r="P1472" s="1">
        <v>111</v>
      </c>
      <c r="Q1472" s="1">
        <v>84</v>
      </c>
      <c r="R1472" s="1">
        <v>61</v>
      </c>
      <c r="S1472" s="1">
        <v>79</v>
      </c>
    </row>
    <row r="1473" spans="1:19">
      <c r="A1473" s="1">
        <v>2016</v>
      </c>
      <c r="B1473" s="1">
        <v>142</v>
      </c>
      <c r="C1473" s="1" t="s">
        <v>218</v>
      </c>
      <c r="D1473" s="1" t="e">
        <f t="array" aca="1" ref="D1473" ca="1">_xludf.XLOOKUP(C1473,'country region mapping'!$A$2:$A$250, 'country region mapping'!$E$2:$E$250)</f>
        <v>#NAME?</v>
      </c>
      <c r="E1473" s="1" t="e">
        <f t="array" aca="1" ref="E1473" ca="1">_xludf.XLOOKUP(C1473,'country region mapping'!$A$2:$A$267,'country region mapping'!$F$2:$F$267)</f>
        <v>#NAME?</v>
      </c>
      <c r="F1473" s="1" t="e">
        <f t="array" aca="1" ref="F1473" ca="1">_xludf.XLOOKUP(C1473,'country region mapping'!$A$2:$A$267,'country region mapping'!$G$2:$G$267)</f>
        <v>#NAME?</v>
      </c>
      <c r="G1473" s="1">
        <v>3.766</v>
      </c>
      <c r="H1473" s="1">
        <v>127</v>
      </c>
      <c r="I1473" s="1">
        <v>103</v>
      </c>
      <c r="J1473" s="1">
        <v>66</v>
      </c>
      <c r="K1473" s="1">
        <v>115</v>
      </c>
      <c r="L1473" s="1">
        <v>38</v>
      </c>
      <c r="M1473" s="1">
        <v>136</v>
      </c>
      <c r="N1473" s="1">
        <v>38</v>
      </c>
      <c r="O1473" s="1">
        <v>73</v>
      </c>
      <c r="P1473" s="1">
        <v>60</v>
      </c>
      <c r="Q1473" s="1">
        <v>136</v>
      </c>
      <c r="R1473" s="1">
        <v>109</v>
      </c>
      <c r="S1473" s="1">
        <v>25</v>
      </c>
    </row>
    <row r="1474" spans="1:19">
      <c r="A1474" s="1">
        <v>2016</v>
      </c>
      <c r="B1474" s="1">
        <v>143</v>
      </c>
      <c r="C1474" s="1" t="s">
        <v>244</v>
      </c>
      <c r="D1474" s="1" t="e">
        <f t="array" aca="1" ref="D1474" ca="1">_xludf.XLOOKUP(C1474,'country region mapping'!$A$2:$A$250, 'country region mapping'!$E$2:$E$250)</f>
        <v>#NAME?</v>
      </c>
      <c r="E1474" s="1" t="e">
        <f t="array" aca="1" ref="E1474" ca="1">_xludf.XLOOKUP(C1474,'country region mapping'!$A$2:$A$267,'country region mapping'!$F$2:$F$267)</f>
        <v>#NAME?</v>
      </c>
      <c r="F1474" s="1" t="e">
        <f t="array" aca="1" ref="F1474" ca="1">_xludf.XLOOKUP(C1474,'country region mapping'!$A$2:$A$267,'country region mapping'!$G$2:$G$267)</f>
        <v>#NAME?</v>
      </c>
      <c r="G1474" s="1">
        <v>3.657</v>
      </c>
      <c r="H1474" s="1">
        <v>84</v>
      </c>
      <c r="I1474" s="1">
        <v>140</v>
      </c>
      <c r="J1474" s="1">
        <v>122</v>
      </c>
      <c r="K1474" s="1">
        <v>112</v>
      </c>
      <c r="L1474" s="1">
        <v>68</v>
      </c>
      <c r="M1474" s="1">
        <v>116</v>
      </c>
      <c r="N1474" s="1">
        <v>81</v>
      </c>
      <c r="O1474" s="1">
        <v>110</v>
      </c>
      <c r="P1474" s="1">
        <v>133</v>
      </c>
      <c r="Q1474" s="1">
        <v>116</v>
      </c>
      <c r="R1474" s="1">
        <v>81</v>
      </c>
      <c r="S1474" s="1">
        <v>102</v>
      </c>
    </row>
    <row r="1475" spans="1:19">
      <c r="A1475" s="1">
        <v>2016</v>
      </c>
      <c r="B1475" s="1">
        <v>144</v>
      </c>
      <c r="C1475" s="1" t="s">
        <v>235</v>
      </c>
      <c r="D1475" s="1" t="e">
        <f t="array" aca="1" ref="D1475" ca="1">_xludf.XLOOKUP(C1475,'country region mapping'!$A$2:$A$250, 'country region mapping'!$E$2:$E$250)</f>
        <v>#NAME?</v>
      </c>
      <c r="E1475" s="1" t="e">
        <f t="array" aca="1" ref="E1475" ca="1">_xludf.XLOOKUP(C1475,'country region mapping'!$A$2:$A$267,'country region mapping'!$F$2:$F$267)</f>
        <v>#NAME?</v>
      </c>
      <c r="F1475" s="1" t="e">
        <f t="array" aca="1" ref="F1475" ca="1">_xludf.XLOOKUP(C1475,'country region mapping'!$A$2:$A$267,'country region mapping'!$G$2:$G$267)</f>
        <v>#NAME?</v>
      </c>
      <c r="G1475" s="1">
        <v>3.6440000000000001</v>
      </c>
      <c r="H1475" s="1">
        <v>7</v>
      </c>
      <c r="I1475" s="1">
        <v>108</v>
      </c>
      <c r="J1475" s="1">
        <v>134</v>
      </c>
      <c r="K1475" s="1">
        <v>110</v>
      </c>
      <c r="L1475" s="1">
        <v>127</v>
      </c>
      <c r="M1475" s="1">
        <v>134</v>
      </c>
      <c r="N1475" s="1">
        <v>96</v>
      </c>
      <c r="O1475" s="1">
        <v>66</v>
      </c>
      <c r="P1475" s="1">
        <v>24</v>
      </c>
      <c r="Q1475" s="1">
        <v>134</v>
      </c>
      <c r="R1475" s="1">
        <v>74</v>
      </c>
      <c r="S1475" s="1">
        <v>134</v>
      </c>
    </row>
    <row r="1476" spans="1:19">
      <c r="A1476" s="1">
        <v>2016</v>
      </c>
      <c r="B1476" s="1">
        <v>145</v>
      </c>
      <c r="C1476" s="1" t="s">
        <v>216</v>
      </c>
      <c r="D1476" s="1" t="e">
        <f t="array" aca="1" ref="D1476" ca="1">_xludf.XLOOKUP(C1476,'country region mapping'!$A$2:$A$250, 'country region mapping'!$E$2:$E$250)</f>
        <v>#NAME?</v>
      </c>
      <c r="E1476" s="1" t="e">
        <f t="array" aca="1" ref="E1476" ca="1">_xludf.XLOOKUP(C1476,'country region mapping'!$A$2:$A$267,'country region mapping'!$F$2:$F$267)</f>
        <v>#NAME?</v>
      </c>
      <c r="F1476" s="1" t="e">
        <f t="array" aca="1" ref="F1476" ca="1">_xludf.XLOOKUP(C1476,'country region mapping'!$A$2:$A$267,'country region mapping'!$G$2:$G$267)</f>
        <v>#NAME?</v>
      </c>
      <c r="G1476" s="1">
        <v>3.6030000000000002</v>
      </c>
      <c r="H1476" s="1">
        <v>83</v>
      </c>
      <c r="I1476" s="1">
        <v>133</v>
      </c>
      <c r="J1476" s="1">
        <v>116</v>
      </c>
      <c r="K1476" s="1">
        <v>118</v>
      </c>
      <c r="L1476" s="1">
        <v>139</v>
      </c>
      <c r="M1476" s="1">
        <v>29</v>
      </c>
      <c r="N1476" s="1">
        <v>83</v>
      </c>
      <c r="O1476" s="1">
        <v>127</v>
      </c>
      <c r="P1476" s="1">
        <v>115</v>
      </c>
      <c r="Q1476" s="1">
        <v>29</v>
      </c>
      <c r="R1476" s="1">
        <v>38</v>
      </c>
      <c r="S1476" s="1">
        <v>123</v>
      </c>
    </row>
    <row r="1477" spans="1:19">
      <c r="A1477" s="1">
        <v>2016</v>
      </c>
      <c r="B1477" s="1">
        <v>146</v>
      </c>
      <c r="C1477" s="1" t="s">
        <v>233</v>
      </c>
      <c r="D1477" s="1" t="e">
        <f t="array" aca="1" ref="D1477" ca="1">_xludf.XLOOKUP(C1477,'country region mapping'!$A$2:$A$250, 'country region mapping'!$E$2:$E$250)</f>
        <v>#NAME?</v>
      </c>
      <c r="E1477" s="1" t="e">
        <f t="array" aca="1" ref="E1477" ca="1">_xludf.XLOOKUP(C1477,'country region mapping'!$A$2:$A$267,'country region mapping'!$F$2:$F$267)</f>
        <v>#NAME?</v>
      </c>
      <c r="F1477" s="1" t="e">
        <f t="array" aca="1" ref="F1477" ca="1">_xludf.XLOOKUP(C1477,'country region mapping'!$A$2:$A$267,'country region mapping'!$G$2:$G$267)</f>
        <v>#NAME?</v>
      </c>
      <c r="G1477" s="1">
        <v>3.593</v>
      </c>
      <c r="H1477" s="1">
        <v>68</v>
      </c>
      <c r="I1477" s="1">
        <v>100</v>
      </c>
      <c r="J1477" s="1">
        <v>131</v>
      </c>
      <c r="K1477" s="1">
        <v>104</v>
      </c>
      <c r="L1477" s="1">
        <v>131</v>
      </c>
      <c r="M1477" s="1">
        <v>139</v>
      </c>
      <c r="O1477" s="14">
        <v>141</v>
      </c>
      <c r="P1477" s="14">
        <v>44</v>
      </c>
      <c r="Q1477" s="14">
        <v>139</v>
      </c>
      <c r="R1477" s="14">
        <v>137</v>
      </c>
      <c r="S1477" s="14">
        <v>127</v>
      </c>
    </row>
    <row r="1478" spans="1:19">
      <c r="A1478" s="1">
        <v>2016</v>
      </c>
      <c r="B1478" s="1">
        <v>147</v>
      </c>
      <c r="C1478" s="1" t="s">
        <v>226</v>
      </c>
      <c r="D1478" s="1" t="e">
        <f t="array" aca="1" ref="D1478" ca="1">_xludf.XLOOKUP(C1478,'country region mapping'!$A$2:$A$250, 'country region mapping'!$E$2:$E$250)</f>
        <v>#NAME?</v>
      </c>
      <c r="E1478" s="1" t="e">
        <f t="array" aca="1" ref="E1478" ca="1">_xludf.XLOOKUP(C1478,'country region mapping'!$A$2:$A$267,'country region mapping'!$F$2:$F$267)</f>
        <v>#NAME?</v>
      </c>
      <c r="F1478" s="1" t="e">
        <f t="array" aca="1" ref="F1478" ca="1">_xludf.XLOOKUP(C1478,'country region mapping'!$A$2:$A$267,'country region mapping'!$G$2:$G$267)</f>
        <v>#NAME?</v>
      </c>
      <c r="G1478" s="1">
        <v>3.5910000000000002</v>
      </c>
      <c r="H1478" s="1">
        <v>134</v>
      </c>
      <c r="I1478" s="1">
        <v>137</v>
      </c>
      <c r="K1478" s="1">
        <v>130</v>
      </c>
      <c r="L1478" s="1">
        <v>138</v>
      </c>
      <c r="M1478" s="1">
        <v>103</v>
      </c>
      <c r="N1478" s="14">
        <v>52</v>
      </c>
      <c r="O1478" s="14">
        <v>96</v>
      </c>
      <c r="P1478" s="14">
        <v>140</v>
      </c>
      <c r="Q1478" s="14">
        <v>103</v>
      </c>
      <c r="R1478" s="14">
        <v>51</v>
      </c>
      <c r="S1478" s="14">
        <v>45</v>
      </c>
    </row>
    <row r="1479" spans="1:19">
      <c r="A1479" s="1">
        <v>2016</v>
      </c>
      <c r="B1479" s="1">
        <v>148</v>
      </c>
      <c r="C1479" s="1" t="s">
        <v>238</v>
      </c>
      <c r="D1479" s="1" t="e">
        <f t="array" aca="1" ref="D1479" ca="1">_xludf.XLOOKUP(C1479,'country region mapping'!$A$2:$A$250, 'country region mapping'!$E$2:$E$250)</f>
        <v>#NAME?</v>
      </c>
      <c r="E1479" s="1" t="e">
        <f t="array" aca="1" ref="E1479" ca="1">_xludf.XLOOKUP(C1479,'country region mapping'!$A$2:$A$267,'country region mapping'!$F$2:$F$267)</f>
        <v>#NAME?</v>
      </c>
      <c r="F1479" s="1" t="e">
        <f t="array" aca="1" ref="F1479" ca="1">_xludf.XLOOKUP(C1479,'country region mapping'!$A$2:$A$267,'country region mapping'!$G$2:$G$267)</f>
        <v>#NAME?</v>
      </c>
      <c r="G1479" s="1">
        <v>3.5329999999999999</v>
      </c>
      <c r="H1479" s="1">
        <v>121</v>
      </c>
      <c r="I1479" s="1">
        <v>124</v>
      </c>
      <c r="J1479" s="1">
        <v>135</v>
      </c>
      <c r="K1479" s="1">
        <v>122</v>
      </c>
      <c r="L1479" s="1">
        <v>77</v>
      </c>
      <c r="M1479" s="1">
        <v>100</v>
      </c>
      <c r="N1479" s="1">
        <v>116</v>
      </c>
      <c r="O1479" s="1">
        <v>87</v>
      </c>
      <c r="P1479" s="1">
        <v>138</v>
      </c>
      <c r="Q1479" s="1">
        <v>100</v>
      </c>
      <c r="R1479" s="1">
        <v>4</v>
      </c>
      <c r="S1479" s="1">
        <v>5</v>
      </c>
    </row>
    <row r="1480" spans="1:19">
      <c r="A1480" s="1">
        <v>2016</v>
      </c>
      <c r="B1480" s="1">
        <v>149</v>
      </c>
      <c r="C1480" s="1" t="s">
        <v>240</v>
      </c>
      <c r="D1480" s="1" t="e">
        <f t="array" aca="1" ref="D1480" ca="1">_xludf.XLOOKUP(C1480,'country region mapping'!$A$2:$A$250, 'country region mapping'!$E$2:$E$250)</f>
        <v>#NAME?</v>
      </c>
      <c r="E1480" s="1" t="e">
        <f t="array" aca="1" ref="E1480" ca="1">_xludf.XLOOKUP(C1480,'country region mapping'!$A$2:$A$267,'country region mapping'!$F$2:$F$267)</f>
        <v>#NAME?</v>
      </c>
      <c r="F1480" s="1" t="e">
        <f t="array" aca="1" ref="F1480" ca="1">_xludf.XLOOKUP(C1480,'country region mapping'!$A$2:$A$267,'country region mapping'!$G$2:$G$267)</f>
        <v>#NAME?</v>
      </c>
      <c r="G1480" s="1">
        <v>3.5070000000000001</v>
      </c>
      <c r="H1480" s="1">
        <v>71</v>
      </c>
      <c r="I1480" s="1">
        <v>117</v>
      </c>
      <c r="J1480" s="1">
        <v>120</v>
      </c>
      <c r="K1480" s="1">
        <v>125</v>
      </c>
      <c r="L1480" s="1">
        <v>92</v>
      </c>
      <c r="M1480" s="1">
        <v>120</v>
      </c>
      <c r="N1480" s="1">
        <v>62</v>
      </c>
      <c r="O1480" s="1">
        <v>63</v>
      </c>
      <c r="P1480" s="1">
        <v>119</v>
      </c>
      <c r="Q1480" s="1">
        <v>120</v>
      </c>
      <c r="R1480" s="1">
        <v>86</v>
      </c>
      <c r="S1480" s="1">
        <v>60</v>
      </c>
    </row>
    <row r="1481" spans="1:19">
      <c r="A1481" s="1">
        <v>2016</v>
      </c>
      <c r="B1481" s="1">
        <v>150</v>
      </c>
      <c r="C1481" s="1" t="s">
        <v>247</v>
      </c>
      <c r="D1481" s="1" t="e">
        <f t="array" aca="1" ref="D1481" ca="1">_xludf.XLOOKUP(C1481,'country region mapping'!$A$2:$A$250, 'country region mapping'!$E$2:$E$250)</f>
        <v>#NAME?</v>
      </c>
      <c r="E1481" s="1" t="e">
        <f t="array" aca="1" ref="E1481" ca="1">_xludf.XLOOKUP(C1481,'country region mapping'!$A$2:$A$267,'country region mapping'!$F$2:$F$267)</f>
        <v>#NAME?</v>
      </c>
      <c r="F1481" s="1" t="e">
        <f t="array" aca="1" ref="F1481" ca="1">_xludf.XLOOKUP(C1481,'country region mapping'!$A$2:$A$267,'country region mapping'!$G$2:$G$267)</f>
        <v>#NAME?</v>
      </c>
      <c r="G1481" s="1">
        <v>3.4950000000000001</v>
      </c>
      <c r="H1481" s="1">
        <v>117</v>
      </c>
      <c r="I1481" s="1">
        <v>139</v>
      </c>
      <c r="J1481" s="1">
        <v>126</v>
      </c>
      <c r="K1481" s="1">
        <v>117</v>
      </c>
      <c r="L1481" s="1">
        <v>89</v>
      </c>
      <c r="M1481" s="1">
        <v>114</v>
      </c>
      <c r="N1481" s="1">
        <v>72</v>
      </c>
      <c r="O1481" s="1">
        <v>90</v>
      </c>
      <c r="P1481" s="1">
        <v>136</v>
      </c>
      <c r="Q1481" s="1">
        <v>114</v>
      </c>
      <c r="R1481" s="1">
        <v>91</v>
      </c>
      <c r="S1481" s="1">
        <v>86</v>
      </c>
    </row>
    <row r="1482" spans="1:19">
      <c r="A1482" s="1">
        <v>2016</v>
      </c>
      <c r="B1482" s="1">
        <v>151</v>
      </c>
      <c r="C1482" s="1" t="s">
        <v>242</v>
      </c>
      <c r="D1482" s="1" t="e">
        <f t="array" aca="1" ref="D1482" ca="1">_xludf.XLOOKUP(C1482,'country region mapping'!$A$2:$A$250, 'country region mapping'!$E$2:$E$250)</f>
        <v>#NAME?</v>
      </c>
      <c r="E1482" s="1" t="e">
        <f t="array" aca="1" ref="E1482" ca="1">_xludf.XLOOKUP(C1482,'country region mapping'!$A$2:$A$267,'country region mapping'!$F$2:$F$267)</f>
        <v>#NAME?</v>
      </c>
      <c r="F1482" s="1" t="e">
        <f t="array" aca="1" ref="F1482" ca="1">_xludf.XLOOKUP(C1482,'country region mapping'!$A$2:$A$267,'country region mapping'!$G$2:$G$267)</f>
        <v>#NAME?</v>
      </c>
      <c r="G1482" s="1">
        <v>3.4710000000000001</v>
      </c>
      <c r="H1482" s="1">
        <v>44</v>
      </c>
      <c r="I1482" s="1">
        <v>118</v>
      </c>
      <c r="J1482" s="1">
        <v>128</v>
      </c>
      <c r="K1482" s="1">
        <v>103</v>
      </c>
      <c r="L1482" s="1">
        <v>16</v>
      </c>
      <c r="M1482" s="1">
        <v>97</v>
      </c>
      <c r="N1482" s="1">
        <v>2</v>
      </c>
      <c r="O1482" s="1">
        <v>45</v>
      </c>
      <c r="P1482" s="1">
        <v>78</v>
      </c>
      <c r="Q1482" s="1">
        <v>97</v>
      </c>
      <c r="R1482" s="1">
        <v>92</v>
      </c>
      <c r="S1482" s="1">
        <v>89</v>
      </c>
    </row>
    <row r="1483" spans="1:19">
      <c r="A1483" s="1">
        <v>2016</v>
      </c>
      <c r="B1483" s="1">
        <v>152</v>
      </c>
      <c r="C1483" s="1" t="s">
        <v>248</v>
      </c>
      <c r="D1483" s="1" t="e">
        <f t="array" aca="1" ref="D1483" ca="1">_xludf.XLOOKUP(C1483,'country region mapping'!$A$2:$A$267,'country region mapping'!$E$2:$E$267)</f>
        <v>#NAME?</v>
      </c>
      <c r="E1483" s="1" t="e">
        <f t="array" aca="1" ref="E1483" ca="1">_xludf.XLOOKUP(C1483,'country region mapping'!$A$2:$A$267,'country region mapping'!$F$2:$F$267)</f>
        <v>#NAME?</v>
      </c>
      <c r="F1483" s="1" t="e">
        <f t="array" aca="1" ref="F1483" ca="1">_xludf.XLOOKUP(C1483,'country region mapping'!$A$2:$A$267,'country region mapping'!$G$2:$G$267)</f>
        <v>#NAME?</v>
      </c>
      <c r="G1483" s="1">
        <v>3.4620000000000002</v>
      </c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</row>
    <row r="1484" spans="1:19">
      <c r="A1484" s="1">
        <v>2016</v>
      </c>
      <c r="B1484" s="1">
        <v>153</v>
      </c>
      <c r="C1484" s="1" t="s">
        <v>236</v>
      </c>
      <c r="D1484" s="1" t="e">
        <f t="array" aca="1" ref="D1484" ca="1">_xludf.XLOOKUP(C1484,'country region mapping'!$A$2:$A$267,'country region mapping'!$E$2:$E$267)</f>
        <v>#NAME?</v>
      </c>
      <c r="E1484" s="1" t="e">
        <f t="array" aca="1" ref="E1484" ca="1">_xludf.XLOOKUP(C1484,'country region mapping'!$A$2:$A$267,'country region mapping'!$F$2:$F$267)</f>
        <v>#NAME?</v>
      </c>
      <c r="F1484" s="1" t="e">
        <f t="array" aca="1" ref="F1484" ca="1">_xludf.XLOOKUP(C1484,'country region mapping'!$A$2:$A$267,'country region mapping'!$G$2:$G$267)</f>
        <v>#NAME?</v>
      </c>
      <c r="G1484" s="1">
        <v>3.3490000000000002</v>
      </c>
      <c r="H1484" s="1">
        <v>112</v>
      </c>
      <c r="I1484" s="1">
        <v>126</v>
      </c>
      <c r="J1484" s="1">
        <v>118</v>
      </c>
      <c r="K1484" s="1">
        <v>105</v>
      </c>
      <c r="L1484" s="1">
        <v>69</v>
      </c>
      <c r="M1484" s="1">
        <v>38</v>
      </c>
      <c r="N1484" s="1">
        <v>42</v>
      </c>
      <c r="O1484" s="1">
        <v>75</v>
      </c>
      <c r="P1484" s="1">
        <v>57</v>
      </c>
      <c r="Q1484" s="1">
        <v>38</v>
      </c>
      <c r="R1484" s="1">
        <v>110</v>
      </c>
      <c r="S1484" s="1">
        <v>61</v>
      </c>
    </row>
    <row r="1485" spans="1:19">
      <c r="A1485" s="1">
        <v>2016</v>
      </c>
      <c r="B1485" s="1">
        <v>154</v>
      </c>
      <c r="C1485" s="1" t="s">
        <v>250</v>
      </c>
      <c r="D1485" s="1" t="e">
        <f t="array" aca="1" ref="D1485" ca="1">_xludf.XLOOKUP(C1485,'country region mapping'!$A$2:$A$250, 'country region mapping'!$E$2:$E$250)</f>
        <v>#NAME?</v>
      </c>
      <c r="E1485" s="1" t="e">
        <f t="array" aca="1" ref="E1485" ca="1">_xludf.XLOOKUP(C1485,'country region mapping'!$A$2:$A$267,'country region mapping'!$F$2:$F$267)</f>
        <v>#NAME?</v>
      </c>
      <c r="F1485" s="1" t="e">
        <f t="array" aca="1" ref="F1485" ca="1">_xludf.XLOOKUP(C1485,'country region mapping'!$A$2:$A$267,'country region mapping'!$G$2:$G$267)</f>
        <v>#NAME?</v>
      </c>
      <c r="G1485" s="1">
        <v>2.9049999999999998</v>
      </c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</row>
    <row r="1486" spans="1:19">
      <c r="A1486" s="1">
        <v>2016</v>
      </c>
      <c r="B1486" s="1">
        <v>155</v>
      </c>
      <c r="C1486" s="1" t="s">
        <v>332</v>
      </c>
      <c r="D1486" s="1" t="e">
        <f t="array" aca="1" ref="D1486" ca="1">_xludf.XLOOKUP(C1486,'country region mapping'!$A$2:$A$250, 'country region mapping'!$E$2:$E$250)</f>
        <v>#NAME?</v>
      </c>
      <c r="E1486" s="1" t="e">
        <f t="array" aca="1" ref="E1486" ca="1">_xludf.XLOOKUP(C1486,'country region mapping'!$A$2:$A$267,'country region mapping'!$F$2:$F$267)</f>
        <v>#NAME?</v>
      </c>
      <c r="F1486" s="1" t="e">
        <f t="array" aca="1" ref="F1486" ca="1">_xludf.XLOOKUP(C1486,'country region mapping'!$A$2:$A$267,'country region mapping'!$G$2:$G$267)</f>
        <v>#NAME?</v>
      </c>
      <c r="G1486" s="1">
        <v>2.6930000000000001</v>
      </c>
      <c r="H1486" s="1">
        <v>92</v>
      </c>
      <c r="I1486" s="1">
        <v>141</v>
      </c>
      <c r="J1486" s="1">
        <v>140</v>
      </c>
      <c r="K1486" s="1">
        <v>134</v>
      </c>
      <c r="L1486" s="1">
        <v>118</v>
      </c>
      <c r="M1486" s="1">
        <v>112</v>
      </c>
      <c r="N1486" s="1">
        <v>92</v>
      </c>
      <c r="O1486" s="1">
        <v>120</v>
      </c>
      <c r="P1486" s="1">
        <v>137</v>
      </c>
      <c r="Q1486" s="1">
        <v>112</v>
      </c>
      <c r="R1486" s="1">
        <v>53</v>
      </c>
      <c r="S1486" s="1">
        <v>101</v>
      </c>
    </row>
    <row r="1487" spans="1:19">
      <c r="A1487" s="1">
        <v>2015</v>
      </c>
      <c r="B1487" s="1"/>
      <c r="C1487" s="1" t="s">
        <v>252</v>
      </c>
      <c r="D1487" s="1" t="e">
        <f t="array" aca="1" ref="D1487" ca="1">_xludf.XLOOKUP(C1487,'country region mapping'!$A$2:$A$250, 'country region mapping'!$E$2:$E$250)</f>
        <v>#NAME?</v>
      </c>
      <c r="E1487" s="1" t="e">
        <f t="array" aca="1" ref="E1487" ca="1">_xludf.XLOOKUP(C1487,'country region mapping'!$A$2:$A$267,'country region mapping'!$F$2:$F$267)</f>
        <v>#NAME?</v>
      </c>
      <c r="F1487" s="1" t="e">
        <f t="array" aca="1" ref="F1487" ca="1">_xludf.XLOOKUP(C1487,'country region mapping'!$A$2:$A$267,'country region mapping'!$G$2:$G$267)</f>
        <v>#NAME?</v>
      </c>
      <c r="G1487" s="1"/>
      <c r="H1487" s="1">
        <v>137</v>
      </c>
      <c r="I1487" s="1">
        <v>117</v>
      </c>
      <c r="J1487" s="1">
        <v>138</v>
      </c>
      <c r="K1487" s="1">
        <v>136</v>
      </c>
      <c r="L1487" s="1">
        <v>49</v>
      </c>
      <c r="M1487" s="1">
        <v>86</v>
      </c>
      <c r="N1487" s="1">
        <v>24</v>
      </c>
      <c r="O1487" s="1">
        <v>108</v>
      </c>
      <c r="P1487" s="1">
        <v>111</v>
      </c>
      <c r="Q1487" s="1">
        <v>86</v>
      </c>
      <c r="R1487" s="1">
        <v>31</v>
      </c>
      <c r="S1487" s="1">
        <v>66</v>
      </c>
    </row>
    <row r="1488" spans="1:19">
      <c r="A1488" s="1">
        <v>2015</v>
      </c>
      <c r="B1488" s="1">
        <v>1</v>
      </c>
      <c r="C1488" s="1" t="s">
        <v>30</v>
      </c>
      <c r="D1488" s="1" t="e">
        <f t="array" aca="1" ref="D1488" ca="1">_xludf.XLOOKUP(C1488,'country region mapping'!$A$2:$A$250, 'country region mapping'!$E$2:$E$250)</f>
        <v>#NAME?</v>
      </c>
      <c r="E1488" s="1" t="e">
        <f t="array" aca="1" ref="E1488" ca="1">_xludf.XLOOKUP(C1488,'country region mapping'!$A$2:$A$267,'country region mapping'!$F$2:$F$267)</f>
        <v>#NAME?</v>
      </c>
      <c r="F1488" s="1" t="e">
        <f t="array" aca="1" ref="F1488" ca="1">_xludf.XLOOKUP(C1488,'country region mapping'!$A$2:$A$267,'country region mapping'!$G$2:$G$267)</f>
        <v>#NAME?</v>
      </c>
      <c r="G1488" s="1">
        <v>7.5259999999999998</v>
      </c>
      <c r="H1488" s="1">
        <v>13</v>
      </c>
      <c r="I1488" s="1">
        <v>5</v>
      </c>
      <c r="J1488" s="1">
        <v>10</v>
      </c>
      <c r="K1488" s="1">
        <v>21</v>
      </c>
      <c r="L1488" s="1">
        <v>6</v>
      </c>
      <c r="M1488" s="1">
        <v>14</v>
      </c>
      <c r="N1488" s="1">
        <v>4</v>
      </c>
      <c r="O1488" s="1">
        <v>11</v>
      </c>
      <c r="P1488" s="1">
        <v>38</v>
      </c>
      <c r="Q1488" s="1">
        <v>14</v>
      </c>
      <c r="R1488" s="1">
        <v>52</v>
      </c>
      <c r="S1488" s="1">
        <v>58</v>
      </c>
    </row>
    <row r="1489" spans="1:19">
      <c r="A1489" s="1">
        <v>2015</v>
      </c>
      <c r="B1489" s="1">
        <v>2</v>
      </c>
      <c r="C1489" s="1" t="s">
        <v>32</v>
      </c>
      <c r="D1489" s="1" t="e">
        <f t="array" aca="1" ref="D1489" ca="1">_xludf.XLOOKUP(C1489,'country region mapping'!$A$2:$A$250, 'country region mapping'!$E$2:$E$250)</f>
        <v>#NAME?</v>
      </c>
      <c r="E1489" s="1" t="e">
        <f t="array" aca="1" ref="E1489" ca="1">_xludf.XLOOKUP(C1489,'country region mapping'!$A$2:$A$267,'country region mapping'!$F$2:$F$267)</f>
        <v>#NAME?</v>
      </c>
      <c r="F1489" s="1" t="e">
        <f t="array" aca="1" ref="F1489" ca="1">_xludf.XLOOKUP(C1489,'country region mapping'!$A$2:$A$267,'country region mapping'!$G$2:$G$267)</f>
        <v>#NAME?</v>
      </c>
      <c r="G1489" s="1">
        <v>7.5090000000000003</v>
      </c>
      <c r="H1489" s="1">
        <v>35</v>
      </c>
      <c r="I1489" s="1">
        <v>13</v>
      </c>
      <c r="J1489" s="1">
        <v>6</v>
      </c>
      <c r="K1489" s="1">
        <v>12</v>
      </c>
      <c r="L1489" s="1">
        <v>12</v>
      </c>
      <c r="M1489" s="1">
        <v>23</v>
      </c>
      <c r="N1489" s="1">
        <v>5</v>
      </c>
      <c r="O1489" s="1">
        <v>17</v>
      </c>
      <c r="P1489" s="1">
        <v>8</v>
      </c>
      <c r="Q1489" s="1">
        <v>23</v>
      </c>
      <c r="R1489" s="1">
        <v>28</v>
      </c>
      <c r="S1489" s="1">
        <v>63</v>
      </c>
    </row>
    <row r="1490" spans="1:19">
      <c r="A1490" s="1">
        <v>2015</v>
      </c>
      <c r="B1490" s="1">
        <v>3</v>
      </c>
      <c r="C1490" s="1" t="s">
        <v>34</v>
      </c>
      <c r="D1490" s="1" t="e">
        <f t="array" aca="1" ref="D1490" ca="1">_xludf.XLOOKUP(C1490,'country region mapping'!$A$2:$A$250, 'country region mapping'!$E$2:$E$250)</f>
        <v>#NAME?</v>
      </c>
      <c r="E1490" s="1" t="e">
        <f t="array" aca="1" ref="E1490" ca="1">_xludf.XLOOKUP(C1490,'country region mapping'!$A$2:$A$267,'country region mapping'!$F$2:$F$267)</f>
        <v>#NAME?</v>
      </c>
      <c r="F1490" s="1" t="e">
        <f t="array" aca="1" ref="F1490" ca="1">_xludf.XLOOKUP(C1490,'country region mapping'!$A$2:$A$267,'country region mapping'!$G$2:$G$267)</f>
        <v>#NAME?</v>
      </c>
      <c r="G1490" s="1">
        <v>7.5010000000000003</v>
      </c>
      <c r="H1490" s="1">
        <v>21</v>
      </c>
      <c r="I1490" s="1">
        <v>2</v>
      </c>
      <c r="J1490" s="1">
        <v>12</v>
      </c>
      <c r="K1490" s="1">
        <v>4</v>
      </c>
      <c r="L1490" s="1">
        <v>7</v>
      </c>
      <c r="M1490" s="1">
        <v>6</v>
      </c>
      <c r="N1490" s="1">
        <v>27</v>
      </c>
      <c r="O1490" s="1">
        <v>18</v>
      </c>
      <c r="P1490" s="1">
        <v>16</v>
      </c>
      <c r="Q1490" s="1">
        <v>6</v>
      </c>
      <c r="R1490" s="1">
        <v>46</v>
      </c>
      <c r="S1490" s="1">
        <v>75</v>
      </c>
    </row>
    <row r="1491" spans="1:19">
      <c r="A1491" s="1">
        <v>2015</v>
      </c>
      <c r="B1491" s="1">
        <v>4</v>
      </c>
      <c r="C1491" s="1" t="s">
        <v>35</v>
      </c>
      <c r="D1491" s="1" t="e">
        <f t="array" aca="1" ref="D1491" ca="1">_xludf.XLOOKUP(C1491,'country region mapping'!$A$2:$A$250, 'country region mapping'!$E$2:$E$250)</f>
        <v>#NAME?</v>
      </c>
      <c r="E1491" s="1" t="e">
        <f t="array" aca="1" ref="E1491" ca="1">_xludf.XLOOKUP(C1491,'country region mapping'!$A$2:$A$267,'country region mapping'!$F$2:$F$267)</f>
        <v>#NAME?</v>
      </c>
      <c r="F1491" s="1" t="e">
        <f t="array" aca="1" ref="F1491" ca="1">_xludf.XLOOKUP(C1491,'country region mapping'!$A$2:$A$267,'country region mapping'!$G$2:$G$267)</f>
        <v>#NAME?</v>
      </c>
      <c r="G1491" s="1">
        <v>7.4980000000000002</v>
      </c>
      <c r="H1491" s="1">
        <v>19</v>
      </c>
      <c r="I1491" s="1">
        <v>10</v>
      </c>
      <c r="J1491" s="1">
        <v>4</v>
      </c>
      <c r="K1491" s="1">
        <v>9</v>
      </c>
      <c r="L1491" s="1">
        <v>4</v>
      </c>
      <c r="M1491" s="1">
        <v>8</v>
      </c>
      <c r="N1491" s="1">
        <v>8</v>
      </c>
      <c r="O1491" s="1">
        <v>14</v>
      </c>
      <c r="P1491" s="1">
        <v>34</v>
      </c>
      <c r="Q1491" s="1">
        <v>8</v>
      </c>
      <c r="R1491" s="1">
        <v>25</v>
      </c>
      <c r="S1491" s="1">
        <v>73</v>
      </c>
    </row>
    <row r="1492" spans="1:19">
      <c r="A1492" s="1">
        <v>2015</v>
      </c>
      <c r="B1492" s="1">
        <v>5</v>
      </c>
      <c r="C1492" s="1" t="s">
        <v>37</v>
      </c>
      <c r="D1492" s="1" t="e">
        <f t="array" aca="1" ref="D1492" ca="1">_xludf.XLOOKUP(C1492,'country region mapping'!$A$2:$A$250, 'country region mapping'!$E$2:$E$250)</f>
        <v>#NAME?</v>
      </c>
      <c r="E1492" s="1" t="e">
        <f t="array" aca="1" ref="E1492" ca="1">_xludf.XLOOKUP(C1492,'country region mapping'!$A$2:$A$267,'country region mapping'!$F$2:$F$267)</f>
        <v>#NAME?</v>
      </c>
      <c r="F1492" s="1" t="e">
        <f t="array" aca="1" ref="F1492" ca="1">_xludf.XLOOKUP(C1492,'country region mapping'!$A$2:$A$267,'country region mapping'!$G$2:$G$267)</f>
        <v>#NAME?</v>
      </c>
      <c r="G1492" s="1">
        <v>7.4130000000000003</v>
      </c>
      <c r="H1492" s="1">
        <v>9</v>
      </c>
      <c r="I1492" s="1">
        <v>9</v>
      </c>
      <c r="J1492" s="1">
        <v>21</v>
      </c>
      <c r="K1492" s="1">
        <v>19</v>
      </c>
      <c r="L1492" s="1">
        <v>11</v>
      </c>
      <c r="M1492" s="1">
        <v>26</v>
      </c>
      <c r="N1492" s="1">
        <v>6</v>
      </c>
      <c r="O1492" s="1">
        <v>39</v>
      </c>
      <c r="P1492" s="1">
        <v>22</v>
      </c>
      <c r="Q1492" s="1">
        <v>26</v>
      </c>
      <c r="R1492" s="1">
        <v>27</v>
      </c>
      <c r="S1492" s="1">
        <v>51</v>
      </c>
    </row>
    <row r="1493" spans="1:19">
      <c r="A1493" s="1">
        <v>2015</v>
      </c>
      <c r="B1493" s="1">
        <v>6</v>
      </c>
      <c r="C1493" s="1" t="s">
        <v>38</v>
      </c>
      <c r="D1493" s="1" t="e">
        <f t="array" aca="1" ref="D1493" ca="1">_xludf.XLOOKUP(C1493,'country region mapping'!$A$2:$A$250, 'country region mapping'!$E$2:$E$250)</f>
        <v>#NAME?</v>
      </c>
      <c r="E1493" s="1" t="e">
        <f t="array" aca="1" ref="E1493" ca="1">_xludf.XLOOKUP(C1493,'country region mapping'!$A$2:$A$267,'country region mapping'!$F$2:$F$267)</f>
        <v>#NAME?</v>
      </c>
      <c r="F1493" s="1" t="e">
        <f t="array" aca="1" ref="F1493" ca="1">_xludf.XLOOKUP(C1493,'country region mapping'!$A$2:$A$267,'country region mapping'!$G$2:$G$267)</f>
        <v>#NAME?</v>
      </c>
      <c r="G1493" s="1">
        <v>7.4039999999999999</v>
      </c>
      <c r="H1493" s="1">
        <v>12</v>
      </c>
      <c r="I1493" s="1">
        <v>12</v>
      </c>
      <c r="J1493" s="1">
        <v>18</v>
      </c>
      <c r="K1493" s="1">
        <v>15</v>
      </c>
      <c r="L1493" s="1">
        <v>10</v>
      </c>
      <c r="M1493" s="1">
        <v>11</v>
      </c>
      <c r="N1493" s="1">
        <v>15</v>
      </c>
      <c r="O1493" s="1">
        <v>19</v>
      </c>
      <c r="P1493" s="1">
        <v>78</v>
      </c>
      <c r="Q1493" s="1">
        <v>11</v>
      </c>
      <c r="R1493" s="1">
        <v>14</v>
      </c>
      <c r="S1493" s="1">
        <v>22</v>
      </c>
    </row>
    <row r="1494" spans="1:19">
      <c r="A1494" s="1">
        <v>2015</v>
      </c>
      <c r="B1494" s="1">
        <v>7</v>
      </c>
      <c r="C1494" s="1" t="s">
        <v>40</v>
      </c>
      <c r="D1494" s="1" t="e">
        <f t="array" aca="1" ref="D1494" ca="1">_xludf.XLOOKUP(C1494,'country region mapping'!$A$2:$A$267,'country region mapping'!$E$2:$E$267)</f>
        <v>#NAME?</v>
      </c>
      <c r="E1494" s="1" t="e">
        <f t="array" aca="1" ref="E1494" ca="1">_xludf.XLOOKUP(C1494,'country region mapping'!$A$2:$A$267,'country region mapping'!$F$2:$F$267)</f>
        <v>#NAME?</v>
      </c>
      <c r="F1494" s="1" t="e">
        <f t="array" aca="1" ref="F1494" ca="1">_xludf.XLOOKUP(C1494,'country region mapping'!$A$2:$A$267,'country region mapping'!$G$2:$G$267)</f>
        <v>#NAME?</v>
      </c>
      <c r="G1494" s="1">
        <v>7.3390000000000004</v>
      </c>
      <c r="H1494" s="1">
        <v>1</v>
      </c>
      <c r="I1494" s="1">
        <v>47</v>
      </c>
      <c r="J1494" s="1">
        <v>9</v>
      </c>
      <c r="K1494" s="1"/>
      <c r="L1494" s="1">
        <v>20</v>
      </c>
      <c r="M1494" s="1">
        <v>9</v>
      </c>
      <c r="N1494" s="1">
        <v>13</v>
      </c>
      <c r="O1494" s="1">
        <v>36</v>
      </c>
      <c r="P1494" s="1">
        <v>27</v>
      </c>
      <c r="Q1494" s="1">
        <v>9</v>
      </c>
      <c r="R1494" s="1">
        <v>21</v>
      </c>
      <c r="S1494" s="1">
        <v>50</v>
      </c>
    </row>
    <row r="1495" spans="1:19">
      <c r="A1495" s="1">
        <v>2015</v>
      </c>
      <c r="B1495" s="1">
        <v>8</v>
      </c>
      <c r="C1495" s="1" t="s">
        <v>42</v>
      </c>
      <c r="D1495" s="1" t="e">
        <f t="array" aca="1" ref="D1495" ca="1">_xludf.XLOOKUP(C1495,'country region mapping'!$A$2:$A$250, 'country region mapping'!$E$2:$E$250)</f>
        <v>#NAME?</v>
      </c>
      <c r="E1495" s="1" t="e">
        <f t="array" aca="1" ref="E1495" ca="1">_xludf.XLOOKUP(C1495,'country region mapping'!$A$2:$A$267,'country region mapping'!$F$2:$F$267)</f>
        <v>#NAME?</v>
      </c>
      <c r="F1495" s="1" t="e">
        <f t="array" aca="1" ref="F1495" ca="1">_xludf.XLOOKUP(C1495,'country region mapping'!$A$2:$A$267,'country region mapping'!$G$2:$G$267)</f>
        <v>#NAME?</v>
      </c>
      <c r="G1495" s="1">
        <v>7.3339999999999996</v>
      </c>
      <c r="H1495" s="1">
        <v>4</v>
      </c>
      <c r="I1495" s="1">
        <v>1</v>
      </c>
      <c r="J1495" s="1">
        <v>27</v>
      </c>
      <c r="K1495" s="1">
        <v>27</v>
      </c>
      <c r="L1495" s="1">
        <v>5</v>
      </c>
      <c r="M1495" s="1">
        <v>5</v>
      </c>
      <c r="N1495" s="1">
        <v>3</v>
      </c>
      <c r="O1495" s="1">
        <v>16</v>
      </c>
      <c r="P1495" s="1">
        <v>5</v>
      </c>
      <c r="Q1495" s="1">
        <v>5</v>
      </c>
      <c r="R1495" s="1">
        <v>6</v>
      </c>
      <c r="S1495" s="1">
        <v>33</v>
      </c>
    </row>
    <row r="1496" spans="1:19">
      <c r="A1496" s="1">
        <v>2015</v>
      </c>
      <c r="B1496" s="1">
        <v>9</v>
      </c>
      <c r="C1496" s="1" t="s">
        <v>43</v>
      </c>
      <c r="D1496" s="1" t="e">
        <f t="array" aca="1" ref="D1496" ca="1">_xludf.XLOOKUP(C1496,'country region mapping'!$A$2:$A$250, 'country region mapping'!$E$2:$E$250)</f>
        <v>#NAME?</v>
      </c>
      <c r="E1496" s="1" t="e">
        <f t="array" aca="1" ref="E1496" ca="1">_xludf.XLOOKUP(C1496,'country region mapping'!$A$2:$A$267,'country region mapping'!$F$2:$F$267)</f>
        <v>#NAME?</v>
      </c>
      <c r="F1496" s="1" t="e">
        <f t="array" aca="1" ref="F1496" ca="1">_xludf.XLOOKUP(C1496,'country region mapping'!$A$2:$A$267,'country region mapping'!$G$2:$G$267)</f>
        <v>#NAME?</v>
      </c>
      <c r="G1496" s="1">
        <v>7.3129999999999997</v>
      </c>
      <c r="H1496" s="1">
        <v>20</v>
      </c>
      <c r="I1496" s="1">
        <v>8</v>
      </c>
      <c r="J1496" s="1">
        <v>17</v>
      </c>
      <c r="K1496" s="1">
        <v>16</v>
      </c>
      <c r="L1496" s="1">
        <v>13</v>
      </c>
      <c r="M1496" s="1">
        <v>3</v>
      </c>
      <c r="N1496" s="1">
        <v>9</v>
      </c>
      <c r="O1496" s="1">
        <v>29</v>
      </c>
      <c r="P1496" s="1">
        <v>35</v>
      </c>
      <c r="Q1496" s="1">
        <v>3</v>
      </c>
      <c r="R1496" s="1">
        <v>11</v>
      </c>
      <c r="S1496" s="1">
        <v>16</v>
      </c>
    </row>
    <row r="1497" spans="1:19">
      <c r="A1497" s="1">
        <v>2015</v>
      </c>
      <c r="B1497" s="1">
        <v>10</v>
      </c>
      <c r="C1497" s="1" t="s">
        <v>45</v>
      </c>
      <c r="D1497" s="1" t="e">
        <f t="array" aca="1" ref="D1497" ca="1">_xludf.XLOOKUP(C1497,'country region mapping'!$A$2:$A$250, 'country region mapping'!$E$2:$E$250)</f>
        <v>#NAME?</v>
      </c>
      <c r="E1497" s="1" t="e">
        <f t="array" aca="1" ref="E1497" ca="1">_xludf.XLOOKUP(C1497,'country region mapping'!$A$2:$A$267,'country region mapping'!$F$2:$F$267)</f>
        <v>#NAME?</v>
      </c>
      <c r="F1497" s="1" t="e">
        <f t="array" aca="1" ref="F1497" ca="1">_xludf.XLOOKUP(C1497,'country region mapping'!$A$2:$A$267,'country region mapping'!$G$2:$G$267)</f>
        <v>#NAME?</v>
      </c>
      <c r="G1497" s="1">
        <v>7.2910000000000004</v>
      </c>
      <c r="H1497" s="1">
        <v>15</v>
      </c>
      <c r="I1497" s="1">
        <v>17</v>
      </c>
      <c r="J1497" s="1">
        <v>14</v>
      </c>
      <c r="K1497" s="1">
        <v>13</v>
      </c>
      <c r="L1497" s="1">
        <v>8</v>
      </c>
      <c r="M1497" s="1">
        <v>18</v>
      </c>
      <c r="N1497" s="1">
        <v>7</v>
      </c>
      <c r="O1497" s="1">
        <v>26</v>
      </c>
      <c r="P1497" s="1">
        <v>21</v>
      </c>
      <c r="Q1497" s="1">
        <v>18</v>
      </c>
      <c r="R1497" s="1">
        <v>96</v>
      </c>
      <c r="S1497" s="1">
        <v>45</v>
      </c>
    </row>
    <row r="1498" spans="1:19">
      <c r="A1498" s="1">
        <v>2015</v>
      </c>
      <c r="B1498" s="1">
        <v>11</v>
      </c>
      <c r="C1498" s="1" t="s">
        <v>47</v>
      </c>
      <c r="D1498" s="1" t="e">
        <f t="array" aca="1" ref="D1498" ca="1">_xludf.XLOOKUP(C1498,'country region mapping'!$A$2:$A$250, 'country region mapping'!$E$2:$E$250)</f>
        <v>#NAME?</v>
      </c>
      <c r="E1498" s="1" t="e">
        <f t="array" aca="1" ref="E1498" ca="1">_xludf.XLOOKUP(C1498,'country region mapping'!$A$2:$A$267,'country region mapping'!$F$2:$F$267)</f>
        <v>#NAME?</v>
      </c>
      <c r="F1498" s="1" t="e">
        <f t="array" aca="1" ref="F1498" ca="1">_xludf.XLOOKUP(C1498,'country region mapping'!$A$2:$A$267,'country region mapping'!$G$2:$G$267)</f>
        <v>#NAME?</v>
      </c>
      <c r="G1498" s="1">
        <v>7.2670000000000003</v>
      </c>
      <c r="H1498" s="1">
        <v>32</v>
      </c>
      <c r="I1498" s="1">
        <v>54</v>
      </c>
      <c r="J1498" s="1">
        <v>32</v>
      </c>
      <c r="K1498" s="1">
        <v>7</v>
      </c>
      <c r="L1498" s="1">
        <v>79</v>
      </c>
      <c r="M1498" s="1">
        <v>28</v>
      </c>
      <c r="N1498" s="1">
        <v>61</v>
      </c>
      <c r="O1498" s="1">
        <v>76</v>
      </c>
      <c r="P1498" s="1">
        <v>60</v>
      </c>
      <c r="Q1498" s="1">
        <v>28</v>
      </c>
      <c r="R1498" s="1">
        <v>50</v>
      </c>
      <c r="S1498" s="1">
        <v>81</v>
      </c>
    </row>
    <row r="1499" spans="1:19">
      <c r="A1499" s="1">
        <v>2015</v>
      </c>
      <c r="B1499" s="1">
        <v>12</v>
      </c>
      <c r="C1499" s="1" t="s">
        <v>49</v>
      </c>
      <c r="D1499" s="1" t="e">
        <f t="array" aca="1" ref="D1499" ca="1">_xludf.XLOOKUP(C1499,'country region mapping'!$A$2:$A$250, 'country region mapping'!$E$2:$E$250)</f>
        <v>#NAME?</v>
      </c>
      <c r="E1499" s="1" t="e">
        <f t="array" aca="1" ref="E1499" ca="1">_xludf.XLOOKUP(C1499,'country region mapping'!$A$2:$A$267,'country region mapping'!$F$2:$F$267)</f>
        <v>#NAME?</v>
      </c>
      <c r="F1499" s="1" t="e">
        <f t="array" aca="1" ref="F1499" ca="1">_xludf.XLOOKUP(C1499,'country region mapping'!$A$2:$A$267,'country region mapping'!$G$2:$G$267)</f>
        <v>#NAME?</v>
      </c>
      <c r="G1499" s="1">
        <v>7.1189999999999998</v>
      </c>
      <c r="H1499" s="1">
        <v>27</v>
      </c>
      <c r="I1499" s="1">
        <v>19</v>
      </c>
      <c r="J1499" s="1">
        <v>11</v>
      </c>
      <c r="K1499" s="1">
        <v>17</v>
      </c>
      <c r="L1499" s="1">
        <v>22</v>
      </c>
      <c r="M1499" s="1">
        <v>27</v>
      </c>
      <c r="N1499" s="1">
        <v>20</v>
      </c>
      <c r="O1499" s="1">
        <v>33</v>
      </c>
      <c r="P1499" s="1">
        <v>7</v>
      </c>
      <c r="Q1499" s="1">
        <v>27</v>
      </c>
      <c r="R1499" s="1">
        <v>43</v>
      </c>
      <c r="S1499" s="1">
        <v>71</v>
      </c>
    </row>
    <row r="1500" spans="1:19">
      <c r="A1500" s="1">
        <v>2015</v>
      </c>
      <c r="B1500" s="1">
        <v>13</v>
      </c>
      <c r="C1500" s="1" t="s">
        <v>51</v>
      </c>
      <c r="D1500" s="1" t="e">
        <f t="array" aca="1" ref="D1500" ca="1">_xludf.XLOOKUP(C1500,'country region mapping'!$A$2:$A$267,'country region mapping'!$E$2:$E$267)</f>
        <v>#NAME?</v>
      </c>
      <c r="E1500" s="1" t="e">
        <f t="array" aca="1" ref="E1500" ca="1">_xludf.XLOOKUP(C1500,'country region mapping'!$A$2:$A$267,'country region mapping'!$F$2:$F$267)</f>
        <v>#NAME?</v>
      </c>
      <c r="F1500" s="1" t="e">
        <f t="array" aca="1" ref="F1500" ca="1">_xludf.XLOOKUP(C1500,'country region mapping'!$A$2:$A$267,'country region mapping'!$G$2:$G$267)</f>
        <v>#NAME?</v>
      </c>
      <c r="G1500" s="1">
        <v>7.1040000000000001</v>
      </c>
      <c r="H1500" s="1">
        <v>54</v>
      </c>
      <c r="I1500" s="1">
        <v>35</v>
      </c>
      <c r="J1500" s="1">
        <v>8</v>
      </c>
      <c r="K1500" s="1">
        <v>54</v>
      </c>
      <c r="L1500" s="1">
        <v>38</v>
      </c>
      <c r="M1500" s="1">
        <v>13</v>
      </c>
      <c r="N1500" s="1">
        <v>37</v>
      </c>
      <c r="O1500" s="1">
        <v>24</v>
      </c>
      <c r="P1500" s="1">
        <v>72</v>
      </c>
      <c r="Q1500" s="1">
        <v>13</v>
      </c>
      <c r="R1500" s="1">
        <v>5</v>
      </c>
      <c r="S1500" s="1">
        <v>7</v>
      </c>
    </row>
    <row r="1501" spans="1:19">
      <c r="A1501" s="1">
        <v>2015</v>
      </c>
      <c r="B1501" s="1">
        <v>14</v>
      </c>
      <c r="C1501" s="1" t="s">
        <v>52</v>
      </c>
      <c r="D1501" s="1" t="e">
        <f t="array" aca="1" ref="D1501" ca="1">_xludf.XLOOKUP(C1501,'country region mapping'!$A$2:$A$250, 'country region mapping'!$E$2:$E$250)</f>
        <v>#NAME?</v>
      </c>
      <c r="E1501" s="1" t="e">
        <f t="array" aca="1" ref="E1501" ca="1">_xludf.XLOOKUP(C1501,'country region mapping'!$A$2:$A$267,'country region mapping'!$F$2:$F$267)</f>
        <v>#NAME?</v>
      </c>
      <c r="F1501" s="1" t="e">
        <f t="array" aca="1" ref="F1501" ca="1">_xludf.XLOOKUP(C1501,'country region mapping'!$A$2:$A$267,'country region mapping'!$G$2:$G$267)</f>
        <v>#NAME?</v>
      </c>
      <c r="G1501" s="1">
        <v>7.0869999999999997</v>
      </c>
      <c r="H1501" s="1">
        <v>104</v>
      </c>
      <c r="I1501" s="1">
        <v>48</v>
      </c>
      <c r="J1501" s="1">
        <v>56</v>
      </c>
      <c r="K1501" s="1">
        <v>26</v>
      </c>
      <c r="L1501" s="1">
        <v>19</v>
      </c>
      <c r="M1501" s="1">
        <v>67</v>
      </c>
      <c r="N1501" s="1">
        <v>52</v>
      </c>
      <c r="O1501" s="1">
        <v>9</v>
      </c>
      <c r="P1501" s="1">
        <v>79</v>
      </c>
      <c r="Q1501" s="1">
        <v>67</v>
      </c>
      <c r="R1501" s="1">
        <v>56</v>
      </c>
      <c r="S1501" s="1">
        <v>35</v>
      </c>
    </row>
    <row r="1502" spans="1:19">
      <c r="A1502" s="1">
        <v>2015</v>
      </c>
      <c r="B1502" s="1">
        <v>17</v>
      </c>
      <c r="C1502" s="1" t="s">
        <v>54</v>
      </c>
      <c r="D1502" s="1" t="e">
        <f t="array" aca="1" ref="D1502" ca="1">_xludf.XLOOKUP(C1502,'country region mapping'!$A$2:$A$250, 'country region mapping'!$E$2:$E$250)</f>
        <v>#NAME?</v>
      </c>
      <c r="E1502" s="1" t="e">
        <f t="array" aca="1" ref="E1502" ca="1">_xludf.XLOOKUP(C1502,'country region mapping'!$A$2:$A$267,'country region mapping'!$F$2:$F$267)</f>
        <v>#NAME?</v>
      </c>
      <c r="F1502" s="1" t="e">
        <f t="array" aca="1" ref="F1502" ca="1">_xludf.XLOOKUP(C1502,'country region mapping'!$A$2:$A$267,'country region mapping'!$G$2:$G$267)</f>
        <v>#NAME?</v>
      </c>
      <c r="G1502" s="1">
        <v>6.952</v>
      </c>
      <c r="H1502" s="1">
        <v>102</v>
      </c>
      <c r="I1502" s="1">
        <v>33</v>
      </c>
      <c r="J1502" s="1">
        <v>62</v>
      </c>
      <c r="K1502" s="1">
        <v>75</v>
      </c>
      <c r="L1502" s="1">
        <v>61</v>
      </c>
      <c r="M1502" s="1">
        <v>60</v>
      </c>
      <c r="N1502" s="1">
        <v>56</v>
      </c>
      <c r="O1502" s="1">
        <v>58</v>
      </c>
      <c r="P1502" s="1">
        <v>102</v>
      </c>
      <c r="Q1502" s="1">
        <v>60</v>
      </c>
      <c r="R1502" s="1">
        <v>79</v>
      </c>
      <c r="S1502" s="1">
        <v>62</v>
      </c>
    </row>
    <row r="1503" spans="1:19">
      <c r="A1503" s="1">
        <v>2015</v>
      </c>
      <c r="B1503" s="1">
        <v>41</v>
      </c>
      <c r="C1503" s="1" t="s">
        <v>88</v>
      </c>
      <c r="D1503" s="1" t="e">
        <f t="array" aca="1" ref="D1503" ca="1">_xludf.XLOOKUP(C1503,'country region mapping'!$A$2:$A$250, 'country region mapping'!$E$2:$E$250)</f>
        <v>#NAME?</v>
      </c>
      <c r="E1503" s="1" t="e">
        <f t="array" aca="1" ref="E1503" ca="1">_xludf.XLOOKUP(C1503,'country region mapping'!$A$2:$A$267,'country region mapping'!$F$2:$F$267)</f>
        <v>#NAME?</v>
      </c>
      <c r="F1503" s="1" t="e">
        <f t="array" aca="1" ref="F1503" ca="1">_xludf.XLOOKUP(C1503,'country region mapping'!$A$2:$A$267,'country region mapping'!$G$2:$G$267)</f>
        <v>#NAME?</v>
      </c>
      <c r="G1503" s="1">
        <v>6.2389999999999999</v>
      </c>
      <c r="H1503" s="1">
        <v>106</v>
      </c>
      <c r="I1503" s="1">
        <v>73</v>
      </c>
      <c r="J1503" s="1">
        <v>16</v>
      </c>
      <c r="K1503" s="1">
        <v>22</v>
      </c>
      <c r="L1503" s="1">
        <v>44</v>
      </c>
      <c r="M1503" s="1">
        <v>29</v>
      </c>
      <c r="O1503" s="14">
        <v>62</v>
      </c>
      <c r="P1503" s="14">
        <v>101</v>
      </c>
      <c r="Q1503" s="14">
        <v>29</v>
      </c>
      <c r="R1503" s="14">
        <v>92</v>
      </c>
      <c r="S1503" s="14">
        <v>4</v>
      </c>
    </row>
    <row r="1504" spans="1:19">
      <c r="A1504" s="1">
        <v>2015</v>
      </c>
      <c r="B1504" s="1">
        <v>19</v>
      </c>
      <c r="C1504" s="1" t="s">
        <v>57</v>
      </c>
      <c r="D1504" s="1" t="e">
        <f t="array" aca="1" ref="D1504" ca="1">_xludf.XLOOKUP(C1504,'country region mapping'!$A$2:$A$250, 'country region mapping'!$E$2:$E$250)</f>
        <v>#NAME?</v>
      </c>
      <c r="E1504" s="1" t="e">
        <f t="array" aca="1" ref="E1504" ca="1">_xludf.XLOOKUP(C1504,'country region mapping'!$A$2:$A$267,'country region mapping'!$F$2:$F$267)</f>
        <v>#NAME?</v>
      </c>
      <c r="F1504" s="1" t="e">
        <f t="array" aca="1" ref="F1504" ca="1">_xludf.XLOOKUP(C1504,'country region mapping'!$A$2:$A$267,'country region mapping'!$G$2:$G$267)</f>
        <v>#NAME?</v>
      </c>
      <c r="G1504" s="1">
        <v>6.907</v>
      </c>
      <c r="H1504" s="1">
        <v>28</v>
      </c>
      <c r="I1504" s="1">
        <v>7</v>
      </c>
      <c r="J1504" s="1">
        <v>5</v>
      </c>
      <c r="K1504" s="1">
        <v>20</v>
      </c>
      <c r="L1504" s="1">
        <v>24</v>
      </c>
      <c r="M1504" s="1">
        <v>10</v>
      </c>
      <c r="N1504" s="1">
        <v>11</v>
      </c>
      <c r="O1504" s="1">
        <v>32</v>
      </c>
      <c r="P1504" s="1">
        <v>43</v>
      </c>
      <c r="Q1504" s="1">
        <v>10</v>
      </c>
      <c r="R1504" s="1">
        <v>10</v>
      </c>
      <c r="S1504" s="1">
        <v>48</v>
      </c>
    </row>
    <row r="1505" spans="1:19">
      <c r="A1505" s="1">
        <v>2015</v>
      </c>
      <c r="B1505" s="1">
        <v>20</v>
      </c>
      <c r="C1505" s="1" t="s">
        <v>59</v>
      </c>
      <c r="D1505" s="1" t="e">
        <f t="array" aca="1" ref="D1505" ca="1">_xludf.XLOOKUP(C1505,'country region mapping'!$A$2:$A$250, 'country region mapping'!$E$2:$E$250)</f>
        <v>#NAME?</v>
      </c>
      <c r="E1505" s="1" t="e">
        <f t="array" aca="1" ref="E1505" ca="1">_xludf.XLOOKUP(C1505,'country region mapping'!$A$2:$A$267,'country region mapping'!$F$2:$F$267)</f>
        <v>#NAME?</v>
      </c>
      <c r="F1505" s="1" t="e">
        <f t="array" aca="1" ref="F1505" ca="1">_xludf.XLOOKUP(C1505,'country region mapping'!$A$2:$A$267,'country region mapping'!$G$2:$G$267)</f>
        <v>#NAME?</v>
      </c>
      <c r="G1505" s="1">
        <v>6.8710000000000004</v>
      </c>
      <c r="H1505" s="1">
        <v>5</v>
      </c>
      <c r="I1505" s="1">
        <v>15</v>
      </c>
      <c r="J1505" s="1">
        <v>1</v>
      </c>
      <c r="K1505" s="1">
        <v>5</v>
      </c>
      <c r="L1505" s="1">
        <v>9</v>
      </c>
      <c r="M1505" s="1">
        <v>25</v>
      </c>
      <c r="N1505" s="1">
        <v>10</v>
      </c>
      <c r="O1505" s="1">
        <v>44</v>
      </c>
      <c r="P1505" s="1">
        <v>24</v>
      </c>
      <c r="Q1505" s="1">
        <v>25</v>
      </c>
      <c r="R1505" s="1">
        <v>26</v>
      </c>
      <c r="S1505" s="1">
        <v>126</v>
      </c>
    </row>
    <row r="1506" spans="1:19">
      <c r="A1506" s="1">
        <v>2015</v>
      </c>
      <c r="B1506" s="1">
        <v>21</v>
      </c>
      <c r="C1506" s="1" t="s">
        <v>61</v>
      </c>
      <c r="D1506" s="1" t="e">
        <f t="array" aca="1" ref="D1506" ca="1">_xludf.XLOOKUP(C1506,'country region mapping'!$A$2:$A$250, 'country region mapping'!$E$2:$E$250)</f>
        <v>#NAME?</v>
      </c>
      <c r="E1506" s="1" t="e">
        <f t="array" aca="1" ref="E1506" ca="1">_xludf.XLOOKUP(C1506,'country region mapping'!$A$2:$A$267,'country region mapping'!$F$2:$F$267)</f>
        <v>#NAME?</v>
      </c>
      <c r="F1506" s="1" t="e">
        <f t="array" aca="1" ref="F1506" ca="1">_xludf.XLOOKUP(C1506,'country region mapping'!$A$2:$A$267,'country region mapping'!$G$2:$G$267)</f>
        <v>#NAME?</v>
      </c>
      <c r="G1506" s="1">
        <v>6.7779999999999996</v>
      </c>
      <c r="H1506" s="1">
        <v>79</v>
      </c>
      <c r="I1506" s="1">
        <v>96</v>
      </c>
      <c r="J1506" s="1">
        <v>55</v>
      </c>
      <c r="K1506" s="1">
        <v>63</v>
      </c>
      <c r="L1506" s="1">
        <v>86</v>
      </c>
      <c r="M1506" s="1">
        <v>106</v>
      </c>
      <c r="N1506" s="1">
        <v>40</v>
      </c>
      <c r="O1506" s="1">
        <v>51</v>
      </c>
      <c r="P1506" s="1">
        <v>51</v>
      </c>
      <c r="Q1506" s="1">
        <v>106</v>
      </c>
      <c r="R1506" s="1">
        <v>108</v>
      </c>
      <c r="S1506" s="1">
        <v>91</v>
      </c>
    </row>
    <row r="1507" spans="1:19">
      <c r="A1507" s="1">
        <v>2015</v>
      </c>
      <c r="B1507" s="1">
        <v>22</v>
      </c>
      <c r="C1507" s="1" t="s">
        <v>63</v>
      </c>
      <c r="D1507" s="1" t="e">
        <f t="array" aca="1" ref="D1507" ca="1">_xludf.XLOOKUP(C1507,'country region mapping'!$A$2:$A$250, 'country region mapping'!$E$2:$E$250)</f>
        <v>#NAME?</v>
      </c>
      <c r="E1507" s="1" t="e">
        <f t="array" aca="1" ref="E1507" ca="1">_xludf.XLOOKUP(C1507,'country region mapping'!$A$2:$A$267,'country region mapping'!$F$2:$F$267)</f>
        <v>#NAME?</v>
      </c>
      <c r="F1507" s="1" t="e">
        <f t="array" aca="1" ref="F1507" ca="1">_xludf.XLOOKUP(C1507,'country region mapping'!$A$2:$A$267,'country region mapping'!$G$2:$G$267)</f>
        <v>#NAME?</v>
      </c>
      <c r="G1507" s="1">
        <v>6.7389999999999999</v>
      </c>
      <c r="H1507" s="1">
        <v>11</v>
      </c>
      <c r="I1507" s="1">
        <v>51</v>
      </c>
      <c r="J1507" s="1">
        <v>3</v>
      </c>
      <c r="K1507" s="1">
        <v>2</v>
      </c>
      <c r="L1507" s="1">
        <v>26</v>
      </c>
      <c r="M1507" s="1">
        <v>19</v>
      </c>
      <c r="N1507" s="1">
        <v>2</v>
      </c>
      <c r="O1507" s="1">
        <v>40</v>
      </c>
      <c r="P1507" s="1">
        <v>4</v>
      </c>
      <c r="Q1507" s="1">
        <v>19</v>
      </c>
      <c r="R1507" s="1">
        <v>54</v>
      </c>
      <c r="S1507" s="1">
        <v>80</v>
      </c>
    </row>
    <row r="1508" spans="1:19">
      <c r="A1508" s="1">
        <v>2015</v>
      </c>
      <c r="B1508" s="1">
        <v>23</v>
      </c>
      <c r="C1508" s="1" t="s">
        <v>64</v>
      </c>
      <c r="D1508" s="1" t="e">
        <f t="array" aca="1" ref="D1508" ca="1">_xludf.XLOOKUP(C1508,'country region mapping'!$A$2:$A$267,'country region mapping'!$E$2:$E$267)</f>
        <v>#NAME?</v>
      </c>
      <c r="E1508" s="1" t="e">
        <f t="array" aca="1" ref="E1508" ca="1">_xludf.XLOOKUP(C1508,'country region mapping'!$A$2:$A$267,'country region mapping'!$F$2:$F$267)</f>
        <v>#NAME?</v>
      </c>
      <c r="F1508" s="1" t="e">
        <f t="array" aca="1" ref="F1508" ca="1">_xludf.XLOOKUP(C1508,'country region mapping'!$A$2:$A$267,'country region mapping'!$G$2:$G$267)</f>
        <v>#NAME?</v>
      </c>
      <c r="G1508" s="1">
        <v>6.7249999999999996</v>
      </c>
      <c r="H1508" s="1">
        <v>26</v>
      </c>
      <c r="I1508" s="1">
        <v>14</v>
      </c>
      <c r="J1508" s="1">
        <v>24</v>
      </c>
      <c r="K1508" s="1">
        <v>29</v>
      </c>
      <c r="L1508" s="1">
        <v>41</v>
      </c>
      <c r="M1508" s="1">
        <v>7</v>
      </c>
      <c r="N1508" s="1">
        <v>16</v>
      </c>
      <c r="O1508" s="1">
        <v>37</v>
      </c>
      <c r="P1508" s="1">
        <v>41</v>
      </c>
      <c r="Q1508" s="1">
        <v>7</v>
      </c>
      <c r="R1508" s="1">
        <v>22</v>
      </c>
      <c r="S1508" s="1">
        <v>34</v>
      </c>
    </row>
    <row r="1509" spans="1:19">
      <c r="A1509" s="1">
        <v>2015</v>
      </c>
      <c r="B1509" s="1">
        <v>24</v>
      </c>
      <c r="C1509" s="1" t="s">
        <v>66</v>
      </c>
      <c r="D1509" s="1" t="e">
        <f t="array" aca="1" ref="D1509" ca="1">_xludf.XLOOKUP(C1509,'country region mapping'!$A$2:$A$250, 'country region mapping'!$E$2:$E$250)</f>
        <v>#NAME?</v>
      </c>
      <c r="E1509" s="1" t="e">
        <f t="array" aca="1" ref="E1509" ca="1">_xludf.XLOOKUP(C1509,'country region mapping'!$A$2:$A$267,'country region mapping'!$F$2:$F$267)</f>
        <v>#NAME?</v>
      </c>
      <c r="F1509" s="1" t="e">
        <f t="array" aca="1" ref="F1509" ca="1">_xludf.XLOOKUP(C1509,'country region mapping'!$A$2:$A$267,'country region mapping'!$G$2:$G$267)</f>
        <v>#NAME?</v>
      </c>
      <c r="G1509" s="1">
        <v>6.7050000000000001</v>
      </c>
      <c r="H1509" s="1">
        <v>50</v>
      </c>
      <c r="I1509" s="1">
        <v>70</v>
      </c>
      <c r="J1509" s="1">
        <v>50</v>
      </c>
      <c r="K1509" s="1">
        <v>32</v>
      </c>
      <c r="L1509" s="1">
        <v>72</v>
      </c>
      <c r="M1509" s="1">
        <v>43</v>
      </c>
      <c r="N1509" s="1">
        <v>69</v>
      </c>
      <c r="O1509" s="1">
        <v>28</v>
      </c>
      <c r="P1509" s="1">
        <v>108</v>
      </c>
      <c r="Q1509" s="1">
        <v>43</v>
      </c>
      <c r="R1509" s="1">
        <v>93</v>
      </c>
      <c r="S1509" s="1">
        <v>41</v>
      </c>
    </row>
    <row r="1510" spans="1:19">
      <c r="A1510" s="1">
        <v>2015</v>
      </c>
      <c r="B1510" s="1">
        <v>25</v>
      </c>
      <c r="C1510" s="1" t="s">
        <v>67</v>
      </c>
      <c r="D1510" s="1" t="e">
        <f t="array" aca="1" ref="D1510" ca="1">_xludf.XLOOKUP(C1510,'country region mapping'!$A$2:$A$250, 'country region mapping'!$E$2:$E$250)</f>
        <v>#NAME?</v>
      </c>
      <c r="E1510" s="1" t="e">
        <f t="array" aca="1" ref="E1510" ca="1">_xludf.XLOOKUP(C1510,'country region mapping'!$A$2:$A$267,'country region mapping'!$F$2:$F$267)</f>
        <v>#NAME?</v>
      </c>
      <c r="F1510" s="1" t="e">
        <f t="array" aca="1" ref="F1510" ca="1">_xludf.XLOOKUP(C1510,'country region mapping'!$A$2:$A$267,'country region mapping'!$G$2:$G$267)</f>
        <v>#NAME?</v>
      </c>
      <c r="G1510" s="1">
        <v>6.7009999999999996</v>
      </c>
      <c r="H1510" s="1">
        <v>121</v>
      </c>
      <c r="I1510" s="1">
        <v>45</v>
      </c>
      <c r="J1510" s="1">
        <v>45</v>
      </c>
      <c r="K1510" s="1">
        <v>36</v>
      </c>
      <c r="L1510" s="1">
        <v>39</v>
      </c>
      <c r="M1510" s="1">
        <v>46</v>
      </c>
      <c r="N1510" s="1">
        <v>66</v>
      </c>
      <c r="O1510" s="1">
        <v>22</v>
      </c>
      <c r="P1510" s="1">
        <v>66</v>
      </c>
      <c r="Q1510" s="1">
        <v>46</v>
      </c>
      <c r="R1510" s="1">
        <v>23</v>
      </c>
      <c r="S1510" s="1">
        <v>39</v>
      </c>
    </row>
    <row r="1511" spans="1:19">
      <c r="A1511" s="1">
        <v>2015</v>
      </c>
      <c r="B1511" s="1">
        <v>26</v>
      </c>
      <c r="C1511" s="1" t="s">
        <v>69</v>
      </c>
      <c r="D1511" s="1" t="e">
        <f t="array" aca="1" ref="D1511" ca="1">_xludf.XLOOKUP(C1511,'country region mapping'!$A$2:$A$250, 'country region mapping'!$E$2:$E$250)</f>
        <v>#NAME?</v>
      </c>
      <c r="E1511" s="1" t="e">
        <f t="array" aca="1" ref="E1511" ca="1">_xludf.XLOOKUP(C1511,'country region mapping'!$A$2:$A$267,'country region mapping'!$F$2:$F$267)</f>
        <v>#NAME?</v>
      </c>
      <c r="F1511" s="1" t="e">
        <f t="array" aca="1" ref="F1511" ca="1">_xludf.XLOOKUP(C1511,'country region mapping'!$A$2:$A$267,'country region mapping'!$G$2:$G$267)</f>
        <v>#NAME?</v>
      </c>
      <c r="G1511" s="1">
        <v>6.65</v>
      </c>
      <c r="H1511" s="1">
        <v>53</v>
      </c>
      <c r="I1511" s="1">
        <v>20</v>
      </c>
      <c r="J1511" s="1">
        <v>49</v>
      </c>
      <c r="K1511" s="1">
        <v>51</v>
      </c>
      <c r="L1511" s="1">
        <v>29</v>
      </c>
      <c r="M1511" s="1">
        <v>109</v>
      </c>
      <c r="N1511" s="1">
        <v>90</v>
      </c>
      <c r="O1511" s="1">
        <v>25</v>
      </c>
      <c r="P1511" s="1">
        <v>91</v>
      </c>
      <c r="Q1511" s="1">
        <v>109</v>
      </c>
      <c r="R1511" s="1">
        <v>67</v>
      </c>
      <c r="S1511" s="1">
        <v>69</v>
      </c>
    </row>
    <row r="1512" spans="1:19">
      <c r="A1512" s="1">
        <v>2015</v>
      </c>
      <c r="B1512" s="1">
        <v>27</v>
      </c>
      <c r="C1512" s="1" t="s">
        <v>70</v>
      </c>
      <c r="D1512" s="1" t="e">
        <f t="array" aca="1" ref="D1512" ca="1">_xludf.XLOOKUP(C1512,'country region mapping'!$A$2:$A$250, 'country region mapping'!$E$2:$E$250)</f>
        <v>#NAME?</v>
      </c>
      <c r="E1512" s="1" t="e">
        <f t="array" aca="1" ref="E1512" ca="1">_xludf.XLOOKUP(C1512,'country region mapping'!$A$2:$A$267,'country region mapping'!$F$2:$F$267)</f>
        <v>#NAME?</v>
      </c>
      <c r="F1512" s="1" t="e">
        <f t="array" aca="1" ref="F1512" ca="1">_xludf.XLOOKUP(C1512,'country region mapping'!$A$2:$A$267,'country region mapping'!$G$2:$G$267)</f>
        <v>#NAME?</v>
      </c>
      <c r="G1512" s="1">
        <v>6.5960000000000001</v>
      </c>
      <c r="H1512" s="1">
        <v>36</v>
      </c>
      <c r="I1512" s="1">
        <v>28</v>
      </c>
      <c r="J1512" s="1">
        <v>31</v>
      </c>
      <c r="K1512" s="1">
        <v>35</v>
      </c>
      <c r="L1512" s="1">
        <v>52</v>
      </c>
      <c r="M1512" s="1">
        <v>84</v>
      </c>
      <c r="N1512" s="1">
        <v>109</v>
      </c>
      <c r="O1512" s="1">
        <v>57</v>
      </c>
      <c r="P1512" s="1">
        <v>29</v>
      </c>
      <c r="Q1512" s="1">
        <v>84</v>
      </c>
      <c r="R1512" s="1">
        <v>102</v>
      </c>
      <c r="S1512" s="1">
        <v>135</v>
      </c>
    </row>
    <row r="1513" spans="1:19">
      <c r="A1513" s="1">
        <v>2015</v>
      </c>
      <c r="B1513" s="1">
        <v>42</v>
      </c>
      <c r="C1513" s="1" t="s">
        <v>90</v>
      </c>
      <c r="D1513" s="1" t="e">
        <f t="array" aca="1" ref="D1513" ca="1">_xludf.XLOOKUP(C1513,'country region mapping'!$A$2:$A$250, 'country region mapping'!$E$2:$E$250)</f>
        <v>#NAME?</v>
      </c>
      <c r="E1513" s="1" t="e">
        <f t="array" aca="1" ref="E1513" ca="1">_xludf.XLOOKUP(C1513,'country region mapping'!$A$2:$A$267,'country region mapping'!$F$2:$F$267)</f>
        <v>#NAME?</v>
      </c>
      <c r="F1513" s="1" t="e">
        <f t="array" aca="1" ref="F1513" ca="1">_xludf.XLOOKUP(C1513,'country region mapping'!$A$2:$A$267,'country region mapping'!$G$2:$G$267)</f>
        <v>#NAME?</v>
      </c>
      <c r="G1513" s="1">
        <v>6.218</v>
      </c>
      <c r="H1513" s="1">
        <v>83</v>
      </c>
      <c r="I1513" s="1">
        <v>60</v>
      </c>
      <c r="J1513" s="1">
        <v>19</v>
      </c>
      <c r="K1513" s="1">
        <v>62</v>
      </c>
      <c r="L1513" s="1">
        <v>37</v>
      </c>
      <c r="M1513" s="1">
        <v>24</v>
      </c>
      <c r="O1513" s="14">
        <v>74</v>
      </c>
      <c r="P1513" s="14">
        <v>89</v>
      </c>
      <c r="Q1513" s="14">
        <v>24</v>
      </c>
      <c r="R1513" s="14">
        <v>34</v>
      </c>
      <c r="S1513" s="14">
        <v>15</v>
      </c>
    </row>
    <row r="1514" spans="1:19">
      <c r="A1514" s="1">
        <v>2015</v>
      </c>
      <c r="B1514" s="1">
        <v>29</v>
      </c>
      <c r="C1514" s="1" t="s">
        <v>73</v>
      </c>
      <c r="D1514" s="1" t="e">
        <f t="array" aca="1" ref="D1514" ca="1">_xludf.XLOOKUP(C1514,'country region mapping'!$A$2:$A$250, 'country region mapping'!$E$2:$E$250)</f>
        <v>#NAME?</v>
      </c>
      <c r="E1514" s="1" t="e">
        <f t="array" aca="1" ref="E1514" ca="1">_xludf.XLOOKUP(C1514,'country region mapping'!$A$2:$A$267,'country region mapping'!$F$2:$F$267)</f>
        <v>#NAME?</v>
      </c>
      <c r="F1514" s="1" t="e">
        <f t="array" aca="1" ref="F1514" ca="1">_xludf.XLOOKUP(C1514,'country region mapping'!$A$2:$A$267,'country region mapping'!$G$2:$G$267)</f>
        <v>#NAME?</v>
      </c>
      <c r="G1514" s="1">
        <v>6.5449999999999999</v>
      </c>
      <c r="H1514" s="1">
        <v>87</v>
      </c>
      <c r="I1514" s="1">
        <v>41</v>
      </c>
      <c r="J1514" s="1">
        <v>48</v>
      </c>
      <c r="K1514" s="1">
        <v>47</v>
      </c>
      <c r="L1514" s="1">
        <v>14</v>
      </c>
      <c r="M1514" s="1">
        <v>59</v>
      </c>
      <c r="N1514" s="1">
        <v>33</v>
      </c>
      <c r="O1514" s="1">
        <v>8</v>
      </c>
      <c r="P1514" s="1">
        <v>85</v>
      </c>
      <c r="Q1514" s="1">
        <v>59</v>
      </c>
      <c r="R1514" s="1">
        <v>62</v>
      </c>
      <c r="S1514" s="1">
        <v>37</v>
      </c>
    </row>
    <row r="1515" spans="1:19">
      <c r="A1515" s="1">
        <v>2015</v>
      </c>
      <c r="B1515" s="1">
        <v>30</v>
      </c>
      <c r="C1515" s="1" t="s">
        <v>74</v>
      </c>
      <c r="D1515" s="1" t="e">
        <f t="array" aca="1" ref="D1515" ca="1">_xludf.XLOOKUP(C1515,'country region mapping'!$A$2:$A$250, 'country region mapping'!$E$2:$E$250)</f>
        <v>#NAME?</v>
      </c>
      <c r="E1515" s="1" t="e">
        <f t="array" aca="1" ref="E1515" ca="1">_xludf.XLOOKUP(C1515,'country region mapping'!$A$2:$A$267,'country region mapping'!$F$2:$F$267)</f>
        <v>#NAME?</v>
      </c>
      <c r="F1515" s="1" t="e">
        <f t="array" aca="1" ref="F1515" ca="1">_xludf.XLOOKUP(C1515,'country region mapping'!$A$2:$A$267,'country region mapping'!$G$2:$G$267)</f>
        <v>#NAME?</v>
      </c>
      <c r="G1515" s="1">
        <v>6.4880000000000004</v>
      </c>
      <c r="H1515" s="1">
        <v>42</v>
      </c>
      <c r="I1515" s="1">
        <v>25</v>
      </c>
      <c r="J1515" s="1">
        <v>26</v>
      </c>
      <c r="K1515" s="1">
        <v>10</v>
      </c>
      <c r="L1515" s="1">
        <v>16</v>
      </c>
      <c r="M1515" s="1">
        <v>4</v>
      </c>
      <c r="N1515" s="1">
        <v>30</v>
      </c>
      <c r="O1515" s="1">
        <v>81</v>
      </c>
      <c r="P1515" s="1">
        <v>119</v>
      </c>
      <c r="Q1515" s="1">
        <v>4</v>
      </c>
      <c r="R1515" s="1">
        <v>36</v>
      </c>
      <c r="S1515" s="1">
        <v>87</v>
      </c>
    </row>
    <row r="1516" spans="1:19">
      <c r="A1516" s="1">
        <v>2015</v>
      </c>
      <c r="B1516" s="1">
        <v>31</v>
      </c>
      <c r="C1516" s="1" t="s">
        <v>75</v>
      </c>
      <c r="D1516" s="1" t="e">
        <f t="array" aca="1" ref="D1516" ca="1">_xludf.XLOOKUP(C1516,'country region mapping'!$A$2:$A$250, 'country region mapping'!$E$2:$E$250)</f>
        <v>#NAME?</v>
      </c>
      <c r="E1516" s="1" t="e">
        <f t="array" aca="1" ref="E1516" ca="1">_xludf.XLOOKUP(C1516,'country region mapping'!$A$2:$A$267,'country region mapping'!$F$2:$F$267)</f>
        <v>#NAME?</v>
      </c>
      <c r="F1516" s="1" t="e">
        <f t="array" aca="1" ref="F1516" ca="1">_xludf.XLOOKUP(C1516,'country region mapping'!$A$2:$A$267,'country region mapping'!$G$2:$G$267)</f>
        <v>#NAME?</v>
      </c>
      <c r="G1516" s="1">
        <v>6.4809999999999999</v>
      </c>
      <c r="H1516" s="1">
        <v>100</v>
      </c>
      <c r="I1516" s="1">
        <v>42</v>
      </c>
      <c r="J1516" s="1">
        <v>65</v>
      </c>
      <c r="K1516" s="1">
        <v>39</v>
      </c>
      <c r="L1516" s="1">
        <v>66</v>
      </c>
      <c r="M1516" s="1">
        <v>90</v>
      </c>
      <c r="N1516" s="1">
        <v>85</v>
      </c>
      <c r="O1516" s="1">
        <v>10</v>
      </c>
      <c r="P1516" s="1">
        <v>80</v>
      </c>
      <c r="Q1516" s="1">
        <v>90</v>
      </c>
      <c r="R1516" s="1">
        <v>72</v>
      </c>
      <c r="S1516" s="1">
        <v>44</v>
      </c>
    </row>
    <row r="1517" spans="1:19">
      <c r="A1517" s="1">
        <v>2015</v>
      </c>
      <c r="B1517" s="1">
        <v>32</v>
      </c>
      <c r="C1517" s="1" t="s">
        <v>76</v>
      </c>
      <c r="D1517" s="1" t="e">
        <f t="array" aca="1" ref="D1517" ca="1">_xludf.XLOOKUP(C1517,'country region mapping'!$A$2:$A$250, 'country region mapping'!$E$2:$E$250)</f>
        <v>#NAME?</v>
      </c>
      <c r="E1517" s="1" t="e">
        <f t="array" aca="1" ref="E1517" ca="1">_xludf.XLOOKUP(C1517,'country region mapping'!$A$2:$A$267,'country region mapping'!$F$2:$F$267)</f>
        <v>#NAME?</v>
      </c>
      <c r="F1517" s="1" t="e">
        <f t="array" aca="1" ref="F1517" ca="1">_xludf.XLOOKUP(C1517,'country region mapping'!$A$2:$A$267,'country region mapping'!$G$2:$G$267)</f>
        <v>#NAME?</v>
      </c>
      <c r="G1517" s="1">
        <v>6.4779999999999998</v>
      </c>
      <c r="H1517" s="1">
        <v>41</v>
      </c>
      <c r="I1517" s="1">
        <v>38</v>
      </c>
      <c r="J1517" s="1">
        <v>23</v>
      </c>
      <c r="K1517" s="1">
        <v>14</v>
      </c>
      <c r="L1517" s="1">
        <v>46</v>
      </c>
      <c r="M1517" s="1">
        <v>75</v>
      </c>
      <c r="N1517" s="1">
        <v>28</v>
      </c>
      <c r="O1517" s="1">
        <v>38</v>
      </c>
      <c r="P1517" s="1">
        <v>37</v>
      </c>
      <c r="Q1517" s="1">
        <v>75</v>
      </c>
      <c r="R1517" s="1">
        <v>32</v>
      </c>
      <c r="S1517" s="1">
        <v>117</v>
      </c>
    </row>
    <row r="1518" spans="1:19">
      <c r="A1518" s="1">
        <v>2015</v>
      </c>
      <c r="B1518" s="1">
        <v>33</v>
      </c>
      <c r="C1518" s="1" t="s">
        <v>78</v>
      </c>
      <c r="D1518" s="1" t="e">
        <f t="array" aca="1" ref="D1518" ca="1">_xludf.XLOOKUP(C1518,'country region mapping'!$A$2:$A$250, 'country region mapping'!$E$2:$E$250)</f>
        <v>#NAME?</v>
      </c>
      <c r="E1518" s="1" t="e">
        <f t="array" aca="1" ref="E1518" ca="1">_xludf.XLOOKUP(C1518,'country region mapping'!$A$2:$A$267,'country region mapping'!$F$2:$F$267)</f>
        <v>#NAME?</v>
      </c>
      <c r="F1518" s="1" t="e">
        <f t="array" aca="1" ref="F1518" ca="1">_xludf.XLOOKUP(C1518,'country region mapping'!$A$2:$A$267,'country region mapping'!$G$2:$G$267)</f>
        <v>#NAME?</v>
      </c>
      <c r="G1518" s="1">
        <v>6.4740000000000002</v>
      </c>
      <c r="H1518" s="1">
        <v>31</v>
      </c>
      <c r="I1518" s="1">
        <v>52</v>
      </c>
      <c r="J1518" s="1">
        <v>61</v>
      </c>
      <c r="K1518" s="1">
        <v>44</v>
      </c>
      <c r="L1518" s="1">
        <v>27</v>
      </c>
      <c r="M1518" s="1">
        <v>12</v>
      </c>
      <c r="N1518" s="1">
        <v>121</v>
      </c>
      <c r="O1518" s="1">
        <v>1</v>
      </c>
      <c r="P1518" s="1">
        <v>13</v>
      </c>
      <c r="Q1518" s="1">
        <v>12</v>
      </c>
      <c r="R1518" s="1">
        <v>83</v>
      </c>
      <c r="S1518" s="1">
        <v>99</v>
      </c>
    </row>
    <row r="1519" spans="1:19">
      <c r="A1519" s="1">
        <v>2015</v>
      </c>
      <c r="B1519" s="1">
        <v>55</v>
      </c>
      <c r="C1519" s="1" t="s">
        <v>285</v>
      </c>
      <c r="D1519" s="1" t="e">
        <f t="array" aca="1" ref="D1519" ca="1">_xludf.XLOOKUP(C1519,'country region mapping'!$A$2:$A$267,'country region mapping'!$E$2:$E$267)</f>
        <v>#NAME?</v>
      </c>
      <c r="E1519" s="1" t="e">
        <f t="array" aca="1" ref="E1519" ca="1">_xludf.XLOOKUP(C1519,'country region mapping'!$A$2:$A$267,'country region mapping'!$F$2:$F$267)</f>
        <v>#NAME?</v>
      </c>
      <c r="F1519" s="1" t="e">
        <f t="array" aca="1" ref="F1519" ca="1">_xludf.XLOOKUP(C1519,'country region mapping'!$A$2:$A$267,'country region mapping'!$G$2:$G$267)</f>
        <v>#NAME?</v>
      </c>
      <c r="G1519" s="1">
        <v>5.8970000000000002</v>
      </c>
      <c r="H1519" s="1">
        <v>22</v>
      </c>
      <c r="I1519" s="1">
        <v>65</v>
      </c>
      <c r="J1519" s="1">
        <v>87</v>
      </c>
      <c r="K1519" s="1">
        <v>87</v>
      </c>
      <c r="L1519" s="1">
        <v>118</v>
      </c>
      <c r="M1519" s="1">
        <v>99</v>
      </c>
      <c r="N1519" s="1">
        <v>127</v>
      </c>
      <c r="O1519" s="1">
        <v>111</v>
      </c>
      <c r="P1519" s="1">
        <v>75</v>
      </c>
      <c r="Q1519" s="1">
        <v>99</v>
      </c>
      <c r="R1519" s="1">
        <v>86</v>
      </c>
      <c r="S1519" s="1">
        <v>118</v>
      </c>
    </row>
    <row r="1520" spans="1:19">
      <c r="A1520" s="1">
        <v>2015</v>
      </c>
      <c r="B1520" s="1">
        <v>35</v>
      </c>
      <c r="C1520" s="1" t="s">
        <v>81</v>
      </c>
      <c r="D1520" s="1" t="e">
        <f t="array" aca="1" ref="D1520" ca="1">_xludf.XLOOKUP(C1520,'country region mapping'!$A$2:$A$267,'country region mapping'!$E$2:$E$267)</f>
        <v>#NAME?</v>
      </c>
      <c r="E1520" s="1" t="e">
        <f t="array" aca="1" ref="E1520" ca="1">_xludf.XLOOKUP(C1520,'country region mapping'!$A$2:$A$267,'country region mapping'!$F$2:$F$267)</f>
        <v>#NAME?</v>
      </c>
      <c r="F1520" s="1" t="e">
        <f t="array" aca="1" ref="F1520" ca="1">_xludf.XLOOKUP(C1520,'country region mapping'!$A$2:$A$267,'country region mapping'!$G$2:$G$267)</f>
        <v>#NAME?</v>
      </c>
      <c r="G1520" s="1">
        <v>6.3789999999999996</v>
      </c>
      <c r="H1520" s="1">
        <v>38</v>
      </c>
      <c r="I1520" s="1">
        <v>43</v>
      </c>
      <c r="J1520" s="1">
        <v>22</v>
      </c>
      <c r="K1520" s="1"/>
      <c r="L1520" s="1">
        <v>91</v>
      </c>
      <c r="M1520" s="1">
        <v>40</v>
      </c>
      <c r="N1520" s="1">
        <v>93</v>
      </c>
      <c r="O1520" s="1">
        <v>30</v>
      </c>
      <c r="P1520" s="1">
        <v>2</v>
      </c>
      <c r="Q1520" s="1">
        <v>40</v>
      </c>
      <c r="R1520" s="1">
        <v>82</v>
      </c>
      <c r="S1520" s="1">
        <v>46</v>
      </c>
    </row>
    <row r="1521" spans="1:19">
      <c r="A1521" s="1">
        <v>2015</v>
      </c>
      <c r="B1521" s="1">
        <v>65</v>
      </c>
      <c r="C1521" s="1" t="s">
        <v>120</v>
      </c>
      <c r="D1521" s="1" t="e">
        <f t="array" aca="1" ref="D1521" ca="1">_xludf.XLOOKUP(C1521,'country region mapping'!$A$2:$A$250, 'country region mapping'!$E$2:$E$250)</f>
        <v>#NAME?</v>
      </c>
      <c r="E1521" s="1" t="e">
        <f t="array" aca="1" ref="E1521" ca="1">_xludf.XLOOKUP(C1521,'country region mapping'!$A$2:$A$267,'country region mapping'!$F$2:$F$267)</f>
        <v>#NAME?</v>
      </c>
      <c r="F1521" s="1" t="e">
        <f t="array" aca="1" ref="F1521" ca="1">_xludf.XLOOKUP(C1521,'country region mapping'!$A$2:$A$267,'country region mapping'!$G$2:$G$267)</f>
        <v>#NAME?</v>
      </c>
      <c r="G1521" s="1">
        <v>5.6580000000000004</v>
      </c>
      <c r="H1521" s="1">
        <v>10</v>
      </c>
      <c r="I1521" s="1">
        <v>4</v>
      </c>
      <c r="J1521" s="1">
        <v>83</v>
      </c>
      <c r="K1521" s="1">
        <v>95</v>
      </c>
      <c r="L1521" s="1">
        <v>90</v>
      </c>
      <c r="M1521" s="1">
        <v>41</v>
      </c>
      <c r="O1521" s="14">
        <v>85</v>
      </c>
      <c r="P1521" s="14">
        <v>86</v>
      </c>
      <c r="Q1521" s="14">
        <v>41</v>
      </c>
      <c r="R1521" s="14">
        <v>1</v>
      </c>
      <c r="S1521" s="14">
        <v>82</v>
      </c>
    </row>
    <row r="1522" spans="1:19">
      <c r="A1522" s="1">
        <v>2015</v>
      </c>
      <c r="B1522" s="1">
        <v>67</v>
      </c>
      <c r="C1522" s="1" t="s">
        <v>122</v>
      </c>
      <c r="D1522" s="1" t="e">
        <f t="array" aca="1" ref="D1522" ca="1">_xludf.XLOOKUP(C1522,'country region mapping'!$A$2:$A$250, 'country region mapping'!$E$2:$E$250)</f>
        <v>#NAME?</v>
      </c>
      <c r="E1522" s="1" t="e">
        <f t="array" aca="1" ref="E1522" ca="1">_xludf.XLOOKUP(C1522,'country region mapping'!$A$2:$A$267,'country region mapping'!$F$2:$F$267)</f>
        <v>#NAME?</v>
      </c>
      <c r="F1522" s="1" t="e">
        <f t="array" aca="1" ref="F1522" ca="1">_xludf.XLOOKUP(C1522,'country region mapping'!$A$2:$A$267,'country region mapping'!$G$2:$G$267)</f>
        <v>#NAME?</v>
      </c>
      <c r="G1522" s="1">
        <v>5.6150000000000002</v>
      </c>
      <c r="H1522" s="1">
        <v>128</v>
      </c>
      <c r="I1522" s="1">
        <v>50</v>
      </c>
      <c r="J1522" s="1">
        <v>86</v>
      </c>
      <c r="K1522" s="1">
        <v>86</v>
      </c>
      <c r="L1522" s="1">
        <v>70</v>
      </c>
      <c r="M1522" s="1">
        <v>78</v>
      </c>
      <c r="O1522" s="14">
        <v>75</v>
      </c>
      <c r="P1522" s="14">
        <v>123</v>
      </c>
      <c r="Q1522" s="14">
        <v>78</v>
      </c>
      <c r="R1522" s="14">
        <v>76</v>
      </c>
      <c r="S1522" s="14">
        <v>2</v>
      </c>
    </row>
    <row r="1523" spans="1:19">
      <c r="A1523" s="1">
        <v>2015</v>
      </c>
      <c r="B1523" s="1">
        <v>38</v>
      </c>
      <c r="C1523" s="1" t="s">
        <v>85</v>
      </c>
      <c r="D1523" s="1" t="e">
        <f t="array" aca="1" ref="D1523" ca="1">_xludf.XLOOKUP(C1523,'country region mapping'!$A$2:$A$250, 'country region mapping'!$E$2:$E$250)</f>
        <v>#NAME?</v>
      </c>
      <c r="E1523" s="1" t="e">
        <f t="array" aca="1" ref="E1523" ca="1">_xludf.XLOOKUP(C1523,'country region mapping'!$A$2:$A$267,'country region mapping'!$F$2:$F$267)</f>
        <v>#NAME?</v>
      </c>
      <c r="F1523" s="1" t="e">
        <f t="array" aca="1" ref="F1523" ca="1">_xludf.XLOOKUP(C1523,'country region mapping'!$A$2:$A$267,'country region mapping'!$G$2:$G$267)</f>
        <v>#NAME?</v>
      </c>
      <c r="G1523" s="1">
        <v>6.3550000000000004</v>
      </c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</row>
    <row r="1524" spans="1:19">
      <c r="A1524" s="1">
        <v>2015</v>
      </c>
      <c r="B1524" s="1">
        <v>39</v>
      </c>
      <c r="C1524" s="1" t="s">
        <v>86</v>
      </c>
      <c r="D1524" s="1" t="e">
        <f t="array" aca="1" ref="D1524" ca="1">_xludf.XLOOKUP(C1524,'country region mapping'!$A$2:$A$250, 'country region mapping'!$E$2:$E$250)</f>
        <v>#NAME?</v>
      </c>
      <c r="E1524" s="1" t="e">
        <f t="array" aca="1" ref="E1524" ca="1">_xludf.XLOOKUP(C1524,'country region mapping'!$A$2:$A$267,'country region mapping'!$F$2:$F$267)</f>
        <v>#NAME?</v>
      </c>
      <c r="F1524" s="1" t="e">
        <f t="array" aca="1" ref="F1524" ca="1">_xludf.XLOOKUP(C1524,'country region mapping'!$A$2:$A$267,'country region mapping'!$G$2:$G$267)</f>
        <v>#NAME?</v>
      </c>
      <c r="G1524" s="1">
        <v>6.3239999999999998</v>
      </c>
      <c r="H1524" s="1">
        <v>135</v>
      </c>
      <c r="I1524" s="1">
        <v>74</v>
      </c>
      <c r="J1524" s="1">
        <v>89</v>
      </c>
      <c r="K1524" s="1">
        <v>90</v>
      </c>
      <c r="L1524" s="1">
        <v>31</v>
      </c>
      <c r="M1524" s="1">
        <v>51</v>
      </c>
      <c r="N1524" s="1">
        <v>72</v>
      </c>
      <c r="O1524" s="1">
        <v>5</v>
      </c>
      <c r="P1524" s="1">
        <v>92</v>
      </c>
      <c r="Q1524" s="1">
        <v>51</v>
      </c>
      <c r="R1524" s="1">
        <v>17</v>
      </c>
      <c r="S1524" s="1">
        <v>31</v>
      </c>
    </row>
    <row r="1525" spans="1:19">
      <c r="A1525" s="1">
        <v>2015</v>
      </c>
      <c r="B1525" s="1">
        <v>40</v>
      </c>
      <c r="C1525" s="1" t="s">
        <v>87</v>
      </c>
      <c r="D1525" s="1" t="e">
        <f t="array" aca="1" ref="D1525" ca="1">_xludf.XLOOKUP(C1525,'country region mapping'!$A$2:$A$250, 'country region mapping'!$E$2:$E$250)</f>
        <v>#NAME?</v>
      </c>
      <c r="E1525" s="1" t="e">
        <f t="array" aca="1" ref="E1525" ca="1">_xludf.XLOOKUP(C1525,'country region mapping'!$A$2:$A$267,'country region mapping'!$F$2:$F$267)</f>
        <v>#NAME?</v>
      </c>
      <c r="F1525" s="1" t="e">
        <f t="array" aca="1" ref="F1525" ca="1">_xludf.XLOOKUP(C1525,'country region mapping'!$A$2:$A$267,'country region mapping'!$G$2:$G$267)</f>
        <v>#NAME?</v>
      </c>
      <c r="G1525" s="1">
        <v>6.2690000000000001</v>
      </c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</row>
    <row r="1526" spans="1:19">
      <c r="A1526" s="1">
        <v>2015</v>
      </c>
      <c r="B1526" s="1">
        <v>77</v>
      </c>
      <c r="C1526" s="1" t="s">
        <v>135</v>
      </c>
      <c r="D1526" s="1" t="e">
        <f t="array" aca="1" ref="D1526" ca="1">_xludf.XLOOKUP(C1526,'country region mapping'!$A$2:$A$267,'country region mapping'!$E$2:$E$267)</f>
        <v>#NAME?</v>
      </c>
      <c r="E1526" s="1" t="e">
        <f t="array" aca="1" ref="E1526" ca="1">_xludf.XLOOKUP(C1526,'country region mapping'!$A$2:$A$267,'country region mapping'!$F$2:$F$267)</f>
        <v>#NAME?</v>
      </c>
      <c r="F1526" s="1" t="e">
        <f t="array" aca="1" ref="F1526" ca="1">_xludf.XLOOKUP(C1526,'country region mapping'!$A$2:$A$267,'country region mapping'!$G$2:$G$267)</f>
        <v>#NAME?</v>
      </c>
      <c r="G1526" s="1">
        <v>5.4009999999999998</v>
      </c>
      <c r="H1526" s="1">
        <v>98</v>
      </c>
      <c r="I1526" s="1">
        <v>81</v>
      </c>
      <c r="J1526" s="1">
        <v>90</v>
      </c>
      <c r="K1526" s="1"/>
      <c r="L1526" s="1">
        <v>124</v>
      </c>
      <c r="M1526" s="1">
        <v>34</v>
      </c>
      <c r="N1526" s="1">
        <v>89</v>
      </c>
      <c r="O1526" s="1">
        <v>59</v>
      </c>
      <c r="Q1526" s="14">
        <v>34</v>
      </c>
      <c r="R1526" s="14">
        <v>111</v>
      </c>
      <c r="S1526" s="14">
        <v>64</v>
      </c>
    </row>
    <row r="1527" spans="1:19">
      <c r="A1527" s="1">
        <v>2015</v>
      </c>
      <c r="B1527" s="1">
        <v>80</v>
      </c>
      <c r="C1527" s="1" t="s">
        <v>138</v>
      </c>
      <c r="D1527" s="1" t="e">
        <f t="array" aca="1" ref="D1527" ca="1">_xludf.XLOOKUP(C1527,'country region mapping'!$A$2:$A$250, 'country region mapping'!$E$2:$E$250)</f>
        <v>#NAME?</v>
      </c>
      <c r="E1527" s="1" t="e">
        <f t="array" aca="1" ref="E1527" ca="1">_xludf.XLOOKUP(C1527,'country region mapping'!$A$2:$A$267,'country region mapping'!$F$2:$F$267)</f>
        <v>#NAME?</v>
      </c>
      <c r="F1527" s="1" t="e">
        <f t="array" aca="1" ref="F1527" ca="1">_xludf.XLOOKUP(C1527,'country region mapping'!$A$2:$A$267,'country region mapping'!$G$2:$G$267)</f>
        <v>#NAME?</v>
      </c>
      <c r="G1527" s="1">
        <v>5.3029999999999999</v>
      </c>
      <c r="H1527" s="1">
        <v>116</v>
      </c>
      <c r="I1527" s="1">
        <v>67</v>
      </c>
      <c r="J1527" s="1">
        <v>92</v>
      </c>
      <c r="K1527" s="1">
        <v>38</v>
      </c>
      <c r="L1527" s="1">
        <v>73</v>
      </c>
      <c r="M1527" s="1">
        <v>80</v>
      </c>
      <c r="O1527" s="14">
        <v>94</v>
      </c>
      <c r="P1527" s="14">
        <v>90</v>
      </c>
      <c r="Q1527" s="14">
        <v>80</v>
      </c>
      <c r="R1527" s="14">
        <v>119</v>
      </c>
      <c r="S1527" s="14">
        <v>23</v>
      </c>
    </row>
    <row r="1528" spans="1:19">
      <c r="A1528" s="1">
        <v>2015</v>
      </c>
      <c r="B1528" s="1">
        <v>43</v>
      </c>
      <c r="C1528" s="1" t="s">
        <v>91</v>
      </c>
      <c r="D1528" s="1" t="e">
        <f t="array" aca="1" ref="D1528" ca="1">_xludf.XLOOKUP(C1528,'country region mapping'!$A$2:$A$250, 'country region mapping'!$E$2:$E$250)</f>
        <v>#NAME?</v>
      </c>
      <c r="E1528" s="1" t="e">
        <f t="array" aca="1" ref="E1528" ca="1">_xludf.XLOOKUP(C1528,'country region mapping'!$A$2:$A$267,'country region mapping'!$F$2:$F$267)</f>
        <v>#NAME?</v>
      </c>
      <c r="F1528" s="1" t="e">
        <f t="array" aca="1" ref="F1528" ca="1">_xludf.XLOOKUP(C1528,'country region mapping'!$A$2:$A$267,'country region mapping'!$G$2:$G$267)</f>
        <v>#NAME?</v>
      </c>
      <c r="G1528" s="1">
        <v>6.1680000000000001</v>
      </c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</row>
    <row r="1529" spans="1:19">
      <c r="A1529" s="1">
        <v>2015</v>
      </c>
      <c r="B1529" s="1">
        <v>44</v>
      </c>
      <c r="C1529" s="1" t="s">
        <v>93</v>
      </c>
      <c r="D1529" s="1" t="e">
        <f t="array" aca="1" ref="D1529" ca="1">_xludf.XLOOKUP(C1529,'country region mapping'!$A$2:$A$267,'country region mapping'!$E$2:$E$267)</f>
        <v>#NAME?</v>
      </c>
      <c r="E1529" s="1" t="e">
        <f t="array" aca="1" ref="E1529" ca="1">_xludf.XLOOKUP(C1529,'country region mapping'!$A$2:$A$267,'country region mapping'!$F$2:$F$267)</f>
        <v>#NAME?</v>
      </c>
      <c r="F1529" s="1" t="e">
        <f t="array" aca="1" ref="F1529" ca="1">_xludf.XLOOKUP(C1529,'country region mapping'!$A$2:$A$267,'country region mapping'!$G$2:$G$267)</f>
        <v>#NAME?</v>
      </c>
      <c r="G1529" s="1">
        <v>6.0839999999999996</v>
      </c>
      <c r="H1529" s="1">
        <v>127</v>
      </c>
      <c r="I1529" s="1">
        <v>29</v>
      </c>
      <c r="J1529" s="1">
        <v>107</v>
      </c>
      <c r="K1529" s="1">
        <v>73</v>
      </c>
      <c r="L1529" s="1">
        <v>132</v>
      </c>
      <c r="M1529" s="1">
        <v>115</v>
      </c>
      <c r="N1529" s="1">
        <v>70</v>
      </c>
      <c r="O1529" s="1">
        <v>2</v>
      </c>
      <c r="P1529" s="1">
        <v>42</v>
      </c>
      <c r="Q1529" s="1">
        <v>115</v>
      </c>
      <c r="R1529" s="1">
        <v>106</v>
      </c>
      <c r="S1529" s="1">
        <v>114</v>
      </c>
    </row>
    <row r="1530" spans="1:19">
      <c r="A1530" s="1">
        <v>2015</v>
      </c>
      <c r="B1530" s="1">
        <v>45</v>
      </c>
      <c r="C1530" s="1" t="s">
        <v>95</v>
      </c>
      <c r="D1530" s="1" t="e">
        <f t="array" aca="1" ref="D1530" ca="1">_xludf.XLOOKUP(C1530,'country region mapping'!$A$2:$A$250, 'country region mapping'!$E$2:$E$250)</f>
        <v>#NAME?</v>
      </c>
      <c r="E1530" s="1" t="e">
        <f t="array" aca="1" ref="E1530" ca="1">_xludf.XLOOKUP(C1530,'country region mapping'!$A$2:$A$267,'country region mapping'!$F$2:$F$267)</f>
        <v>#NAME?</v>
      </c>
      <c r="F1530" s="1" t="e">
        <f t="array" aca="1" ref="F1530" ca="1">_xludf.XLOOKUP(C1530,'country region mapping'!$A$2:$A$267,'country region mapping'!$G$2:$G$267)</f>
        <v>#NAME?</v>
      </c>
      <c r="G1530" s="1">
        <v>6.0780000000000003</v>
      </c>
      <c r="H1530" s="1">
        <v>52</v>
      </c>
      <c r="I1530" s="1">
        <v>11</v>
      </c>
      <c r="J1530" s="1">
        <v>39</v>
      </c>
      <c r="K1530" s="1">
        <v>50</v>
      </c>
      <c r="L1530" s="1">
        <v>119</v>
      </c>
      <c r="M1530" s="1">
        <v>83</v>
      </c>
      <c r="N1530" s="1">
        <v>124</v>
      </c>
      <c r="O1530" s="1">
        <v>87</v>
      </c>
      <c r="P1530" s="1">
        <v>69</v>
      </c>
      <c r="Q1530" s="1">
        <v>83</v>
      </c>
      <c r="R1530" s="1">
        <v>117</v>
      </c>
      <c r="S1530" s="1">
        <v>133</v>
      </c>
    </row>
    <row r="1531" spans="1:19">
      <c r="A1531" s="1">
        <v>2015</v>
      </c>
      <c r="B1531" s="1">
        <v>46</v>
      </c>
      <c r="C1531" s="1" t="s">
        <v>96</v>
      </c>
      <c r="D1531" s="1" t="e">
        <f t="array" aca="1" ref="D1531" ca="1">_xludf.XLOOKUP(C1531,'country region mapping'!$A$2:$A$250, 'country region mapping'!$E$2:$E$250)</f>
        <v>#NAME?</v>
      </c>
      <c r="E1531" s="1" t="e">
        <f t="array" aca="1" ref="E1531" ca="1">_xludf.XLOOKUP(C1531,'country region mapping'!$A$2:$A$267,'country region mapping'!$F$2:$F$267)</f>
        <v>#NAME?</v>
      </c>
      <c r="F1531" s="1" t="e">
        <f t="array" aca="1" ref="F1531" ca="1">_xludf.XLOOKUP(C1531,'country region mapping'!$A$2:$A$267,'country region mapping'!$G$2:$G$267)</f>
        <v>#NAME?</v>
      </c>
      <c r="G1531" s="1">
        <v>6.0679999999999996</v>
      </c>
      <c r="H1531" s="1">
        <v>126</v>
      </c>
      <c r="I1531" s="1">
        <v>84</v>
      </c>
      <c r="J1531" s="1">
        <v>91</v>
      </c>
      <c r="K1531" s="1">
        <v>82</v>
      </c>
      <c r="L1531" s="1">
        <v>82</v>
      </c>
      <c r="M1531" s="1">
        <v>123</v>
      </c>
      <c r="N1531" s="1">
        <v>63</v>
      </c>
      <c r="O1531" s="1">
        <v>6</v>
      </c>
      <c r="P1531" s="1">
        <v>107</v>
      </c>
      <c r="Q1531" s="1">
        <v>123</v>
      </c>
      <c r="R1531" s="1">
        <v>35</v>
      </c>
      <c r="S1531" s="1">
        <v>78</v>
      </c>
    </row>
    <row r="1532" spans="1:19">
      <c r="A1532" s="1">
        <v>2015</v>
      </c>
      <c r="B1532" s="1">
        <v>47</v>
      </c>
      <c r="C1532" s="1" t="s">
        <v>97</v>
      </c>
      <c r="D1532" s="1" t="e">
        <f t="array" aca="1" ref="D1532" ca="1">_xludf.XLOOKUP(C1532,'country region mapping'!$A$2:$A$250, 'country region mapping'!$E$2:$E$250)</f>
        <v>#NAME?</v>
      </c>
      <c r="E1532" s="1" t="e">
        <f t="array" aca="1" ref="E1532" ca="1">_xludf.XLOOKUP(C1532,'country region mapping'!$A$2:$A$267,'country region mapping'!$F$2:$F$267)</f>
        <v>#NAME?</v>
      </c>
      <c r="F1532" s="1" t="e">
        <f t="array" aca="1" ref="F1532" ca="1">_xludf.XLOOKUP(C1532,'country region mapping'!$A$2:$A$267,'country region mapping'!$G$2:$G$267)</f>
        <v>#NAME?</v>
      </c>
      <c r="G1532" s="1">
        <v>6.0049999999999999</v>
      </c>
      <c r="H1532" s="1">
        <v>61</v>
      </c>
      <c r="I1532" s="1">
        <v>76</v>
      </c>
      <c r="J1532" s="1">
        <v>51</v>
      </c>
      <c r="K1532" s="1">
        <v>67</v>
      </c>
      <c r="L1532" s="1">
        <v>96</v>
      </c>
      <c r="M1532" s="1">
        <v>21</v>
      </c>
      <c r="N1532" s="1">
        <v>81</v>
      </c>
      <c r="O1532" s="1">
        <v>41</v>
      </c>
      <c r="P1532" s="1">
        <v>96</v>
      </c>
      <c r="Q1532" s="1">
        <v>21</v>
      </c>
      <c r="R1532" s="1">
        <v>20</v>
      </c>
      <c r="S1532" s="1">
        <v>85</v>
      </c>
    </row>
    <row r="1533" spans="1:19">
      <c r="A1533" s="1">
        <v>2015</v>
      </c>
      <c r="B1533" s="1">
        <v>48</v>
      </c>
      <c r="C1533" s="1" t="s">
        <v>98</v>
      </c>
      <c r="D1533" s="1" t="e">
        <f t="array" aca="1" ref="D1533" ca="1">_xludf.XLOOKUP(C1533,'country region mapping'!$A$2:$A$250, 'country region mapping'!$E$2:$E$250)</f>
        <v>#NAME?</v>
      </c>
      <c r="E1533" s="1" t="e">
        <f t="array" aca="1" ref="E1533" ca="1">_xludf.XLOOKUP(C1533,'country region mapping'!$A$2:$A$267,'country region mapping'!$F$2:$F$267)</f>
        <v>#NAME?</v>
      </c>
      <c r="F1533" s="1" t="e">
        <f t="array" aca="1" ref="F1533" ca="1">_xludf.XLOOKUP(C1533,'country region mapping'!$A$2:$A$267,'country region mapping'!$G$2:$G$267)</f>
        <v>#NAME?</v>
      </c>
      <c r="G1533" s="1">
        <v>5.992</v>
      </c>
      <c r="H1533" s="1">
        <v>133</v>
      </c>
      <c r="I1533" s="1">
        <v>71</v>
      </c>
      <c r="J1533" s="1">
        <v>99</v>
      </c>
      <c r="K1533" s="1">
        <v>45</v>
      </c>
      <c r="L1533" s="1">
        <v>51</v>
      </c>
      <c r="M1533" s="1">
        <v>52</v>
      </c>
      <c r="N1533" s="1">
        <v>46</v>
      </c>
      <c r="O1533" s="1">
        <v>23</v>
      </c>
      <c r="P1533" s="1">
        <v>113</v>
      </c>
      <c r="Q1533" s="1">
        <v>52</v>
      </c>
      <c r="R1533" s="1">
        <v>53</v>
      </c>
      <c r="S1533" s="1">
        <v>108</v>
      </c>
    </row>
    <row r="1534" spans="1:19">
      <c r="A1534" s="1">
        <v>2015</v>
      </c>
      <c r="B1534" s="1">
        <v>49</v>
      </c>
      <c r="C1534" s="1" t="s">
        <v>99</v>
      </c>
      <c r="D1534" s="1" t="e">
        <f t="array" aca="1" ref="D1534" ca="1">_xludf.XLOOKUP(C1534,'country region mapping'!$A$2:$A$250, 'country region mapping'!$E$2:$E$250)</f>
        <v>#NAME?</v>
      </c>
      <c r="E1534" s="1" t="e">
        <f t="array" aca="1" ref="E1534" ca="1">_xludf.XLOOKUP(C1534,'country region mapping'!$A$2:$A$267,'country region mapping'!$F$2:$F$267)</f>
        <v>#NAME?</v>
      </c>
      <c r="F1534" s="1" t="e">
        <f t="array" aca="1" ref="F1534" ca="1">_xludf.XLOOKUP(C1534,'country region mapping'!$A$2:$A$267,'country region mapping'!$G$2:$G$267)</f>
        <v>#NAME?</v>
      </c>
      <c r="G1534" s="1">
        <v>5.9870000000000001</v>
      </c>
      <c r="H1534" s="1">
        <v>96</v>
      </c>
      <c r="I1534" s="1">
        <v>3</v>
      </c>
      <c r="J1534" s="1">
        <v>98</v>
      </c>
      <c r="K1534" s="1">
        <v>91</v>
      </c>
      <c r="L1534" s="1">
        <v>1</v>
      </c>
      <c r="M1534" s="1">
        <v>15</v>
      </c>
      <c r="N1534" s="1">
        <v>18</v>
      </c>
      <c r="O1534" s="1">
        <v>21</v>
      </c>
      <c r="P1534" s="1">
        <v>1</v>
      </c>
      <c r="Q1534" s="1">
        <v>15</v>
      </c>
      <c r="R1534" s="1">
        <v>41</v>
      </c>
      <c r="S1534" s="1">
        <v>18</v>
      </c>
    </row>
    <row r="1535" spans="1:19">
      <c r="A1535" s="1">
        <v>2015</v>
      </c>
      <c r="B1535" s="1">
        <v>50</v>
      </c>
      <c r="C1535" s="1" t="s">
        <v>100</v>
      </c>
      <c r="D1535" s="1" t="e">
        <f t="array" aca="1" ref="D1535" ca="1">_xludf.XLOOKUP(C1535,'country region mapping'!$A$2:$A$250, 'country region mapping'!$E$2:$E$250)</f>
        <v>#NAME?</v>
      </c>
      <c r="E1535" s="1" t="e">
        <f t="array" aca="1" ref="E1535" ca="1">_xludf.XLOOKUP(C1535,'country region mapping'!$A$2:$A$267,'country region mapping'!$F$2:$F$267)</f>
        <v>#NAME?</v>
      </c>
      <c r="F1535" s="1" t="e">
        <f t="array" aca="1" ref="F1535" ca="1">_xludf.XLOOKUP(C1535,'country region mapping'!$A$2:$A$267,'country region mapping'!$G$2:$G$267)</f>
        <v>#NAME?</v>
      </c>
      <c r="G1535" s="1">
        <v>5.9770000000000003</v>
      </c>
      <c r="H1535" s="1">
        <v>18</v>
      </c>
      <c r="I1535" s="1">
        <v>31</v>
      </c>
      <c r="J1535" s="1">
        <v>25</v>
      </c>
      <c r="K1535" s="1">
        <v>8</v>
      </c>
      <c r="L1535" s="1">
        <v>122</v>
      </c>
      <c r="M1535" s="1">
        <v>53</v>
      </c>
      <c r="N1535" s="1">
        <v>119</v>
      </c>
      <c r="O1535" s="1">
        <v>79</v>
      </c>
      <c r="P1535" s="1">
        <v>105</v>
      </c>
      <c r="Q1535" s="1">
        <v>53</v>
      </c>
      <c r="R1535" s="1">
        <v>95</v>
      </c>
      <c r="S1535" s="1">
        <v>102</v>
      </c>
    </row>
    <row r="1536" spans="1:19">
      <c r="A1536" s="1">
        <v>2015</v>
      </c>
      <c r="B1536" s="1">
        <v>51</v>
      </c>
      <c r="C1536" s="1" t="s">
        <v>102</v>
      </c>
      <c r="D1536" s="1" t="e">
        <f t="array" aca="1" ref="D1536" ca="1">_xludf.XLOOKUP(C1536,'country region mapping'!$A$2:$A$250, 'country region mapping'!$E$2:$E$250)</f>
        <v>#NAME?</v>
      </c>
      <c r="E1536" s="1" t="e">
        <f t="array" aca="1" ref="E1536" ca="1">_xludf.XLOOKUP(C1536,'country region mapping'!$A$2:$A$267,'country region mapping'!$F$2:$F$267)</f>
        <v>#NAME?</v>
      </c>
      <c r="F1536" s="1" t="e">
        <f t="array" aca="1" ref="F1536" ca="1">_xludf.XLOOKUP(C1536,'country region mapping'!$A$2:$A$267,'country region mapping'!$G$2:$G$267)</f>
        <v>#NAME?</v>
      </c>
      <c r="G1536" s="1">
        <v>5.976</v>
      </c>
      <c r="H1536" s="1">
        <v>114</v>
      </c>
      <c r="I1536" s="1">
        <v>58</v>
      </c>
      <c r="J1536" s="1">
        <v>77</v>
      </c>
      <c r="K1536" s="1">
        <v>46</v>
      </c>
      <c r="L1536" s="1">
        <v>58</v>
      </c>
      <c r="M1536" s="1">
        <v>103</v>
      </c>
      <c r="N1536" s="1">
        <v>31</v>
      </c>
      <c r="O1536" s="1">
        <v>7</v>
      </c>
      <c r="P1536" s="1">
        <v>100</v>
      </c>
      <c r="Q1536" s="1">
        <v>103</v>
      </c>
      <c r="R1536" s="1">
        <v>90</v>
      </c>
      <c r="S1536" s="1">
        <v>89</v>
      </c>
    </row>
    <row r="1537" spans="1:19">
      <c r="A1537" s="1">
        <v>2015</v>
      </c>
      <c r="B1537" s="1">
        <v>52</v>
      </c>
      <c r="C1537" s="1" t="s">
        <v>103</v>
      </c>
      <c r="D1537" s="1" t="e">
        <f t="array" aca="1" ref="D1537" ca="1">_xludf.XLOOKUP(C1537,'country region mapping'!$A$2:$A$250, 'country region mapping'!$E$2:$E$250)</f>
        <v>#NAME?</v>
      </c>
      <c r="E1537" s="1" t="e">
        <f t="array" aca="1" ref="E1537" ca="1">_xludf.XLOOKUP(C1537,'country region mapping'!$A$2:$A$267,'country region mapping'!$F$2:$F$267)</f>
        <v>#NAME?</v>
      </c>
      <c r="F1537" s="1" t="e">
        <f t="array" aca="1" ref="F1537" ca="1">_xludf.XLOOKUP(C1537,'country region mapping'!$A$2:$A$267,'country region mapping'!$G$2:$G$267)</f>
        <v>#NAME?</v>
      </c>
      <c r="G1537" s="1">
        <v>5.9560000000000004</v>
      </c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</row>
    <row r="1538" spans="1:19">
      <c r="A1538" s="1">
        <v>2015</v>
      </c>
      <c r="B1538" s="1">
        <v>53</v>
      </c>
      <c r="C1538" s="1" t="s">
        <v>104</v>
      </c>
      <c r="D1538" s="1" t="e">
        <f t="array" aca="1" ref="D1538" ca="1">_xludf.XLOOKUP(C1538,'country region mapping'!$A$2:$A$250, 'country region mapping'!$E$2:$E$250)</f>
        <v>#NAME?</v>
      </c>
      <c r="E1538" s="1" t="e">
        <f t="array" aca="1" ref="E1538" ca="1">_xludf.XLOOKUP(C1538,'country region mapping'!$A$2:$A$267,'country region mapping'!$F$2:$F$267)</f>
        <v>#NAME?</v>
      </c>
      <c r="F1538" s="1" t="e">
        <f t="array" aca="1" ref="F1538" ca="1">_xludf.XLOOKUP(C1538,'country region mapping'!$A$2:$A$267,'country region mapping'!$G$2:$G$267)</f>
        <v>#NAME?</v>
      </c>
      <c r="G1538" s="1">
        <v>5.9210000000000003</v>
      </c>
      <c r="H1538" s="1">
        <v>37</v>
      </c>
      <c r="I1538" s="1">
        <v>24</v>
      </c>
      <c r="J1538" s="1">
        <v>28</v>
      </c>
      <c r="K1538" s="1">
        <v>1</v>
      </c>
      <c r="L1538" s="1">
        <v>42</v>
      </c>
      <c r="M1538" s="1">
        <v>85</v>
      </c>
      <c r="N1538" s="1">
        <v>29</v>
      </c>
      <c r="O1538" s="1">
        <v>53</v>
      </c>
      <c r="P1538" s="1">
        <v>14</v>
      </c>
      <c r="Q1538" s="1">
        <v>85</v>
      </c>
      <c r="R1538" s="1">
        <v>55</v>
      </c>
      <c r="S1538" s="1">
        <v>139</v>
      </c>
    </row>
    <row r="1539" spans="1:19">
      <c r="A1539" s="1">
        <v>2015</v>
      </c>
      <c r="B1539" s="1">
        <v>54</v>
      </c>
      <c r="C1539" s="1" t="s">
        <v>106</v>
      </c>
      <c r="D1539" s="1" t="e">
        <f t="array" aca="1" ref="D1539" ca="1">_xludf.XLOOKUP(C1539,'country region mapping'!$A$2:$A$250, 'country region mapping'!$E$2:$E$250)</f>
        <v>#NAME?</v>
      </c>
      <c r="E1539" s="1" t="e">
        <f t="array" aca="1" ref="E1539" ca="1">_xludf.XLOOKUP(C1539,'country region mapping'!$A$2:$A$267,'country region mapping'!$F$2:$F$267)</f>
        <v>#NAME?</v>
      </c>
      <c r="F1539" s="1" t="e">
        <f t="array" aca="1" ref="F1539" ca="1">_xludf.XLOOKUP(C1539,'country region mapping'!$A$2:$A$267,'country region mapping'!$G$2:$G$267)</f>
        <v>#NAME?</v>
      </c>
      <c r="G1539" s="1">
        <v>5.9189999999999996</v>
      </c>
      <c r="H1539" s="1">
        <v>56</v>
      </c>
      <c r="I1539" s="1">
        <v>16</v>
      </c>
      <c r="J1539" s="1">
        <v>43</v>
      </c>
      <c r="K1539" s="1">
        <v>83</v>
      </c>
      <c r="L1539" s="1">
        <v>80</v>
      </c>
      <c r="M1539" s="1">
        <v>54</v>
      </c>
      <c r="N1539" s="1">
        <v>42</v>
      </c>
      <c r="O1539" s="1">
        <v>60</v>
      </c>
      <c r="P1539" s="1">
        <v>12</v>
      </c>
      <c r="Q1539" s="1">
        <v>54</v>
      </c>
      <c r="R1539" s="1">
        <v>105</v>
      </c>
      <c r="S1539" s="1">
        <v>116</v>
      </c>
    </row>
    <row r="1540" spans="1:19">
      <c r="A1540" s="1">
        <v>2015</v>
      </c>
      <c r="B1540" s="1">
        <v>83</v>
      </c>
      <c r="C1540" s="1" t="s">
        <v>142</v>
      </c>
      <c r="D1540" s="1" t="e">
        <f t="array" aca="1" ref="D1540" ca="1">_xludf.XLOOKUP(C1540,'country region mapping'!$A$2:$A$250, 'country region mapping'!$E$2:$E$250)</f>
        <v>#NAME?</v>
      </c>
      <c r="E1540" s="1" t="e">
        <f t="array" aca="1" ref="E1540" ca="1">_xludf.XLOOKUP(C1540,'country region mapping'!$A$2:$A$267,'country region mapping'!$F$2:$F$267)</f>
        <v>#NAME?</v>
      </c>
      <c r="F1540" s="1" t="e">
        <f t="array" aca="1" ref="F1540" ca="1">_xludf.XLOOKUP(C1540,'country region mapping'!$A$2:$A$267,'country region mapping'!$G$2:$G$267)</f>
        <v>#NAME?</v>
      </c>
      <c r="G1540" s="1">
        <v>5.2450000000000001</v>
      </c>
      <c r="H1540" s="1">
        <v>69</v>
      </c>
      <c r="I1540" s="1">
        <v>83</v>
      </c>
      <c r="J1540" s="1">
        <v>70</v>
      </c>
      <c r="K1540" s="1">
        <v>34</v>
      </c>
      <c r="M1540" s="14">
        <v>139</v>
      </c>
      <c r="N1540" s="14"/>
      <c r="O1540" s="14">
        <v>68</v>
      </c>
      <c r="P1540" s="14">
        <v>9</v>
      </c>
      <c r="Q1540" s="14">
        <v>139</v>
      </c>
      <c r="R1540" s="14">
        <v>139</v>
      </c>
      <c r="S1540" s="14">
        <v>141</v>
      </c>
    </row>
    <row r="1541" spans="1:19">
      <c r="A1541" s="1">
        <v>2015</v>
      </c>
      <c r="B1541" s="1">
        <v>56</v>
      </c>
      <c r="C1541" s="1" t="s">
        <v>108</v>
      </c>
      <c r="D1541" s="1" t="e">
        <f t="array" aca="1" ref="D1541" ca="1">_xludf.XLOOKUP(C1541,'country region mapping'!$A$2:$A$250, 'country region mapping'!$E$2:$E$250)</f>
        <v>#NAME?</v>
      </c>
      <c r="E1541" s="1" t="e">
        <f t="array" aca="1" ref="E1541" ca="1">_xludf.XLOOKUP(C1541,'country region mapping'!$A$2:$A$267,'country region mapping'!$F$2:$F$267)</f>
        <v>#NAME?</v>
      </c>
      <c r="F1541" s="1" t="e">
        <f t="array" aca="1" ref="F1541" ca="1">_xludf.XLOOKUP(C1541,'country region mapping'!$A$2:$A$267,'country region mapping'!$G$2:$G$267)</f>
        <v>#NAME?</v>
      </c>
      <c r="G1541" s="1">
        <v>5.8559999999999999</v>
      </c>
      <c r="H1541" s="1">
        <v>70</v>
      </c>
      <c r="I1541" s="1">
        <v>22</v>
      </c>
      <c r="J1541" s="1">
        <v>37</v>
      </c>
      <c r="K1541" s="1">
        <v>89</v>
      </c>
      <c r="L1541" s="1">
        <v>94</v>
      </c>
      <c r="M1541" s="1">
        <v>104</v>
      </c>
      <c r="N1541" s="1">
        <v>120</v>
      </c>
      <c r="O1541" s="1">
        <v>96</v>
      </c>
      <c r="P1541" s="1">
        <v>3</v>
      </c>
      <c r="Q1541" s="1">
        <v>104</v>
      </c>
      <c r="R1541" s="1">
        <v>113</v>
      </c>
      <c r="S1541" s="1">
        <v>122</v>
      </c>
    </row>
    <row r="1542" spans="1:19">
      <c r="A1542" s="1">
        <v>2015</v>
      </c>
      <c r="B1542" s="1">
        <v>58</v>
      </c>
      <c r="C1542" s="1" t="s">
        <v>110</v>
      </c>
      <c r="D1542" s="1" t="e">
        <f t="array" aca="1" ref="D1542" ca="1">_xludf.XLOOKUP(C1542,'country region mapping'!$A$2:$A$267,'country region mapping'!$E$2:$E$267)</f>
        <v>#NAME?</v>
      </c>
      <c r="E1542" s="1" t="e">
        <f t="array" aca="1" ref="E1542" ca="1">_xludf.XLOOKUP(C1542,'country region mapping'!$A$2:$A$267,'country region mapping'!$F$2:$F$267)</f>
        <v>#NAME?</v>
      </c>
      <c r="F1542" s="1" t="e">
        <f t="array" aca="1" ref="F1542" ca="1">_xludf.XLOOKUP(C1542,'country region mapping'!$A$2:$A$267,'country region mapping'!$G$2:$G$267)</f>
        <v>#NAME?</v>
      </c>
      <c r="G1542" s="1">
        <v>5.835</v>
      </c>
      <c r="H1542" s="1">
        <v>76</v>
      </c>
      <c r="I1542" s="1">
        <v>92</v>
      </c>
      <c r="J1542" s="1">
        <v>30</v>
      </c>
      <c r="K1542" s="1">
        <v>3</v>
      </c>
      <c r="L1542" s="1">
        <v>114</v>
      </c>
      <c r="M1542" s="1">
        <v>47</v>
      </c>
      <c r="N1542" s="1">
        <v>82</v>
      </c>
      <c r="O1542" s="1">
        <v>107</v>
      </c>
      <c r="P1542" s="1">
        <v>57</v>
      </c>
      <c r="Q1542" s="1">
        <v>47</v>
      </c>
      <c r="R1542" s="1">
        <v>80</v>
      </c>
      <c r="S1542" s="1">
        <v>94</v>
      </c>
    </row>
    <row r="1543" spans="1:19">
      <c r="A1543" s="1">
        <v>2015</v>
      </c>
      <c r="B1543" s="1">
        <v>57</v>
      </c>
      <c r="C1543" s="1" t="s">
        <v>109</v>
      </c>
      <c r="D1543" s="1" t="e">
        <f t="array" aca="1" ref="D1543" ca="1">_xludf.XLOOKUP(C1543,'country region mapping'!$A$2:$A$250, 'country region mapping'!$E$2:$E$250)</f>
        <v>#NAME?</v>
      </c>
      <c r="E1543" s="1" t="e">
        <f t="array" aca="1" ref="E1543" ca="1">_xludf.XLOOKUP(C1543,'country region mapping'!$A$2:$A$267,'country region mapping'!$F$2:$F$267)</f>
        <v>#NAME?</v>
      </c>
      <c r="F1543" s="1" t="e">
        <f t="array" aca="1" ref="F1543" ca="1">_xludf.XLOOKUP(C1543,'country region mapping'!$A$2:$A$267,'country region mapping'!$G$2:$G$267)</f>
        <v>#NAME?</v>
      </c>
      <c r="G1543" s="1">
        <v>5.835</v>
      </c>
      <c r="H1543" s="1">
        <v>46</v>
      </c>
      <c r="I1543" s="1">
        <v>40</v>
      </c>
      <c r="J1543" s="1">
        <v>40</v>
      </c>
      <c r="K1543" s="1">
        <v>41</v>
      </c>
      <c r="L1543" s="1">
        <v>63</v>
      </c>
      <c r="M1543" s="1">
        <v>69</v>
      </c>
      <c r="N1543" s="1">
        <v>67</v>
      </c>
      <c r="O1543" s="1">
        <v>88</v>
      </c>
      <c r="P1543" s="1">
        <v>53</v>
      </c>
      <c r="Q1543" s="1">
        <v>69</v>
      </c>
      <c r="R1543" s="1">
        <v>128</v>
      </c>
      <c r="S1543" s="1">
        <v>110</v>
      </c>
    </row>
    <row r="1544" spans="1:19">
      <c r="A1544" s="1">
        <v>2015</v>
      </c>
      <c r="B1544" s="1">
        <v>59</v>
      </c>
      <c r="C1544" s="1" t="s">
        <v>112</v>
      </c>
      <c r="D1544" s="1" t="e">
        <f t="array" aca="1" ref="D1544" ca="1">_xludf.XLOOKUP(C1544,'country region mapping'!$A$2:$A$267,'country region mapping'!$E$2:$E$267)</f>
        <v>#NAME?</v>
      </c>
      <c r="E1544" s="1" t="e">
        <f t="array" aca="1" ref="E1544" ca="1">_xludf.XLOOKUP(C1544,'country region mapping'!$A$2:$A$267,'country region mapping'!$F$2:$F$267)</f>
        <v>#NAME?</v>
      </c>
      <c r="F1544" s="1" t="e">
        <f t="array" aca="1" ref="F1544" ca="1">_xludf.XLOOKUP(C1544,'country region mapping'!$A$2:$A$267,'country region mapping'!$G$2:$G$267)</f>
        <v>#NAME?</v>
      </c>
      <c r="G1544" s="1">
        <v>5.8220000000000001</v>
      </c>
      <c r="H1544" s="1">
        <v>44</v>
      </c>
      <c r="I1544" s="1">
        <v>69</v>
      </c>
      <c r="J1544" s="1">
        <v>94</v>
      </c>
      <c r="K1544" s="1">
        <v>84</v>
      </c>
      <c r="L1544" s="1">
        <v>28</v>
      </c>
      <c r="M1544" s="1">
        <v>79</v>
      </c>
      <c r="N1544" s="1">
        <v>99</v>
      </c>
      <c r="O1544" s="1">
        <v>31</v>
      </c>
      <c r="P1544" s="1">
        <v>133</v>
      </c>
      <c r="Q1544" s="1">
        <v>79</v>
      </c>
      <c r="R1544" s="1">
        <v>63</v>
      </c>
      <c r="S1544" s="1">
        <v>54</v>
      </c>
    </row>
    <row r="1545" spans="1:19">
      <c r="A1545" s="1">
        <v>2015</v>
      </c>
      <c r="B1545" s="1">
        <v>60</v>
      </c>
      <c r="C1545" s="1" t="s">
        <v>114</v>
      </c>
      <c r="D1545" s="1" t="e">
        <f t="array" aca="1" ref="D1545" ca="1">_xludf.XLOOKUP(C1545,'country region mapping'!$A$2:$A$250, 'country region mapping'!$E$2:$E$250)</f>
        <v>#NAME?</v>
      </c>
      <c r="E1545" s="1" t="e">
        <f t="array" aca="1" ref="E1545" ca="1">_xludf.XLOOKUP(C1545,'country region mapping'!$A$2:$A$267,'country region mapping'!$F$2:$F$267)</f>
        <v>#NAME?</v>
      </c>
      <c r="F1545" s="1" t="e">
        <f t="array" aca="1" ref="F1545" ca="1">_xludf.XLOOKUP(C1545,'country region mapping'!$A$2:$A$267,'country region mapping'!$G$2:$G$267)</f>
        <v>#NAME?</v>
      </c>
      <c r="G1545" s="1">
        <v>5.8129999999999997</v>
      </c>
      <c r="H1545" s="1">
        <v>49</v>
      </c>
      <c r="I1545" s="1">
        <v>18</v>
      </c>
      <c r="J1545" s="1">
        <v>38</v>
      </c>
      <c r="K1545" s="1">
        <v>71</v>
      </c>
      <c r="L1545" s="1">
        <v>106</v>
      </c>
      <c r="M1545" s="1">
        <v>125</v>
      </c>
      <c r="N1545" s="1">
        <v>122</v>
      </c>
      <c r="O1545" s="1">
        <v>123</v>
      </c>
      <c r="P1545" s="1">
        <v>73</v>
      </c>
      <c r="Q1545" s="1">
        <v>125</v>
      </c>
      <c r="R1545" s="1">
        <v>116</v>
      </c>
      <c r="S1545" s="1">
        <v>101</v>
      </c>
    </row>
    <row r="1546" spans="1:19">
      <c r="A1546" s="1">
        <v>2015</v>
      </c>
      <c r="B1546" s="1">
        <v>61</v>
      </c>
      <c r="C1546" s="1" t="s">
        <v>115</v>
      </c>
      <c r="D1546" s="1" t="e">
        <f t="array" aca="1" ref="D1546" ca="1">_xludf.XLOOKUP(C1546,'country region mapping'!$A$2:$A$250, 'country region mapping'!$E$2:$E$250)</f>
        <v>#NAME?</v>
      </c>
      <c r="E1546" s="1" t="e">
        <f t="array" aca="1" ref="E1546" ca="1">_xludf.XLOOKUP(C1546,'country region mapping'!$A$2:$A$267,'country region mapping'!$F$2:$F$267)</f>
        <v>#NAME?</v>
      </c>
      <c r="F1546" s="1" t="e">
        <f t="array" aca="1" ref="F1546" ca="1">_xludf.XLOOKUP(C1546,'country region mapping'!$A$2:$A$267,'country region mapping'!$G$2:$G$267)</f>
        <v>#NAME?</v>
      </c>
      <c r="G1546" s="1">
        <v>5.8019999999999996</v>
      </c>
      <c r="H1546" s="1">
        <v>59</v>
      </c>
      <c r="I1546" s="1">
        <v>23</v>
      </c>
      <c r="J1546" s="1">
        <v>53</v>
      </c>
      <c r="K1546" s="1">
        <v>72</v>
      </c>
      <c r="L1546" s="1">
        <v>113</v>
      </c>
      <c r="M1546" s="1">
        <v>81</v>
      </c>
      <c r="N1546" s="1">
        <v>32</v>
      </c>
      <c r="O1546" s="1">
        <v>119</v>
      </c>
      <c r="P1546" s="1">
        <v>19</v>
      </c>
      <c r="Q1546" s="1">
        <v>81</v>
      </c>
      <c r="R1546" s="1">
        <v>59</v>
      </c>
      <c r="S1546" s="1">
        <v>128</v>
      </c>
    </row>
    <row r="1547" spans="1:19">
      <c r="A1547" s="1">
        <v>2015</v>
      </c>
      <c r="B1547" s="1">
        <v>63</v>
      </c>
      <c r="C1547" s="1" t="s">
        <v>116</v>
      </c>
      <c r="D1547" s="1" t="e">
        <f t="array" aca="1" ref="D1547" ca="1">_xludf.XLOOKUP(C1547,'country region mapping'!$A$2:$A$250, 'country region mapping'!$E$2:$E$250)</f>
        <v>#NAME?</v>
      </c>
      <c r="E1547" s="1" t="e">
        <f t="array" aca="1" ref="E1547" ca="1">_xludf.XLOOKUP(C1547,'country region mapping'!$A$2:$A$267,'country region mapping'!$F$2:$F$267)</f>
        <v>#NAME?</v>
      </c>
      <c r="F1547" s="1" t="e">
        <f t="array" aca="1" ref="F1547" ca="1">_xludf.XLOOKUP(C1547,'country region mapping'!$A$2:$A$267,'country region mapping'!$G$2:$G$267)</f>
        <v>#NAME?</v>
      </c>
      <c r="G1547" s="1">
        <v>5.7679999999999998</v>
      </c>
      <c r="H1547" s="1">
        <v>67</v>
      </c>
      <c r="I1547" s="1">
        <v>36</v>
      </c>
      <c r="J1547" s="1">
        <v>33</v>
      </c>
      <c r="K1547" s="1">
        <v>25</v>
      </c>
      <c r="L1547" s="1">
        <v>23</v>
      </c>
      <c r="M1547" s="1">
        <v>44</v>
      </c>
      <c r="N1547" s="1">
        <v>112</v>
      </c>
      <c r="O1547" s="1">
        <v>80</v>
      </c>
      <c r="P1547" s="1">
        <v>63</v>
      </c>
      <c r="Q1547" s="1">
        <v>44</v>
      </c>
      <c r="R1547" s="1">
        <v>19</v>
      </c>
      <c r="S1547" s="1">
        <v>76</v>
      </c>
    </row>
    <row r="1548" spans="1:19">
      <c r="A1548" s="1">
        <v>2015</v>
      </c>
      <c r="B1548" s="1">
        <v>64</v>
      </c>
      <c r="C1548" s="1" t="s">
        <v>118</v>
      </c>
      <c r="D1548" s="1" t="e">
        <f t="array" aca="1" ref="D1548" ca="1">_xludf.XLOOKUP(C1548,'country region mapping'!$A$2:$A$250, 'country region mapping'!$E$2:$E$250)</f>
        <v>#NAME?</v>
      </c>
      <c r="E1548" s="1" t="e">
        <f t="array" aca="1" ref="E1548" ca="1">_xludf.XLOOKUP(C1548,'country region mapping'!$A$2:$A$267,'country region mapping'!$F$2:$F$267)</f>
        <v>#NAME?</v>
      </c>
      <c r="F1548" s="1" t="e">
        <f t="array" aca="1" ref="F1548" ca="1">_xludf.XLOOKUP(C1548,'country region mapping'!$A$2:$A$267,'country region mapping'!$G$2:$G$267)</f>
        <v>#NAME?</v>
      </c>
      <c r="G1548" s="1">
        <v>5.7430000000000003</v>
      </c>
      <c r="H1548" s="1">
        <v>105</v>
      </c>
      <c r="I1548" s="1">
        <v>82</v>
      </c>
      <c r="J1548" s="1">
        <v>72</v>
      </c>
      <c r="K1548" s="1">
        <v>18</v>
      </c>
      <c r="L1548" s="1">
        <v>56</v>
      </c>
      <c r="M1548" s="1">
        <v>91</v>
      </c>
      <c r="N1548" s="1">
        <v>107</v>
      </c>
      <c r="O1548" s="1">
        <v>35</v>
      </c>
      <c r="P1548" s="1">
        <v>128</v>
      </c>
      <c r="Q1548" s="1">
        <v>91</v>
      </c>
      <c r="R1548" s="1">
        <v>42</v>
      </c>
      <c r="S1548" s="1">
        <v>40</v>
      </c>
    </row>
    <row r="1549" spans="1:19">
      <c r="A1549" s="1">
        <v>2022</v>
      </c>
      <c r="B1549" s="1">
        <v>34</v>
      </c>
      <c r="C1549" s="1" t="s">
        <v>135</v>
      </c>
      <c r="D1549" s="1" t="e">
        <f t="array" aca="1" ref="D1549" ca="1">_xludf.XLOOKUP(C1549,'country region mapping'!$A$2:$A$267,'country region mapping'!$E$2:$E$267)</f>
        <v>#NAME?</v>
      </c>
      <c r="E1549" s="1" t="e">
        <f t="array" aca="1" ref="E1549" ca="1">_xludf.XLOOKUP(C1549,'country region mapping'!$A$2:$A$267,'country region mapping'!$F$2:$F$267)</f>
        <v>#NAME?</v>
      </c>
      <c r="F1549" s="1" t="e">
        <f t="array" aca="1" ref="F1549" ca="1">_xludf.XLOOKUP(C1549,'country region mapping'!$A$2:$A$267,'country region mapping'!$G$2:$G$267)</f>
        <v>#NAME?</v>
      </c>
      <c r="G1549" s="1">
        <v>6.3680000000000003</v>
      </c>
      <c r="H1549" s="1">
        <v>80</v>
      </c>
      <c r="I1549" s="1">
        <v>39</v>
      </c>
      <c r="J1549" s="1">
        <v>82</v>
      </c>
      <c r="K1549" s="1"/>
      <c r="L1549" s="1">
        <v>39</v>
      </c>
      <c r="M1549" s="1">
        <v>31</v>
      </c>
      <c r="N1549" s="1">
        <v>100</v>
      </c>
      <c r="O1549" s="1">
        <v>117</v>
      </c>
      <c r="Q1549" s="1">
        <v>31</v>
      </c>
      <c r="R1549" s="1">
        <v>128</v>
      </c>
      <c r="S1549" s="1">
        <v>63</v>
      </c>
    </row>
    <row r="1550" spans="1:19">
      <c r="A1550" s="1">
        <v>2015</v>
      </c>
      <c r="B1550" s="1">
        <v>66</v>
      </c>
      <c r="C1550" s="1" t="s">
        <v>121</v>
      </c>
      <c r="D1550" s="1" t="e">
        <f t="array" aca="1" ref="D1550" ca="1">_xludf.XLOOKUP(C1550,'country region mapping'!$A$2:$A$250, 'country region mapping'!$E$2:$E$250)</f>
        <v>#NAME?</v>
      </c>
      <c r="E1550" s="1" t="e">
        <f t="array" aca="1" ref="E1550" ca="1">_xludf.XLOOKUP(C1550,'country region mapping'!$A$2:$A$267,'country region mapping'!$F$2:$F$267)</f>
        <v>#NAME?</v>
      </c>
      <c r="F1550" s="1" t="e">
        <f t="array" aca="1" ref="F1550" ca="1">_xludf.XLOOKUP(C1550,'country region mapping'!$A$2:$A$267,'country region mapping'!$G$2:$G$267)</f>
        <v>#NAME?</v>
      </c>
      <c r="G1550" s="1">
        <v>5.6479999999999997</v>
      </c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</row>
    <row r="1551" spans="1:19">
      <c r="A1551" s="1">
        <v>2015</v>
      </c>
      <c r="B1551" s="1">
        <v>96</v>
      </c>
      <c r="C1551" s="1" t="s">
        <v>157</v>
      </c>
      <c r="D1551" s="1" t="e">
        <f t="array" aca="1" ref="D1551" ca="1">_xludf.XLOOKUP(C1551,'country region mapping'!$A$2:$A$250, 'country region mapping'!$E$2:$E$250)</f>
        <v>#NAME?</v>
      </c>
      <c r="E1551" s="1" t="e">
        <f t="array" aca="1" ref="E1551" ca="1">_xludf.XLOOKUP(C1551,'country region mapping'!$A$2:$A$267,'country region mapping'!$F$2:$F$267)</f>
        <v>#NAME?</v>
      </c>
      <c r="F1551" s="1" t="e">
        <f t="array" aca="1" ref="F1551" ca="1">_xludf.XLOOKUP(C1551,'country region mapping'!$A$2:$A$267,'country region mapping'!$G$2:$G$267)</f>
        <v>#NAME?</v>
      </c>
      <c r="G1551" s="1">
        <v>5.0609999999999999</v>
      </c>
      <c r="H1551" s="1">
        <v>34</v>
      </c>
      <c r="I1551" s="1">
        <v>62</v>
      </c>
      <c r="J1551" s="1">
        <v>93</v>
      </c>
      <c r="K1551" s="1">
        <v>70</v>
      </c>
      <c r="M1551" s="14">
        <v>48</v>
      </c>
      <c r="N1551" s="14"/>
      <c r="O1551" s="14">
        <v>104</v>
      </c>
      <c r="P1551" s="14">
        <v>47</v>
      </c>
      <c r="Q1551" s="14">
        <v>48</v>
      </c>
      <c r="R1551" s="14">
        <v>74</v>
      </c>
      <c r="S1551" s="14">
        <v>56</v>
      </c>
    </row>
    <row r="1552" spans="1:19">
      <c r="A1552" s="1">
        <v>2015</v>
      </c>
      <c r="B1552" s="1">
        <v>68</v>
      </c>
      <c r="C1552" s="1" t="s">
        <v>123</v>
      </c>
      <c r="D1552" s="1" t="e">
        <f t="array" aca="1" ref="D1552" ca="1">_xludf.XLOOKUP(C1552,'country region mapping'!$A$2:$A$250, 'country region mapping'!$E$2:$E$250)</f>
        <v>#NAME?</v>
      </c>
      <c r="E1552" s="1" t="e">
        <f t="array" aca="1" ref="E1552" ca="1">_xludf.XLOOKUP(C1552,'country region mapping'!$A$2:$A$267,'country region mapping'!$F$2:$F$267)</f>
        <v>#NAME?</v>
      </c>
      <c r="F1552" s="1" t="e">
        <f t="array" aca="1" ref="F1552" ca="1">_xludf.XLOOKUP(C1552,'country region mapping'!$A$2:$A$267,'country region mapping'!$G$2:$G$267)</f>
        <v>#NAME?</v>
      </c>
      <c r="G1552" s="1">
        <v>5.56</v>
      </c>
      <c r="H1552" s="1">
        <v>25</v>
      </c>
      <c r="I1552" s="1">
        <v>46</v>
      </c>
      <c r="J1552" s="1">
        <v>44</v>
      </c>
      <c r="K1552" s="1">
        <v>65</v>
      </c>
      <c r="L1552" s="1">
        <v>104</v>
      </c>
      <c r="M1552" s="1">
        <v>64</v>
      </c>
      <c r="N1552" s="1">
        <v>65</v>
      </c>
      <c r="O1552" s="1">
        <v>109</v>
      </c>
      <c r="P1552" s="1">
        <v>46</v>
      </c>
      <c r="Q1552" s="1">
        <v>64</v>
      </c>
      <c r="R1552" s="1">
        <v>121</v>
      </c>
      <c r="S1552" s="1">
        <v>132</v>
      </c>
    </row>
    <row r="1553" spans="1:19">
      <c r="A1553" s="1">
        <v>2015</v>
      </c>
      <c r="B1553" s="1">
        <v>69</v>
      </c>
      <c r="C1553" s="1" t="s">
        <v>124</v>
      </c>
      <c r="D1553" s="1" t="e">
        <f t="array" aca="1" ref="D1553" ca="1">_xludf.XLOOKUP(C1553,'country region mapping'!$A$2:$A$250, 'country region mapping'!$E$2:$E$250)</f>
        <v>#NAME?</v>
      </c>
      <c r="E1553" s="1" t="e">
        <f t="array" aca="1" ref="E1553" ca="1">_xludf.XLOOKUP(C1553,'country region mapping'!$A$2:$A$267,'country region mapping'!$F$2:$F$267)</f>
        <v>#NAME?</v>
      </c>
      <c r="F1553" s="1" t="e">
        <f t="array" aca="1" ref="F1553" ca="1">_xludf.XLOOKUP(C1553,'country region mapping'!$A$2:$A$267,'country region mapping'!$G$2:$G$267)</f>
        <v>#NAME?</v>
      </c>
      <c r="G1553" s="1">
        <v>5.5460000000000003</v>
      </c>
      <c r="H1553" s="1">
        <v>112</v>
      </c>
      <c r="I1553" s="1">
        <v>90</v>
      </c>
      <c r="J1553" s="1">
        <v>34</v>
      </c>
      <c r="K1553" s="1">
        <v>11</v>
      </c>
      <c r="L1553" s="1">
        <v>111</v>
      </c>
      <c r="M1553" s="1">
        <v>30</v>
      </c>
      <c r="N1553" s="1">
        <v>113</v>
      </c>
      <c r="O1553" s="1">
        <v>70</v>
      </c>
      <c r="P1553" s="1">
        <v>131</v>
      </c>
      <c r="Q1553" s="1">
        <v>30</v>
      </c>
      <c r="R1553" s="1">
        <v>47</v>
      </c>
      <c r="S1553" s="1">
        <v>68</v>
      </c>
    </row>
    <row r="1554" spans="1:19">
      <c r="A1554" s="1">
        <v>2015</v>
      </c>
      <c r="B1554" s="1">
        <v>70</v>
      </c>
      <c r="C1554" s="1" t="s">
        <v>126</v>
      </c>
      <c r="D1554" s="1" t="e">
        <f t="array" aca="1" ref="D1554" ca="1">_xludf.XLOOKUP(C1554,'country region mapping'!$A$2:$A$250, 'country region mapping'!$E$2:$E$250)</f>
        <v>#NAME?</v>
      </c>
      <c r="E1554" s="1" t="e">
        <f t="array" aca="1" ref="E1554" ca="1">_xludf.XLOOKUP(C1554,'country region mapping'!$A$2:$A$267,'country region mapping'!$F$2:$F$267)</f>
        <v>#NAME?</v>
      </c>
      <c r="F1554" s="1" t="e">
        <f t="array" aca="1" ref="F1554" ca="1">_xludf.XLOOKUP(C1554,'country region mapping'!$A$2:$A$267,'country region mapping'!$G$2:$G$267)</f>
        <v>#NAME?</v>
      </c>
      <c r="G1554" s="1">
        <v>5.5380000000000003</v>
      </c>
      <c r="H1554" s="1">
        <v>72</v>
      </c>
      <c r="I1554" s="1">
        <v>27</v>
      </c>
      <c r="J1554" s="1">
        <v>73</v>
      </c>
      <c r="K1554" s="1">
        <v>69</v>
      </c>
      <c r="L1554" s="1">
        <v>54</v>
      </c>
      <c r="M1554" s="1">
        <v>62</v>
      </c>
      <c r="N1554" s="1">
        <v>100</v>
      </c>
      <c r="O1554" s="1">
        <v>3</v>
      </c>
      <c r="P1554" s="1">
        <v>40</v>
      </c>
      <c r="Q1554" s="1">
        <v>62</v>
      </c>
      <c r="R1554" s="1">
        <v>70</v>
      </c>
      <c r="S1554" s="1">
        <v>134</v>
      </c>
    </row>
    <row r="1555" spans="1:19">
      <c r="A1555" s="1">
        <v>2015</v>
      </c>
      <c r="B1555" s="1">
        <v>71</v>
      </c>
      <c r="C1555" s="1" t="s">
        <v>128</v>
      </c>
      <c r="D1555" s="1" t="e">
        <f t="array" aca="1" ref="D1555" ca="1">_xludf.XLOOKUP(C1555,'country region mapping'!$A$2:$A$250, 'country region mapping'!$E$2:$E$250)</f>
        <v>#NAME?</v>
      </c>
      <c r="E1555" s="1" t="e">
        <f t="array" aca="1" ref="E1555" ca="1">_xludf.XLOOKUP(C1555,'country region mapping'!$A$2:$A$267,'country region mapping'!$F$2:$F$267)</f>
        <v>#NAME?</v>
      </c>
      <c r="F1555" s="1" t="e">
        <f t="array" aca="1" ref="F1555" ca="1">_xludf.XLOOKUP(C1555,'country region mapping'!$A$2:$A$267,'country region mapping'!$G$2:$G$267)</f>
        <v>#NAME?</v>
      </c>
      <c r="G1555" s="1">
        <v>5.5279999999999996</v>
      </c>
      <c r="H1555" s="1">
        <v>77</v>
      </c>
      <c r="I1555" s="1">
        <v>86</v>
      </c>
      <c r="J1555" s="1">
        <v>47</v>
      </c>
      <c r="K1555" s="1">
        <v>61</v>
      </c>
      <c r="L1555" s="1">
        <v>62</v>
      </c>
      <c r="M1555" s="1">
        <v>93</v>
      </c>
      <c r="N1555" s="1">
        <v>132</v>
      </c>
      <c r="O1555" s="1">
        <v>90</v>
      </c>
      <c r="P1555" s="1">
        <v>94</v>
      </c>
      <c r="Q1555" s="1">
        <v>93</v>
      </c>
      <c r="R1555" s="1">
        <v>132</v>
      </c>
      <c r="S1555" s="1">
        <v>47</v>
      </c>
    </row>
    <row r="1556" spans="1:19">
      <c r="A1556" s="1">
        <v>2015</v>
      </c>
      <c r="B1556" s="1">
        <v>72</v>
      </c>
      <c r="C1556" s="1" t="s">
        <v>129</v>
      </c>
      <c r="D1556" s="1" t="e">
        <f t="array" aca="1" ref="D1556" ca="1">_xludf.XLOOKUP(C1556,'country region mapping'!$A$2:$A$250, 'country region mapping'!$E$2:$E$250)</f>
        <v>#NAME?</v>
      </c>
      <c r="E1556" s="1" t="e">
        <f t="array" aca="1" ref="E1556" ca="1">_xludf.XLOOKUP(C1556,'country region mapping'!$A$2:$A$267,'country region mapping'!$F$2:$F$267)</f>
        <v>#NAME?</v>
      </c>
      <c r="F1556" s="1" t="e">
        <f t="array" aca="1" ref="F1556" ca="1">_xludf.XLOOKUP(C1556,'country region mapping'!$A$2:$A$267,'country region mapping'!$G$2:$G$267)</f>
        <v>#NAME?</v>
      </c>
      <c r="G1556" s="1">
        <v>5.5170000000000003</v>
      </c>
      <c r="H1556" s="1">
        <v>48</v>
      </c>
      <c r="I1556" s="1">
        <v>26</v>
      </c>
      <c r="J1556" s="1">
        <v>35</v>
      </c>
      <c r="K1556" s="1">
        <v>40</v>
      </c>
      <c r="L1556" s="1">
        <v>48</v>
      </c>
      <c r="M1556" s="1">
        <v>96</v>
      </c>
      <c r="N1556" s="1">
        <v>22</v>
      </c>
      <c r="O1556" s="1">
        <v>78</v>
      </c>
      <c r="P1556" s="1">
        <v>18</v>
      </c>
      <c r="Q1556" s="1">
        <v>96</v>
      </c>
      <c r="R1556" s="1">
        <v>107</v>
      </c>
      <c r="S1556" s="1">
        <v>123</v>
      </c>
    </row>
    <row r="1557" spans="1:19">
      <c r="A1557" s="1">
        <v>2015</v>
      </c>
      <c r="B1557" s="1">
        <v>73</v>
      </c>
      <c r="C1557" s="1" t="s">
        <v>130</v>
      </c>
      <c r="D1557" s="1" t="e">
        <f t="array" aca="1" ref="D1557" ca="1">_xludf.XLOOKUP(C1557,'country region mapping'!$A$2:$A$250, 'country region mapping'!$E$2:$E$250)</f>
        <v>#NAME?</v>
      </c>
      <c r="E1557" s="1" t="e">
        <f t="array" aca="1" ref="E1557" ca="1">_xludf.XLOOKUP(C1557,'country region mapping'!$A$2:$A$267,'country region mapping'!$F$2:$F$267)</f>
        <v>#NAME?</v>
      </c>
      <c r="F1557" s="1" t="e">
        <f t="array" aca="1" ref="F1557" ca="1">_xludf.XLOOKUP(C1557,'country region mapping'!$A$2:$A$267,'country region mapping'!$G$2:$G$267)</f>
        <v>#NAME?</v>
      </c>
      <c r="G1557" s="1">
        <v>5.51</v>
      </c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</row>
    <row r="1558" spans="1:19">
      <c r="A1558" s="1">
        <v>2015</v>
      </c>
      <c r="B1558" s="1">
        <v>74</v>
      </c>
      <c r="C1558" s="1" t="s">
        <v>131</v>
      </c>
      <c r="D1558" s="1" t="e">
        <f t="array" aca="1" ref="D1558" ca="1">_xludf.XLOOKUP(C1558,'country region mapping'!$A$2:$A$250, 'country region mapping'!$E$2:$E$250)</f>
        <v>#NAME?</v>
      </c>
      <c r="E1558" s="1" t="e">
        <f t="array" aca="1" ref="E1558" ca="1">_xludf.XLOOKUP(C1558,'country region mapping'!$A$2:$A$267,'country region mapping'!$F$2:$F$267)</f>
        <v>#NAME?</v>
      </c>
      <c r="F1558" s="1" t="e">
        <f t="array" aca="1" ref="F1558" ca="1">_xludf.XLOOKUP(C1558,'country region mapping'!$A$2:$A$267,'country region mapping'!$G$2:$G$267)</f>
        <v>#NAME?</v>
      </c>
      <c r="G1558" s="1">
        <v>5.4880000000000004</v>
      </c>
      <c r="H1558" s="1">
        <v>33</v>
      </c>
      <c r="I1558" s="1">
        <v>91</v>
      </c>
      <c r="J1558" s="1">
        <v>46</v>
      </c>
      <c r="K1558" s="1">
        <v>37</v>
      </c>
      <c r="L1558" s="1">
        <v>92</v>
      </c>
      <c r="M1558" s="1">
        <v>74</v>
      </c>
      <c r="N1558" s="1">
        <v>87</v>
      </c>
      <c r="O1558" s="1">
        <v>106</v>
      </c>
      <c r="P1558" s="1">
        <v>81</v>
      </c>
      <c r="Q1558" s="1">
        <v>74</v>
      </c>
      <c r="R1558" s="1">
        <v>125</v>
      </c>
      <c r="S1558" s="1">
        <v>136</v>
      </c>
    </row>
    <row r="1559" spans="1:19">
      <c r="A1559" s="1">
        <v>2015</v>
      </c>
      <c r="B1559" s="1">
        <v>75</v>
      </c>
      <c r="C1559" s="1" t="s">
        <v>132</v>
      </c>
      <c r="D1559" s="1" t="e">
        <f t="array" aca="1" ref="D1559" ca="1">_xludf.XLOOKUP(C1559,'country region mapping'!$A$2:$A$267,'country region mapping'!$E$2:$E$267)</f>
        <v>#NAME?</v>
      </c>
      <c r="E1559" s="1" t="e">
        <f t="array" aca="1" ref="E1559" ca="1">_xludf.XLOOKUP(C1559,'country region mapping'!$A$2:$A$267,'country region mapping'!$F$2:$F$267)</f>
        <v>#NAME?</v>
      </c>
      <c r="F1559" s="1" t="e">
        <f t="array" aca="1" ref="F1559" ca="1">_xludf.XLOOKUP(C1559,'country region mapping'!$A$2:$A$267,'country region mapping'!$G$2:$G$267)</f>
        <v>#NAME?</v>
      </c>
      <c r="G1559" s="1">
        <v>5.4580000000000002</v>
      </c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</row>
    <row r="1560" spans="1:19">
      <c r="A1560" s="1">
        <v>2015</v>
      </c>
      <c r="B1560" s="1">
        <v>76</v>
      </c>
      <c r="C1560" s="1" t="s">
        <v>134</v>
      </c>
      <c r="D1560" s="1" t="e">
        <f t="array" aca="1" ref="D1560" ca="1">_xludf.XLOOKUP(C1560,'country region mapping'!$A$2:$A$250, 'country region mapping'!$E$2:$E$250)</f>
        <v>#NAME?</v>
      </c>
      <c r="E1560" s="1" t="e">
        <f t="array" aca="1" ref="E1560" ca="1">_xludf.XLOOKUP(C1560,'country region mapping'!$A$2:$A$267,'country region mapping'!$F$2:$F$267)</f>
        <v>#NAME?</v>
      </c>
      <c r="F1560" s="1" t="e">
        <f t="array" aca="1" ref="F1560" ca="1">_xludf.XLOOKUP(C1560,'country region mapping'!$A$2:$A$267,'country region mapping'!$G$2:$G$267)</f>
        <v>#NAME?</v>
      </c>
      <c r="G1560" s="1">
        <v>5.44</v>
      </c>
      <c r="H1560" s="1">
        <v>95</v>
      </c>
      <c r="I1560" s="1">
        <v>130</v>
      </c>
      <c r="J1560" s="1">
        <v>140</v>
      </c>
      <c r="K1560" s="1">
        <v>2</v>
      </c>
      <c r="L1560" s="1">
        <v>137</v>
      </c>
      <c r="M1560" s="1">
        <v>117</v>
      </c>
      <c r="N1560" s="1">
        <v>12</v>
      </c>
      <c r="O1560" s="1">
        <v>27</v>
      </c>
      <c r="P1560" s="1">
        <v>20</v>
      </c>
      <c r="Q1560" s="1">
        <v>117</v>
      </c>
      <c r="R1560" s="1">
        <v>66</v>
      </c>
      <c r="S1560" s="1">
        <v>3</v>
      </c>
    </row>
    <row r="1561" spans="1:19">
      <c r="A1561" s="1">
        <v>2022</v>
      </c>
      <c r="B1561" s="1">
        <v>80</v>
      </c>
      <c r="C1561" s="1" t="s">
        <v>162</v>
      </c>
      <c r="D1561" s="1" t="e">
        <f t="array" aca="1" ref="D1561" ca="1">_xludf.XLOOKUP(C1561,'country region mapping'!$A$2:$A$250, 'country region mapping'!$E$2:$E$250)</f>
        <v>#NAME?</v>
      </c>
      <c r="E1561" s="1" t="e">
        <f t="array" aca="1" ref="E1561" ca="1">_xludf.XLOOKUP(C1561,'country region mapping'!$A$2:$A$267,'country region mapping'!$F$2:$F$267)</f>
        <v>#NAME?</v>
      </c>
      <c r="F1561" s="1" t="e">
        <f t="array" aca="1" ref="F1561" ca="1">_xludf.XLOOKUP(C1561,'country region mapping'!$A$2:$A$267,'country region mapping'!$G$2:$G$267)</f>
        <v>#NAME?</v>
      </c>
      <c r="G1561" s="1">
        <v>5.33</v>
      </c>
      <c r="H1561" s="1">
        <v>14</v>
      </c>
      <c r="I1561" s="1">
        <v>60</v>
      </c>
      <c r="J1561" s="1">
        <v>115</v>
      </c>
      <c r="K1561" s="1">
        <v>67</v>
      </c>
      <c r="M1561" s="14">
        <v>93</v>
      </c>
      <c r="N1561" s="14">
        <v>11</v>
      </c>
      <c r="O1561" s="14">
        <v>53</v>
      </c>
      <c r="P1561" s="14">
        <v>36</v>
      </c>
      <c r="Q1561" s="14">
        <v>93</v>
      </c>
      <c r="R1561" s="14">
        <v>3</v>
      </c>
      <c r="S1561" s="14">
        <v>30</v>
      </c>
    </row>
    <row r="1562" spans="1:19">
      <c r="A1562" s="1">
        <v>2015</v>
      </c>
      <c r="B1562" s="1">
        <v>78</v>
      </c>
      <c r="C1562" s="1" t="s">
        <v>136</v>
      </c>
      <c r="D1562" s="1" t="e">
        <f t="array" aca="1" ref="D1562" ca="1">_xludf.XLOOKUP(C1562,'country region mapping'!$A$2:$A$250, 'country region mapping'!$E$2:$E$250)</f>
        <v>#NAME?</v>
      </c>
      <c r="E1562" s="1" t="e">
        <f t="array" aca="1" ref="E1562" ca="1">_xludf.XLOOKUP(C1562,'country region mapping'!$A$2:$A$267,'country region mapping'!$F$2:$F$267)</f>
        <v>#NAME?</v>
      </c>
      <c r="F1562" s="1" t="e">
        <f t="array" aca="1" ref="F1562" ca="1">_xludf.XLOOKUP(C1562,'country region mapping'!$A$2:$A$267,'country region mapping'!$G$2:$G$267)</f>
        <v>#NAME?</v>
      </c>
      <c r="G1562" s="1">
        <v>5.3890000000000002</v>
      </c>
      <c r="H1562" s="1">
        <v>120</v>
      </c>
      <c r="I1562" s="1">
        <v>61</v>
      </c>
      <c r="J1562" s="1">
        <v>52</v>
      </c>
      <c r="K1562" s="1">
        <v>52</v>
      </c>
      <c r="L1562" s="1">
        <v>105</v>
      </c>
      <c r="M1562" s="1">
        <v>49</v>
      </c>
      <c r="N1562" s="1">
        <v>64</v>
      </c>
      <c r="O1562" s="1">
        <v>140</v>
      </c>
      <c r="P1562" s="1">
        <v>130</v>
      </c>
      <c r="Q1562" s="1">
        <v>49</v>
      </c>
      <c r="R1562" s="1">
        <v>124</v>
      </c>
      <c r="S1562" s="1">
        <v>11</v>
      </c>
    </row>
    <row r="1563" spans="1:19">
      <c r="A1563" s="1">
        <v>2015</v>
      </c>
      <c r="B1563" s="1">
        <v>79</v>
      </c>
      <c r="C1563" s="1" t="s">
        <v>137</v>
      </c>
      <c r="D1563" s="1" t="e">
        <f t="array" aca="1" ref="D1563" ca="1">_xludf.XLOOKUP(C1563,'country region mapping'!$A$2:$A$250, 'country region mapping'!$E$2:$E$250)</f>
        <v>#NAME?</v>
      </c>
      <c r="E1563" s="1" t="e">
        <f t="array" aca="1" ref="E1563" ca="1">_xludf.XLOOKUP(C1563,'country region mapping'!$A$2:$A$267,'country region mapping'!$F$2:$F$267)</f>
        <v>#NAME?</v>
      </c>
      <c r="F1563" s="1" t="e">
        <f t="array" aca="1" ref="F1563" ca="1">_xludf.XLOOKUP(C1563,'country region mapping'!$A$2:$A$267,'country region mapping'!$G$2:$G$267)</f>
        <v>#NAME?</v>
      </c>
      <c r="G1563" s="1">
        <v>5.3140000000000001</v>
      </c>
      <c r="H1563" s="1">
        <v>68</v>
      </c>
      <c r="I1563" s="1">
        <v>80</v>
      </c>
      <c r="J1563" s="1">
        <v>88</v>
      </c>
      <c r="K1563" s="1">
        <v>88</v>
      </c>
      <c r="L1563" s="1">
        <v>68</v>
      </c>
      <c r="M1563" s="1">
        <v>2</v>
      </c>
      <c r="N1563" s="1">
        <v>129</v>
      </c>
      <c r="O1563" s="1">
        <v>15</v>
      </c>
      <c r="P1563" s="1">
        <v>71</v>
      </c>
      <c r="Q1563" s="1">
        <v>2</v>
      </c>
      <c r="R1563" s="1">
        <v>3</v>
      </c>
      <c r="S1563" s="1">
        <v>105</v>
      </c>
    </row>
    <row r="1564" spans="1:19">
      <c r="A1564" s="1">
        <v>2015</v>
      </c>
      <c r="B1564" s="1">
        <v>108</v>
      </c>
      <c r="C1564" s="1" t="s">
        <v>173</v>
      </c>
      <c r="D1564" s="1" t="e">
        <f t="array" aca="1" ref="D1564" ca="1">_xludf.XLOOKUP(C1564,'country region mapping'!$A$2:$A$267,'country region mapping'!$E$2:$E$267)</f>
        <v>#NAME?</v>
      </c>
      <c r="E1564" s="1" t="e">
        <f t="array" aca="1" ref="E1564" ca="1">_xludf.XLOOKUP(C1564,'country region mapping'!$A$2:$A$267,'country region mapping'!$F$2:$F$267)</f>
        <v>#NAME?</v>
      </c>
      <c r="F1564" s="1" t="e">
        <f t="array" aca="1" ref="F1564" ca="1">_xludf.XLOOKUP(C1564,'country region mapping'!$A$2:$A$267,'country region mapping'!$G$2:$G$267)</f>
        <v>#NAME?</v>
      </c>
      <c r="G1564" s="1">
        <v>4.7539999999999996</v>
      </c>
      <c r="H1564" s="1">
        <v>109</v>
      </c>
      <c r="I1564" s="1">
        <v>95</v>
      </c>
      <c r="J1564" s="1">
        <v>101</v>
      </c>
      <c r="K1564" s="1"/>
      <c r="L1564" s="1">
        <v>126</v>
      </c>
      <c r="M1564" s="1">
        <v>134</v>
      </c>
      <c r="N1564" s="1">
        <v>57</v>
      </c>
      <c r="O1564" s="1">
        <v>122</v>
      </c>
      <c r="Q1564" s="14">
        <v>134</v>
      </c>
      <c r="R1564" s="14">
        <v>126</v>
      </c>
      <c r="S1564" s="14">
        <v>130</v>
      </c>
    </row>
    <row r="1565" spans="1:19">
      <c r="A1565" s="1">
        <v>2015</v>
      </c>
      <c r="B1565" s="1">
        <v>81</v>
      </c>
      <c r="C1565" s="1" t="s">
        <v>140</v>
      </c>
      <c r="D1565" s="1" t="e">
        <f t="array" aca="1" ref="D1565" ca="1">_xludf.XLOOKUP(C1565,'country region mapping'!$A$2:$A$250, 'country region mapping'!$E$2:$E$250)</f>
        <v>#NAME?</v>
      </c>
      <c r="E1565" s="1" t="e">
        <f t="array" aca="1" ref="E1565" ca="1">_xludf.XLOOKUP(C1565,'country region mapping'!$A$2:$A$267,'country region mapping'!$F$2:$F$267)</f>
        <v>#NAME?</v>
      </c>
      <c r="F1565" s="1" t="e">
        <f t="array" aca="1" ref="F1565" ca="1">_xludf.XLOOKUP(C1565,'country region mapping'!$A$2:$A$267,'country region mapping'!$G$2:$G$267)</f>
        <v>#NAME?</v>
      </c>
      <c r="G1565" s="1">
        <v>5.2910000000000004</v>
      </c>
      <c r="H1565" s="1">
        <v>23</v>
      </c>
      <c r="I1565" s="1">
        <v>87</v>
      </c>
      <c r="J1565" s="1">
        <v>58</v>
      </c>
      <c r="K1565" s="1">
        <v>68</v>
      </c>
      <c r="L1565" s="1">
        <v>74</v>
      </c>
      <c r="M1565" s="1">
        <v>122</v>
      </c>
      <c r="N1565" s="1">
        <v>23</v>
      </c>
      <c r="O1565" s="1">
        <v>129</v>
      </c>
      <c r="P1565" s="1">
        <v>30</v>
      </c>
      <c r="Q1565" s="1">
        <v>122</v>
      </c>
      <c r="R1565" s="1">
        <v>87</v>
      </c>
      <c r="S1565" s="1">
        <v>131</v>
      </c>
    </row>
    <row r="1566" spans="1:19">
      <c r="A1566" s="1">
        <v>2015</v>
      </c>
      <c r="B1566" s="1">
        <v>82</v>
      </c>
      <c r="C1566" s="1" t="s">
        <v>141</v>
      </c>
      <c r="D1566" s="1" t="e">
        <f t="array" aca="1" ref="D1566" ca="1">_xludf.XLOOKUP(C1566,'country region mapping'!$A$2:$A$250, 'country region mapping'!$E$2:$E$250)</f>
        <v>#NAME?</v>
      </c>
      <c r="E1566" s="1" t="e">
        <f t="array" aca="1" ref="E1566" ca="1">_xludf.XLOOKUP(C1566,'country region mapping'!$A$2:$A$267,'country region mapping'!$F$2:$F$267)</f>
        <v>#NAME?</v>
      </c>
      <c r="F1566" s="1" t="e">
        <f t="array" aca="1" ref="F1566" ca="1">_xludf.XLOOKUP(C1566,'country region mapping'!$A$2:$A$267,'country region mapping'!$G$2:$G$267)</f>
        <v>#NAME?</v>
      </c>
      <c r="G1566" s="1">
        <v>5.2789999999999999</v>
      </c>
      <c r="H1566" s="1">
        <v>129</v>
      </c>
      <c r="I1566" s="1">
        <v>59</v>
      </c>
      <c r="J1566" s="1">
        <v>97</v>
      </c>
      <c r="K1566" s="1">
        <v>93</v>
      </c>
      <c r="L1566" s="1">
        <v>17</v>
      </c>
      <c r="M1566" s="1">
        <v>89</v>
      </c>
      <c r="N1566" s="1">
        <v>50</v>
      </c>
      <c r="O1566" s="1">
        <v>13</v>
      </c>
      <c r="P1566" s="1">
        <v>117</v>
      </c>
      <c r="Q1566" s="1">
        <v>89</v>
      </c>
      <c r="R1566" s="1">
        <v>7</v>
      </c>
      <c r="S1566" s="1">
        <v>53</v>
      </c>
    </row>
    <row r="1567" spans="1:19">
      <c r="A1567" s="1">
        <v>2022</v>
      </c>
      <c r="B1567" s="1">
        <v>88</v>
      </c>
      <c r="C1567" s="1" t="s">
        <v>93</v>
      </c>
      <c r="D1567" s="1" t="e">
        <f t="array" aca="1" ref="D1567" ca="1">_xludf.XLOOKUP(C1567,'country region mapping'!$A$2:$A$267,'country region mapping'!$E$2:$E$267)</f>
        <v>#NAME?</v>
      </c>
      <c r="E1567" s="1" t="e">
        <f t="array" aca="1" ref="E1567" ca="1">_xludf.XLOOKUP(C1567,'country region mapping'!$A$2:$A$267,'country region mapping'!$F$2:$F$267)</f>
        <v>#NAME?</v>
      </c>
      <c r="F1567" s="1" t="e">
        <f t="array" aca="1" ref="F1567" ca="1">_xludf.XLOOKUP(C1567,'country region mapping'!$A$2:$A$267,'country region mapping'!$G$2:$G$267)</f>
        <v>#NAME?</v>
      </c>
      <c r="G1567" s="1">
        <v>5.2110000000000003</v>
      </c>
      <c r="H1567" s="1">
        <v>103</v>
      </c>
      <c r="I1567" s="1">
        <v>34</v>
      </c>
      <c r="K1567" s="1">
        <v>74</v>
      </c>
      <c r="L1567" s="1">
        <v>82</v>
      </c>
      <c r="M1567" s="14">
        <v>123</v>
      </c>
      <c r="N1567" s="14">
        <v>78</v>
      </c>
      <c r="O1567" s="14">
        <v>27</v>
      </c>
      <c r="P1567" s="14">
        <v>80</v>
      </c>
      <c r="Q1567" s="14">
        <v>123</v>
      </c>
      <c r="R1567" s="14">
        <v>44</v>
      </c>
      <c r="S1567" s="14">
        <v>11</v>
      </c>
    </row>
    <row r="1568" spans="1:19">
      <c r="A1568" s="1">
        <v>2015</v>
      </c>
      <c r="B1568" s="1">
        <v>84</v>
      </c>
      <c r="C1568" s="1" t="s">
        <v>143</v>
      </c>
      <c r="D1568" s="1" t="e">
        <f t="array" aca="1" ref="D1568" ca="1">_xludf.XLOOKUP(C1568,'country region mapping'!$A$2:$A$250, 'country region mapping'!$E$2:$E$250)</f>
        <v>#NAME?</v>
      </c>
      <c r="E1568" s="1" t="e">
        <f t="array" aca="1" ref="E1568" ca="1">_xludf.XLOOKUP(C1568,'country region mapping'!$A$2:$A$267,'country region mapping'!$F$2:$F$267)</f>
        <v>#NAME?</v>
      </c>
      <c r="F1568" s="1" t="e">
        <f t="array" aca="1" ref="F1568" ca="1">_xludf.XLOOKUP(C1568,'country region mapping'!$A$2:$A$267,'country region mapping'!$G$2:$G$267)</f>
        <v>#NAME?</v>
      </c>
      <c r="G1568" s="1">
        <v>5.1959999999999997</v>
      </c>
      <c r="H1568" s="1">
        <v>2</v>
      </c>
      <c r="I1568" s="1">
        <v>63</v>
      </c>
      <c r="J1568" s="1">
        <v>85</v>
      </c>
      <c r="K1568" s="1">
        <v>43</v>
      </c>
      <c r="L1568" s="1">
        <v>78</v>
      </c>
      <c r="M1568" s="1">
        <v>22</v>
      </c>
      <c r="N1568" s="1">
        <v>26</v>
      </c>
      <c r="O1568" s="1">
        <v>45</v>
      </c>
      <c r="P1568" s="1">
        <v>95</v>
      </c>
      <c r="Q1568" s="1">
        <v>22</v>
      </c>
      <c r="R1568" s="1">
        <v>13</v>
      </c>
      <c r="S1568" s="1">
        <v>74</v>
      </c>
    </row>
    <row r="1569" spans="1:19">
      <c r="A1569" s="1">
        <v>2015</v>
      </c>
      <c r="B1569" s="1">
        <v>85</v>
      </c>
      <c r="C1569" s="1" t="s">
        <v>144</v>
      </c>
      <c r="D1569" s="1" t="e">
        <f t="array" aca="1" ref="D1569" ca="1">_xludf.XLOOKUP(C1569,'country region mapping'!$A$2:$A$250, 'country region mapping'!$E$2:$E$250)</f>
        <v>#NAME?</v>
      </c>
      <c r="E1569" s="1" t="e">
        <f t="array" aca="1" ref="E1569" ca="1">_xludf.XLOOKUP(C1569,'country region mapping'!$A$2:$A$267,'country region mapping'!$F$2:$F$267)</f>
        <v>#NAME?</v>
      </c>
      <c r="F1569" s="1" t="e">
        <f t="array" aca="1" ref="F1569" ca="1">_xludf.XLOOKUP(C1569,'country region mapping'!$A$2:$A$267,'country region mapping'!$G$2:$G$267)</f>
        <v>#NAME?</v>
      </c>
      <c r="G1569" s="1">
        <v>5.1849999999999996</v>
      </c>
      <c r="H1569" s="1">
        <v>40</v>
      </c>
      <c r="I1569" s="1">
        <v>57</v>
      </c>
      <c r="J1569" s="1">
        <v>106</v>
      </c>
      <c r="K1569" s="1">
        <v>81</v>
      </c>
      <c r="L1569" s="1">
        <v>50</v>
      </c>
      <c r="M1569" s="1">
        <v>37</v>
      </c>
      <c r="N1569" s="1">
        <v>94</v>
      </c>
      <c r="O1569" s="1">
        <v>72</v>
      </c>
      <c r="P1569" s="1">
        <v>11</v>
      </c>
      <c r="Q1569" s="1">
        <v>37</v>
      </c>
      <c r="R1569" s="1">
        <v>33</v>
      </c>
      <c r="S1569" s="1">
        <v>55</v>
      </c>
    </row>
    <row r="1570" spans="1:19">
      <c r="A1570" s="1">
        <v>2015</v>
      </c>
      <c r="B1570" s="1">
        <v>86</v>
      </c>
      <c r="C1570" s="1" t="s">
        <v>145</v>
      </c>
      <c r="D1570" s="1" t="e">
        <f t="array" aca="1" ref="D1570" ca="1">_xludf.XLOOKUP(C1570,'country region mapping'!$A$2:$A$250, 'country region mapping'!$E$2:$E$250)</f>
        <v>#NAME?</v>
      </c>
      <c r="E1570" s="1" t="e">
        <f t="array" aca="1" ref="E1570" ca="1">_xludf.XLOOKUP(C1570,'country region mapping'!$A$2:$A$267,'country region mapping'!$F$2:$F$267)</f>
        <v>#NAME?</v>
      </c>
      <c r="F1570" s="1" t="e">
        <f t="array" aca="1" ref="F1570" ca="1">_xludf.XLOOKUP(C1570,'country region mapping'!$A$2:$A$267,'country region mapping'!$G$2:$G$267)</f>
        <v>#NAME?</v>
      </c>
      <c r="G1570" s="1">
        <v>5.1769999999999996</v>
      </c>
      <c r="H1570" s="1">
        <v>78</v>
      </c>
      <c r="I1570" s="1">
        <v>77</v>
      </c>
      <c r="J1570" s="1">
        <v>63</v>
      </c>
      <c r="K1570" s="1">
        <v>58</v>
      </c>
      <c r="L1570" s="1">
        <v>128</v>
      </c>
      <c r="M1570" s="1">
        <v>73</v>
      </c>
      <c r="N1570" s="1">
        <v>95</v>
      </c>
      <c r="O1570" s="1">
        <v>135</v>
      </c>
      <c r="P1570" s="1">
        <v>88</v>
      </c>
      <c r="Q1570" s="1">
        <v>73</v>
      </c>
      <c r="R1570" s="1">
        <v>138</v>
      </c>
      <c r="S1570" s="1">
        <v>137</v>
      </c>
    </row>
    <row r="1571" spans="1:19">
      <c r="A1571" s="1">
        <v>2015</v>
      </c>
      <c r="B1571" s="1">
        <v>87</v>
      </c>
      <c r="C1571" s="1" t="s">
        <v>146</v>
      </c>
      <c r="D1571" s="1" t="e">
        <f t="array" aca="1" ref="D1571" ca="1">_xludf.XLOOKUP(C1571,'country region mapping'!$A$2:$A$250, 'country region mapping'!$E$2:$E$250)</f>
        <v>#NAME?</v>
      </c>
      <c r="E1571" s="1" t="e">
        <f t="array" aca="1" ref="E1571" ca="1">_xludf.XLOOKUP(C1571,'country region mapping'!$A$2:$A$267,'country region mapping'!$F$2:$F$267)</f>
        <v>#NAME?</v>
      </c>
      <c r="F1571" s="1" t="e">
        <f t="array" aca="1" ref="F1571" ca="1">_xludf.XLOOKUP(C1571,'country region mapping'!$A$2:$A$267,'country region mapping'!$G$2:$G$267)</f>
        <v>#NAME?</v>
      </c>
      <c r="G1571" s="1">
        <v>5.1630000000000003</v>
      </c>
      <c r="H1571" s="1">
        <v>113</v>
      </c>
      <c r="I1571" s="1">
        <v>118</v>
      </c>
      <c r="J1571" s="1">
        <v>74</v>
      </c>
      <c r="K1571" s="1">
        <v>48</v>
      </c>
      <c r="L1571" s="1">
        <v>110</v>
      </c>
      <c r="M1571" s="1">
        <v>77</v>
      </c>
      <c r="N1571" s="1">
        <v>131</v>
      </c>
      <c r="O1571" s="1">
        <v>133</v>
      </c>
      <c r="P1571" s="1">
        <v>77</v>
      </c>
      <c r="Q1571" s="1">
        <v>77</v>
      </c>
      <c r="R1571" s="1">
        <v>140</v>
      </c>
      <c r="S1571" s="1">
        <v>124</v>
      </c>
    </row>
    <row r="1572" spans="1:19">
      <c r="A1572" s="1">
        <v>2015</v>
      </c>
      <c r="B1572" s="1">
        <v>88</v>
      </c>
      <c r="C1572" s="1" t="s">
        <v>147</v>
      </c>
      <c r="D1572" s="1" t="e">
        <f t="array" aca="1" ref="D1572" ca="1">_xludf.XLOOKUP(C1572,'country region mapping'!$A$2:$A$250, 'country region mapping'!$E$2:$E$250)</f>
        <v>#NAME?</v>
      </c>
      <c r="E1572" s="1" t="e">
        <f t="array" aca="1" ref="E1572" ca="1">_xludf.XLOOKUP(C1572,'country region mapping'!$A$2:$A$267,'country region mapping'!$F$2:$F$267)</f>
        <v>#NAME?</v>
      </c>
      <c r="F1572" s="1" t="e">
        <f t="array" aca="1" ref="F1572" ca="1">_xludf.XLOOKUP(C1572,'country region mapping'!$A$2:$A$267,'country region mapping'!$G$2:$G$267)</f>
        <v>#NAME?</v>
      </c>
      <c r="G1572" s="1">
        <v>5.1609999999999996</v>
      </c>
      <c r="H1572" s="1">
        <v>123</v>
      </c>
      <c r="I1572" s="1">
        <v>103</v>
      </c>
      <c r="J1572" s="1">
        <v>57</v>
      </c>
      <c r="K1572" s="1">
        <v>42</v>
      </c>
      <c r="L1572" s="1">
        <v>121</v>
      </c>
      <c r="M1572" s="1">
        <v>102</v>
      </c>
      <c r="N1572" s="1">
        <v>60</v>
      </c>
      <c r="O1572" s="1">
        <v>124</v>
      </c>
      <c r="P1572" s="1">
        <v>109</v>
      </c>
      <c r="Q1572" s="1">
        <v>102</v>
      </c>
      <c r="R1572" s="1">
        <v>130</v>
      </c>
      <c r="S1572" s="1">
        <v>125</v>
      </c>
    </row>
    <row r="1573" spans="1:19">
      <c r="A1573" s="1">
        <v>2015</v>
      </c>
      <c r="B1573" s="1">
        <v>89</v>
      </c>
      <c r="C1573" s="1" t="s">
        <v>149</v>
      </c>
      <c r="D1573" s="1" t="e">
        <f t="array" aca="1" ref="D1573" ca="1">_xludf.XLOOKUP(C1573,'country region mapping'!$A$2:$A$250, 'country region mapping'!$E$2:$E$250)</f>
        <v>#NAME?</v>
      </c>
      <c r="E1573" s="1" t="e">
        <f t="array" aca="1" ref="E1573" ca="1">_xludf.XLOOKUP(C1573,'country region mapping'!$A$2:$A$267,'country region mapping'!$F$2:$F$267)</f>
        <v>#NAME?</v>
      </c>
      <c r="F1573" s="1" t="e">
        <f t="array" aca="1" ref="F1573" ca="1">_xludf.XLOOKUP(C1573,'country region mapping'!$A$2:$A$267,'country region mapping'!$G$2:$G$267)</f>
        <v>#NAME?</v>
      </c>
      <c r="G1573" s="1">
        <v>5.1550000000000002</v>
      </c>
      <c r="H1573" s="1">
        <v>134</v>
      </c>
      <c r="I1573" s="1">
        <v>39</v>
      </c>
      <c r="J1573" s="1">
        <v>64</v>
      </c>
      <c r="K1573" s="1">
        <v>77</v>
      </c>
      <c r="L1573" s="1">
        <v>34</v>
      </c>
      <c r="M1573" s="1">
        <v>76</v>
      </c>
      <c r="N1573" s="1">
        <v>51</v>
      </c>
      <c r="O1573" s="1">
        <v>55</v>
      </c>
      <c r="P1573" s="1">
        <v>82</v>
      </c>
      <c r="Q1573" s="1">
        <v>76</v>
      </c>
      <c r="R1573" s="1">
        <v>15</v>
      </c>
      <c r="S1573" s="1">
        <v>24</v>
      </c>
    </row>
    <row r="1574" spans="1:19">
      <c r="A1574" s="1">
        <v>2015</v>
      </c>
      <c r="B1574" s="1">
        <v>90</v>
      </c>
      <c r="C1574" s="1" t="s">
        <v>150</v>
      </c>
      <c r="D1574" s="1" t="e">
        <f t="array" aca="1" ref="D1574" ca="1">_xludf.XLOOKUP(C1574,'country region mapping'!$A$2:$A$250, 'country region mapping'!$E$2:$E$250)</f>
        <v>#NAME?</v>
      </c>
      <c r="E1574" s="1" t="e">
        <f t="array" aca="1" ref="E1574" ca="1">_xludf.XLOOKUP(C1574,'country region mapping'!$A$2:$A$267,'country region mapping'!$F$2:$F$267)</f>
        <v>#NAME?</v>
      </c>
      <c r="F1574" s="1" t="e">
        <f t="array" aca="1" ref="F1574" ca="1">_xludf.XLOOKUP(C1574,'country region mapping'!$A$2:$A$267,'country region mapping'!$G$2:$G$267)</f>
        <v>#NAME?</v>
      </c>
      <c r="G1574" s="1">
        <v>5.1509999999999998</v>
      </c>
      <c r="H1574" s="1">
        <v>64</v>
      </c>
      <c r="I1574" s="1">
        <v>128</v>
      </c>
      <c r="J1574" s="1">
        <v>96</v>
      </c>
      <c r="K1574" s="1">
        <v>80</v>
      </c>
      <c r="L1574" s="1">
        <v>87</v>
      </c>
      <c r="M1574" s="1">
        <v>141</v>
      </c>
      <c r="N1574" s="1">
        <v>84</v>
      </c>
      <c r="O1574" s="1">
        <v>102</v>
      </c>
      <c r="P1574" s="1">
        <v>65</v>
      </c>
      <c r="Q1574" s="1">
        <v>141</v>
      </c>
      <c r="R1574" s="1">
        <v>134</v>
      </c>
      <c r="S1574" s="1">
        <v>61</v>
      </c>
    </row>
    <row r="1575" spans="1:19">
      <c r="A1575" s="1">
        <v>2015</v>
      </c>
      <c r="B1575" s="1">
        <v>91</v>
      </c>
      <c r="C1575" s="1" t="s">
        <v>151</v>
      </c>
      <c r="D1575" s="1" t="e">
        <f t="array" aca="1" ref="D1575" ca="1">_xludf.XLOOKUP(C1575,'country region mapping'!$A$2:$A$250, 'country region mapping'!$E$2:$E$250)</f>
        <v>#NAME?</v>
      </c>
      <c r="E1575" s="1" t="e">
        <f t="array" aca="1" ref="E1575" ca="1">_xludf.XLOOKUP(C1575,'country region mapping'!$A$2:$A$267,'country region mapping'!$F$2:$F$267)</f>
        <v>#NAME?</v>
      </c>
      <c r="F1575" s="1" t="e">
        <f t="array" aca="1" ref="F1575" ca="1">_xludf.XLOOKUP(C1575,'country region mapping'!$A$2:$A$267,'country region mapping'!$G$2:$G$267)</f>
        <v>#NAME?</v>
      </c>
      <c r="G1575" s="1">
        <v>5.1449999999999996</v>
      </c>
      <c r="H1575" s="1">
        <v>47</v>
      </c>
      <c r="I1575" s="1">
        <v>56</v>
      </c>
      <c r="J1575" s="1">
        <v>41</v>
      </c>
      <c r="K1575" s="1">
        <v>60</v>
      </c>
      <c r="L1575" s="1">
        <v>125</v>
      </c>
      <c r="M1575" s="1">
        <v>114</v>
      </c>
      <c r="N1575" s="1">
        <v>118</v>
      </c>
      <c r="O1575" s="1">
        <v>77</v>
      </c>
      <c r="P1575" s="1">
        <v>58</v>
      </c>
      <c r="Q1575" s="1">
        <v>114</v>
      </c>
      <c r="R1575" s="1">
        <v>127</v>
      </c>
      <c r="S1575" s="1">
        <v>129</v>
      </c>
    </row>
    <row r="1576" spans="1:19">
      <c r="A1576" s="1">
        <v>2015</v>
      </c>
      <c r="B1576" s="1">
        <v>92</v>
      </c>
      <c r="C1576" s="1" t="s">
        <v>152</v>
      </c>
      <c r="D1576" s="1" t="e">
        <f t="array" aca="1" ref="D1576" ca="1">_xludf.XLOOKUP(C1576,'country region mapping'!$A$2:$A$250, 'country region mapping'!$E$2:$E$250)</f>
        <v>#NAME?</v>
      </c>
      <c r="E1576" s="1" t="e">
        <f t="array" aca="1" ref="E1576" ca="1">_xludf.XLOOKUP(C1576,'country region mapping'!$A$2:$A$267,'country region mapping'!$F$2:$F$267)</f>
        <v>#NAME?</v>
      </c>
      <c r="F1576" s="1" t="e">
        <f t="array" aca="1" ref="F1576" ca="1">_xludf.XLOOKUP(C1576,'country region mapping'!$A$2:$A$267,'country region mapping'!$G$2:$G$267)</f>
        <v>#NAME?</v>
      </c>
      <c r="G1576" s="1">
        <v>5.1319999999999997</v>
      </c>
      <c r="H1576" s="1">
        <v>62</v>
      </c>
      <c r="I1576" s="1">
        <v>135</v>
      </c>
      <c r="J1576" s="1">
        <v>115</v>
      </c>
      <c r="K1576" s="1">
        <v>108</v>
      </c>
      <c r="L1576" s="1">
        <v>120</v>
      </c>
      <c r="M1576" s="1">
        <v>55</v>
      </c>
      <c r="N1576" s="1">
        <v>44</v>
      </c>
      <c r="O1576" s="1">
        <v>136</v>
      </c>
      <c r="P1576" s="1">
        <v>104</v>
      </c>
      <c r="Q1576" s="1">
        <v>55</v>
      </c>
      <c r="R1576" s="1">
        <v>118</v>
      </c>
      <c r="S1576" s="1">
        <v>100</v>
      </c>
    </row>
    <row r="1577" spans="1:19">
      <c r="A1577" s="1">
        <v>2015</v>
      </c>
      <c r="B1577" s="1">
        <v>93</v>
      </c>
      <c r="C1577" s="1" t="s">
        <v>154</v>
      </c>
      <c r="D1577" s="1" t="e">
        <f t="array" aca="1" ref="D1577" ca="1">_xludf.XLOOKUP(C1577,'country region mapping'!$A$2:$A$250, 'country region mapping'!$E$2:$E$250)</f>
        <v>#NAME?</v>
      </c>
      <c r="E1577" s="1" t="e">
        <f t="array" aca="1" ref="E1577" ca="1">_xludf.XLOOKUP(C1577,'country region mapping'!$A$2:$A$267,'country region mapping'!$F$2:$F$267)</f>
        <v>#NAME?</v>
      </c>
      <c r="F1577" s="1" t="e">
        <f t="array" aca="1" ref="F1577" ca="1">_xludf.XLOOKUP(C1577,'country region mapping'!$A$2:$A$267,'country region mapping'!$G$2:$G$267)</f>
        <v>#NAME?</v>
      </c>
      <c r="G1577" s="1">
        <v>5.1289999999999996</v>
      </c>
      <c r="H1577" s="1">
        <v>86</v>
      </c>
      <c r="I1577" s="1">
        <v>102</v>
      </c>
      <c r="J1577" s="1">
        <v>68</v>
      </c>
      <c r="K1577" s="1">
        <v>49</v>
      </c>
      <c r="L1577" s="1">
        <v>117</v>
      </c>
      <c r="M1577" s="1">
        <v>42</v>
      </c>
      <c r="N1577" s="1">
        <v>111</v>
      </c>
      <c r="O1577" s="1">
        <v>128</v>
      </c>
      <c r="P1577" s="1">
        <v>55</v>
      </c>
      <c r="Q1577" s="1">
        <v>42</v>
      </c>
      <c r="R1577" s="1">
        <v>122</v>
      </c>
      <c r="S1577" s="1">
        <v>109</v>
      </c>
    </row>
    <row r="1578" spans="1:19">
      <c r="A1578" s="1">
        <v>2015</v>
      </c>
      <c r="B1578" s="1">
        <v>94</v>
      </c>
      <c r="C1578" s="1" t="s">
        <v>155</v>
      </c>
      <c r="D1578" s="1" t="e">
        <f t="array" aca="1" ref="D1578" ca="1">_xludf.XLOOKUP(C1578,'country region mapping'!$A$2:$A$250, 'country region mapping'!$E$2:$E$250)</f>
        <v>#NAME?</v>
      </c>
      <c r="E1578" s="1" t="e">
        <f t="array" aca="1" ref="E1578" ca="1">_xludf.XLOOKUP(C1578,'country region mapping'!$A$2:$A$267,'country region mapping'!$F$2:$F$267)</f>
        <v>#NAME?</v>
      </c>
      <c r="F1578" s="1" t="e">
        <f t="array" aca="1" ref="F1578" ca="1">_xludf.XLOOKUP(C1578,'country region mapping'!$A$2:$A$267,'country region mapping'!$G$2:$G$267)</f>
        <v>#NAME?</v>
      </c>
      <c r="G1578" s="1">
        <v>5.1230000000000002</v>
      </c>
      <c r="H1578" s="1">
        <v>108</v>
      </c>
      <c r="I1578" s="1">
        <v>53</v>
      </c>
      <c r="J1578" s="1">
        <v>36</v>
      </c>
      <c r="K1578" s="1">
        <v>23</v>
      </c>
      <c r="L1578" s="1">
        <v>59</v>
      </c>
      <c r="M1578" s="1">
        <v>95</v>
      </c>
      <c r="N1578" s="1">
        <v>125</v>
      </c>
      <c r="O1578" s="1">
        <v>89</v>
      </c>
      <c r="P1578" s="1">
        <v>125</v>
      </c>
      <c r="Q1578" s="1">
        <v>95</v>
      </c>
      <c r="R1578" s="1">
        <v>89</v>
      </c>
      <c r="S1578" s="1">
        <v>79</v>
      </c>
    </row>
    <row r="1579" spans="1:19">
      <c r="A1579" s="1">
        <v>2015</v>
      </c>
      <c r="B1579" s="1">
        <v>95</v>
      </c>
      <c r="C1579" s="1" t="s">
        <v>156</v>
      </c>
      <c r="D1579" s="1" t="e">
        <f t="array" aca="1" ref="D1579" ca="1">_xludf.XLOOKUP(C1579,'country region mapping'!$A$2:$A$250, 'country region mapping'!$E$2:$E$250)</f>
        <v>#NAME?</v>
      </c>
      <c r="E1579" s="1" t="e">
        <f t="array" aca="1" ref="E1579" ca="1">_xludf.XLOOKUP(C1579,'country region mapping'!$A$2:$A$267,'country region mapping'!$F$2:$F$267)</f>
        <v>#NAME?</v>
      </c>
      <c r="F1579" s="1" t="e">
        <f t="array" aca="1" ref="F1579" ca="1">_xludf.XLOOKUP(C1579,'country region mapping'!$A$2:$A$267,'country region mapping'!$G$2:$G$267)</f>
        <v>#NAME?</v>
      </c>
      <c r="G1579" s="1">
        <v>5.1210000000000004</v>
      </c>
      <c r="H1579" s="1">
        <v>103</v>
      </c>
      <c r="I1579" s="1">
        <v>94</v>
      </c>
      <c r="J1579" s="1">
        <v>60</v>
      </c>
      <c r="K1579" s="1">
        <v>59</v>
      </c>
      <c r="L1579" s="1">
        <v>101</v>
      </c>
      <c r="M1579" s="1">
        <v>68</v>
      </c>
      <c r="N1579" s="1">
        <v>76</v>
      </c>
      <c r="O1579" s="1">
        <v>117</v>
      </c>
      <c r="P1579" s="1">
        <v>84</v>
      </c>
      <c r="Q1579" s="1">
        <v>68</v>
      </c>
      <c r="R1579" s="1">
        <v>131</v>
      </c>
      <c r="S1579" s="1">
        <v>127</v>
      </c>
    </row>
    <row r="1580" spans="1:19">
      <c r="A1580" s="1">
        <v>2022</v>
      </c>
      <c r="B1580" s="1">
        <v>99</v>
      </c>
      <c r="C1580" s="1" t="s">
        <v>173</v>
      </c>
      <c r="D1580" s="1" t="e">
        <f t="array" aca="1" ref="D1580" ca="1">_xludf.XLOOKUP(C1580,'country region mapping'!$A$2:$A$267,'country region mapping'!$E$2:$E$267)</f>
        <v>#NAME?</v>
      </c>
      <c r="E1580" s="1" t="e">
        <f t="array" aca="1" ref="E1580" ca="1">_xludf.XLOOKUP(C1580,'country region mapping'!$A$2:$A$267,'country region mapping'!$F$2:$F$267)</f>
        <v>#NAME?</v>
      </c>
      <c r="F1580" s="1" t="e">
        <f t="array" aca="1" ref="F1580" ca="1">_xludf.XLOOKUP(C1580,'country region mapping'!$A$2:$A$267,'country region mapping'!$G$2:$G$267)</f>
        <v>#NAME?</v>
      </c>
      <c r="G1580" s="1">
        <v>4.9080000000000004</v>
      </c>
      <c r="H1580" s="1">
        <v>101</v>
      </c>
      <c r="I1580" s="1">
        <v>64</v>
      </c>
      <c r="K1580" s="1"/>
      <c r="L1580" s="1">
        <v>115</v>
      </c>
      <c r="M1580" s="1">
        <v>130</v>
      </c>
      <c r="N1580" s="14">
        <v>94</v>
      </c>
      <c r="O1580" s="14">
        <v>103</v>
      </c>
      <c r="P1580" s="14"/>
      <c r="Q1580" s="14">
        <v>130</v>
      </c>
      <c r="R1580" s="14">
        <v>125</v>
      </c>
      <c r="S1580" s="14">
        <v>74</v>
      </c>
    </row>
    <row r="1581" spans="1:19">
      <c r="A1581" s="1">
        <v>2015</v>
      </c>
      <c r="B1581" s="1">
        <v>98</v>
      </c>
      <c r="C1581" s="1" t="s">
        <v>159</v>
      </c>
      <c r="D1581" s="1" t="e">
        <f t="array" aca="1" ref="D1581" ca="1">_xludf.XLOOKUP(C1581,'country region mapping'!$A$2:$A$250, 'country region mapping'!$E$2:$E$250)</f>
        <v>#NAME?</v>
      </c>
      <c r="E1581" s="1" t="e">
        <f t="array" aca="1" ref="E1581" ca="1">_xludf.XLOOKUP(C1581,'country region mapping'!$A$2:$A$267,'country region mapping'!$F$2:$F$267)</f>
        <v>#NAME?</v>
      </c>
      <c r="F1581" s="1" t="e">
        <f t="array" aca="1" ref="F1581" ca="1">_xludf.XLOOKUP(C1581,'country region mapping'!$A$2:$A$267,'country region mapping'!$G$2:$G$267)</f>
        <v>#NAME?</v>
      </c>
      <c r="G1581" s="1">
        <v>5.0449999999999999</v>
      </c>
      <c r="H1581" s="1">
        <v>63</v>
      </c>
      <c r="I1581" s="1">
        <v>127</v>
      </c>
      <c r="J1581" s="1">
        <v>84</v>
      </c>
      <c r="K1581" s="1">
        <v>55</v>
      </c>
      <c r="L1581" s="1">
        <v>88</v>
      </c>
      <c r="M1581" s="1">
        <v>138</v>
      </c>
      <c r="N1581" s="1">
        <v>71</v>
      </c>
      <c r="O1581" s="1">
        <v>131</v>
      </c>
      <c r="P1581" s="1">
        <v>97</v>
      </c>
      <c r="Q1581" s="1">
        <v>138</v>
      </c>
      <c r="R1581" s="1">
        <v>120</v>
      </c>
      <c r="S1581" s="1">
        <v>77</v>
      </c>
    </row>
    <row r="1582" spans="1:19">
      <c r="A1582" s="1">
        <v>2015</v>
      </c>
      <c r="B1582" s="1">
        <v>99</v>
      </c>
      <c r="C1582" s="1" t="s">
        <v>160</v>
      </c>
      <c r="D1582" s="1" t="e">
        <f t="array" aca="1" ref="D1582" ca="1">_xludf.XLOOKUP(C1582,'country region mapping'!$A$2:$A$250, 'country region mapping'!$E$2:$E$250)</f>
        <v>#NAME?</v>
      </c>
      <c r="E1582" s="1" t="e">
        <f t="array" aca="1" ref="E1582" ca="1">_xludf.XLOOKUP(C1582,'country region mapping'!$A$2:$A$267,'country region mapping'!$F$2:$F$267)</f>
        <v>#NAME?</v>
      </c>
      <c r="F1582" s="1" t="e">
        <f t="array" aca="1" ref="F1582" ca="1">_xludf.XLOOKUP(C1582,'country region mapping'!$A$2:$A$267,'country region mapping'!$G$2:$G$267)</f>
        <v>#NAME?</v>
      </c>
      <c r="G1582" s="1">
        <v>5.0330000000000004</v>
      </c>
      <c r="H1582" s="1">
        <v>92</v>
      </c>
      <c r="I1582" s="1">
        <v>66</v>
      </c>
      <c r="J1582" s="1">
        <v>42</v>
      </c>
      <c r="K1582" s="1">
        <v>24</v>
      </c>
      <c r="L1582" s="1">
        <v>131</v>
      </c>
      <c r="M1582" s="1">
        <v>132</v>
      </c>
      <c r="N1582" s="1">
        <v>75</v>
      </c>
      <c r="O1582" s="1">
        <v>83</v>
      </c>
      <c r="P1582" s="1">
        <v>74</v>
      </c>
      <c r="Q1582" s="1">
        <v>132</v>
      </c>
      <c r="R1582" s="1">
        <v>129</v>
      </c>
      <c r="S1582" s="1">
        <v>113</v>
      </c>
    </row>
    <row r="1583" spans="1:19">
      <c r="A1583" s="1">
        <v>2015</v>
      </c>
      <c r="B1583" s="1">
        <v>100</v>
      </c>
      <c r="C1583" s="1" t="s">
        <v>162</v>
      </c>
      <c r="D1583" s="1" t="e">
        <f t="array" aca="1" ref="D1583" ca="1">_xludf.XLOOKUP(C1583,'country region mapping'!$A$2:$A$250, 'country region mapping'!$E$2:$E$250)</f>
        <v>#NAME?</v>
      </c>
      <c r="E1583" s="1" t="e">
        <f t="array" aca="1" ref="E1583" ca="1">_xludf.XLOOKUP(C1583,'country region mapping'!$A$2:$A$267,'country region mapping'!$F$2:$F$267)</f>
        <v>#NAME?</v>
      </c>
      <c r="F1583" s="1" t="e">
        <f t="array" aca="1" ref="F1583" ca="1">_xludf.XLOOKUP(C1583,'country region mapping'!$A$2:$A$267,'country region mapping'!$G$2:$G$267)</f>
        <v>#NAME?</v>
      </c>
      <c r="G1583" s="1">
        <v>4.9960000000000004</v>
      </c>
      <c r="H1583" s="1">
        <v>57</v>
      </c>
      <c r="I1583" s="1">
        <v>64</v>
      </c>
      <c r="J1583" s="1">
        <v>122</v>
      </c>
      <c r="K1583" s="1">
        <v>76</v>
      </c>
      <c r="L1583" s="1">
        <v>40</v>
      </c>
      <c r="M1583" s="1">
        <v>88</v>
      </c>
      <c r="N1583" s="1">
        <v>48</v>
      </c>
      <c r="O1583" s="1">
        <v>86</v>
      </c>
      <c r="P1583" s="1">
        <v>26</v>
      </c>
      <c r="Q1583" s="1">
        <v>88</v>
      </c>
      <c r="R1583" s="1">
        <v>73</v>
      </c>
      <c r="S1583" s="1">
        <v>83</v>
      </c>
    </row>
    <row r="1584" spans="1:19">
      <c r="A1584" s="1">
        <v>2015</v>
      </c>
      <c r="B1584" s="1">
        <v>101</v>
      </c>
      <c r="C1584" s="1" t="s">
        <v>163</v>
      </c>
      <c r="D1584" s="1" t="e">
        <f t="array" aca="1" ref="D1584" ca="1">_xludf.XLOOKUP(C1584,'country region mapping'!$A$2:$A$250, 'country region mapping'!$E$2:$E$250)</f>
        <v>#NAME?</v>
      </c>
      <c r="E1584" s="1" t="e">
        <f t="array" aca="1" ref="E1584" ca="1">_xludf.XLOOKUP(C1584,'country region mapping'!$A$2:$A$267,'country region mapping'!$F$2:$F$267)</f>
        <v>#NAME?</v>
      </c>
      <c r="F1584" s="1" t="e">
        <f t="array" aca="1" ref="F1584" ca="1">_xludf.XLOOKUP(C1584,'country region mapping'!$A$2:$A$267,'country region mapping'!$G$2:$G$267)</f>
        <v>#NAME?</v>
      </c>
      <c r="G1584" s="1">
        <v>4.907</v>
      </c>
      <c r="H1584" s="1">
        <v>39</v>
      </c>
      <c r="I1584" s="1">
        <v>34</v>
      </c>
      <c r="J1584" s="1">
        <v>75</v>
      </c>
      <c r="K1584" s="1">
        <v>97</v>
      </c>
      <c r="L1584" s="1">
        <v>93</v>
      </c>
      <c r="M1584" s="1">
        <v>33</v>
      </c>
      <c r="N1584" s="1">
        <v>114</v>
      </c>
      <c r="O1584" s="1">
        <v>125</v>
      </c>
      <c r="P1584" s="1">
        <v>32</v>
      </c>
      <c r="Q1584" s="1">
        <v>33</v>
      </c>
      <c r="R1584" s="1">
        <v>12</v>
      </c>
      <c r="S1584" s="1">
        <v>93</v>
      </c>
    </row>
    <row r="1585" spans="1:19">
      <c r="A1585" s="1">
        <v>2015</v>
      </c>
      <c r="B1585" s="1">
        <v>102</v>
      </c>
      <c r="C1585" s="1" t="s">
        <v>164</v>
      </c>
      <c r="D1585" s="1" t="e">
        <f t="array" aca="1" ref="D1585" ca="1">_xludf.XLOOKUP(C1585,'country region mapping'!$A$2:$A$267,'country region mapping'!$E$2:$E$267)</f>
        <v>#NAME?</v>
      </c>
      <c r="E1585" s="1" t="e">
        <f t="array" aca="1" ref="E1585" ca="1">_xludf.XLOOKUP(C1585,'country region mapping'!$A$2:$A$267,'country region mapping'!$F$2:$F$267)</f>
        <v>#NAME?</v>
      </c>
      <c r="F1585" s="1" t="e">
        <f t="array" aca="1" ref="F1585" ca="1">_xludf.XLOOKUP(C1585,'country region mapping'!$A$2:$A$267,'country region mapping'!$G$2:$G$267)</f>
        <v>#NAME?</v>
      </c>
      <c r="G1585" s="1">
        <v>4.8760000000000003</v>
      </c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</row>
    <row r="1586" spans="1:19">
      <c r="A1586" s="1">
        <v>2015</v>
      </c>
      <c r="B1586" s="1">
        <v>103</v>
      </c>
      <c r="C1586" s="1" t="s">
        <v>165</v>
      </c>
      <c r="D1586" s="1" t="e">
        <f t="array" aca="1" ref="D1586" ca="1">_xludf.XLOOKUP(C1586,'country region mapping'!$A$2:$A$250, 'country region mapping'!$E$2:$E$250)</f>
        <v>#NAME?</v>
      </c>
      <c r="E1586" s="1" t="e">
        <f t="array" aca="1" ref="E1586" ca="1">_xludf.XLOOKUP(C1586,'country region mapping'!$A$2:$A$267,'country region mapping'!$F$2:$F$267)</f>
        <v>#NAME?</v>
      </c>
      <c r="F1586" s="1" t="e">
        <f t="array" aca="1" ref="F1586" ca="1">_xludf.XLOOKUP(C1586,'country region mapping'!$A$2:$A$267,'country region mapping'!$G$2:$G$267)</f>
        <v>#NAME?</v>
      </c>
      <c r="G1586" s="1">
        <v>4.875</v>
      </c>
      <c r="H1586" s="1">
        <v>97</v>
      </c>
      <c r="I1586" s="1">
        <v>79</v>
      </c>
      <c r="J1586" s="1">
        <v>102</v>
      </c>
      <c r="K1586" s="1">
        <v>121</v>
      </c>
      <c r="L1586" s="1">
        <v>95</v>
      </c>
      <c r="M1586" s="1">
        <v>92</v>
      </c>
      <c r="N1586" s="1">
        <v>123</v>
      </c>
      <c r="O1586" s="1">
        <v>49</v>
      </c>
      <c r="P1586" s="1">
        <v>59</v>
      </c>
      <c r="Q1586" s="1">
        <v>92</v>
      </c>
      <c r="R1586" s="1">
        <v>48</v>
      </c>
      <c r="S1586" s="1">
        <v>17</v>
      </c>
    </row>
    <row r="1587" spans="1:19">
      <c r="A1587" s="1">
        <v>2015</v>
      </c>
      <c r="B1587" s="1">
        <v>104</v>
      </c>
      <c r="C1587" s="1" t="s">
        <v>167</v>
      </c>
      <c r="D1587" s="1" t="e">
        <f t="array" aca="1" ref="D1587" ca="1">_xludf.XLOOKUP(C1587,'country region mapping'!$A$2:$A$250, 'country region mapping'!$E$2:$E$250)</f>
        <v>#NAME?</v>
      </c>
      <c r="E1587" s="1" t="e">
        <f t="array" aca="1" ref="E1587" ca="1">_xludf.XLOOKUP(C1587,'country region mapping'!$A$2:$A$267,'country region mapping'!$F$2:$F$267)</f>
        <v>#NAME?</v>
      </c>
      <c r="F1587" s="1" t="e">
        <f t="array" aca="1" ref="F1587" ca="1">_xludf.XLOOKUP(C1587,'country region mapping'!$A$2:$A$267,'country region mapping'!$G$2:$G$267)</f>
        <v>#NAME?</v>
      </c>
      <c r="G1587" s="1">
        <v>4.8710000000000004</v>
      </c>
      <c r="H1587" s="1">
        <v>139</v>
      </c>
      <c r="I1587" s="1">
        <v>89</v>
      </c>
      <c r="J1587" s="1">
        <v>104</v>
      </c>
      <c r="K1587" s="1">
        <v>98</v>
      </c>
      <c r="L1587" s="1">
        <v>130</v>
      </c>
      <c r="M1587" s="1">
        <v>118</v>
      </c>
      <c r="N1587" s="1">
        <v>86</v>
      </c>
      <c r="O1587" s="1">
        <v>4</v>
      </c>
      <c r="P1587" s="1">
        <v>93</v>
      </c>
      <c r="Q1587" s="1">
        <v>118</v>
      </c>
      <c r="R1587" s="1">
        <v>9</v>
      </c>
      <c r="S1587" s="1">
        <v>103</v>
      </c>
    </row>
    <row r="1588" spans="1:19">
      <c r="A1588" s="1">
        <v>2015</v>
      </c>
      <c r="B1588" s="1">
        <v>105</v>
      </c>
      <c r="C1588" s="1" t="s">
        <v>169</v>
      </c>
      <c r="D1588" s="1" t="e">
        <f t="array" aca="1" ref="D1588" ca="1">_xludf.XLOOKUP(C1588,'country region mapping'!$A$2:$A$267,'country region mapping'!$E$2:$E$267)</f>
        <v>#NAME?</v>
      </c>
      <c r="E1588" s="1" t="e">
        <f t="array" aca="1" ref="E1588" ca="1">_xludf.XLOOKUP(C1588,'country region mapping'!$A$2:$A$267,'country region mapping'!$F$2:$F$267)</f>
        <v>#NAME?</v>
      </c>
      <c r="F1588" s="1" t="e">
        <f t="array" aca="1" ref="F1588" ca="1">_xludf.XLOOKUP(C1588,'country region mapping'!$A$2:$A$267,'country region mapping'!$G$2:$G$267)</f>
        <v>#NAME?</v>
      </c>
      <c r="G1588" s="1">
        <v>4.8129999999999997</v>
      </c>
      <c r="H1588" s="1">
        <v>119</v>
      </c>
      <c r="I1588" s="1">
        <v>133</v>
      </c>
      <c r="J1588" s="1">
        <v>76</v>
      </c>
      <c r="K1588" s="1">
        <v>57</v>
      </c>
      <c r="L1588" s="1">
        <v>67</v>
      </c>
      <c r="M1588" s="1">
        <v>31</v>
      </c>
      <c r="N1588" s="1">
        <v>38</v>
      </c>
      <c r="O1588" s="1">
        <v>118</v>
      </c>
      <c r="P1588" s="1">
        <v>139</v>
      </c>
      <c r="Q1588" s="1">
        <v>31</v>
      </c>
      <c r="R1588" s="1">
        <v>65</v>
      </c>
      <c r="S1588" s="1">
        <v>67</v>
      </c>
    </row>
    <row r="1589" spans="1:19">
      <c r="A1589" s="1">
        <v>2015</v>
      </c>
      <c r="B1589" s="1">
        <v>106</v>
      </c>
      <c r="C1589" s="1" t="s">
        <v>170</v>
      </c>
      <c r="D1589" s="1" t="e">
        <f t="array" aca="1" ref="D1589" ca="1">_xludf.XLOOKUP(C1589,'country region mapping'!$A$2:$A$250, 'country region mapping'!$E$2:$E$250)</f>
        <v>#NAME?</v>
      </c>
      <c r="E1589" s="1" t="e">
        <f t="array" aca="1" ref="E1589" ca="1">_xludf.XLOOKUP(C1589,'country region mapping'!$A$2:$A$267,'country region mapping'!$F$2:$F$267)</f>
        <v>#NAME?</v>
      </c>
      <c r="F1589" s="1" t="e">
        <f t="array" aca="1" ref="F1589" ca="1">_xludf.XLOOKUP(C1589,'country region mapping'!$A$2:$A$267,'country region mapping'!$G$2:$G$267)</f>
        <v>#NAME?</v>
      </c>
      <c r="G1589" s="1">
        <v>4.7949999999999999</v>
      </c>
      <c r="H1589" s="1">
        <v>140</v>
      </c>
      <c r="I1589" s="1">
        <v>112</v>
      </c>
      <c r="J1589" s="1">
        <v>118</v>
      </c>
      <c r="K1589" s="1">
        <v>123</v>
      </c>
      <c r="L1589" s="1">
        <v>77</v>
      </c>
      <c r="M1589" s="1">
        <v>113</v>
      </c>
      <c r="N1589" s="1">
        <v>104</v>
      </c>
      <c r="O1589" s="1">
        <v>84</v>
      </c>
      <c r="P1589" s="1">
        <v>129</v>
      </c>
      <c r="Q1589" s="1">
        <v>113</v>
      </c>
      <c r="R1589" s="1">
        <v>51</v>
      </c>
      <c r="S1589" s="1">
        <v>19</v>
      </c>
    </row>
    <row r="1590" spans="1:19">
      <c r="A1590" s="1">
        <v>2015</v>
      </c>
      <c r="B1590" s="1">
        <v>107</v>
      </c>
      <c r="C1590" s="1" t="s">
        <v>172</v>
      </c>
      <c r="D1590" s="1" t="e">
        <f t="array" aca="1" ref="D1590" ca="1">_xludf.XLOOKUP(C1590,'country region mapping'!$A$2:$A$250, 'country region mapping'!$E$2:$E$250)</f>
        <v>#NAME?</v>
      </c>
      <c r="E1590" s="1" t="e">
        <f t="array" aca="1" ref="E1590" ca="1">_xludf.XLOOKUP(C1590,'country region mapping'!$A$2:$A$267,'country region mapping'!$F$2:$F$267)</f>
        <v>#NAME?</v>
      </c>
      <c r="F1590" s="1" t="e">
        <f t="array" aca="1" ref="F1590" ca="1">_xludf.XLOOKUP(C1590,'country region mapping'!$A$2:$A$267,'country region mapping'!$G$2:$G$267)</f>
        <v>#NAME?</v>
      </c>
      <c r="G1590" s="1">
        <v>4.7930000000000001</v>
      </c>
      <c r="H1590" s="1">
        <v>125</v>
      </c>
      <c r="I1590" s="1">
        <v>100</v>
      </c>
      <c r="J1590" s="1">
        <v>116</v>
      </c>
      <c r="K1590" s="1">
        <v>100</v>
      </c>
      <c r="L1590" s="1">
        <v>75</v>
      </c>
      <c r="M1590" s="1">
        <v>38</v>
      </c>
      <c r="N1590" s="1">
        <v>74</v>
      </c>
      <c r="O1590" s="1">
        <v>139</v>
      </c>
      <c r="P1590" s="1">
        <v>120</v>
      </c>
      <c r="Q1590" s="1">
        <v>38</v>
      </c>
      <c r="R1590" s="1">
        <v>16</v>
      </c>
      <c r="S1590" s="1">
        <v>95</v>
      </c>
    </row>
    <row r="1591" spans="1:19">
      <c r="A1591" s="1">
        <v>2022</v>
      </c>
      <c r="B1591" s="1">
        <v>121</v>
      </c>
      <c r="C1591" s="1" t="s">
        <v>191</v>
      </c>
      <c r="D1591" s="1" t="e">
        <f t="array" aca="1" ref="D1591" ca="1">_xludf.XLOOKUP(C1591,'country region mapping'!$A$2:$A$250, 'country region mapping'!$E$2:$E$250)</f>
        <v>#NAME?</v>
      </c>
      <c r="E1591" s="1" t="e">
        <f t="array" aca="1" ref="E1591" ca="1">_xludf.XLOOKUP(C1591,'country region mapping'!$A$2:$A$267,'country region mapping'!$F$2:$F$267)</f>
        <v>#NAME?</v>
      </c>
      <c r="F1591" s="1" t="e">
        <f t="array" aca="1" ref="F1591" ca="1">_xludf.XLOOKUP(C1591,'country region mapping'!$A$2:$A$267,'country region mapping'!$G$2:$G$267)</f>
        <v>#NAME?</v>
      </c>
      <c r="G1591" s="1">
        <v>4.17</v>
      </c>
      <c r="H1591" s="1">
        <v>51</v>
      </c>
      <c r="I1591" s="1">
        <v>97</v>
      </c>
      <c r="J1591" s="1">
        <v>69</v>
      </c>
      <c r="K1591" s="1">
        <v>88</v>
      </c>
      <c r="L1591" s="1">
        <v>95</v>
      </c>
      <c r="M1591" s="1">
        <v>133</v>
      </c>
      <c r="O1591" s="14">
        <v>130</v>
      </c>
      <c r="P1591" s="14">
        <v>88</v>
      </c>
      <c r="Q1591" s="14">
        <v>133</v>
      </c>
      <c r="R1591" s="14">
        <v>140</v>
      </c>
      <c r="S1591" s="14">
        <v>65</v>
      </c>
    </row>
    <row r="1592" spans="1:19">
      <c r="A1592" s="1">
        <v>2015</v>
      </c>
      <c r="B1592" s="1">
        <v>109</v>
      </c>
      <c r="C1592" s="1" t="s">
        <v>174</v>
      </c>
      <c r="D1592" s="1" t="e">
        <f t="array" aca="1" ref="D1592" ca="1">_xludf.XLOOKUP(C1592,'country region mapping'!$A$2:$A$250, 'country region mapping'!$E$2:$E$250)</f>
        <v>#NAME?</v>
      </c>
      <c r="E1592" s="1" t="e">
        <f t="array" aca="1" ref="E1592" ca="1">_xludf.XLOOKUP(C1592,'country region mapping'!$A$2:$A$267,'country region mapping'!$F$2:$F$267)</f>
        <v>#NAME?</v>
      </c>
      <c r="F1592" s="1" t="e">
        <f t="array" aca="1" ref="F1592" ca="1">_xludf.XLOOKUP(C1592,'country region mapping'!$A$2:$A$267,'country region mapping'!$G$2:$G$267)</f>
        <v>#NAME?</v>
      </c>
      <c r="G1592" s="1">
        <v>4.6550000000000002</v>
      </c>
      <c r="H1592" s="1">
        <v>130</v>
      </c>
      <c r="I1592" s="1">
        <v>122</v>
      </c>
      <c r="J1592" s="1">
        <v>82</v>
      </c>
      <c r="K1592" s="1">
        <v>33</v>
      </c>
      <c r="L1592" s="1">
        <v>89</v>
      </c>
      <c r="M1592" s="1">
        <v>87</v>
      </c>
      <c r="N1592" s="1">
        <v>108</v>
      </c>
      <c r="O1592" s="1">
        <v>105</v>
      </c>
      <c r="P1592" s="1">
        <v>116</v>
      </c>
      <c r="Q1592" s="1">
        <v>87</v>
      </c>
      <c r="R1592" s="1">
        <v>114</v>
      </c>
      <c r="S1592" s="1">
        <v>96</v>
      </c>
    </row>
    <row r="1593" spans="1:19">
      <c r="A1593" s="1">
        <v>2015</v>
      </c>
      <c r="B1593" s="1">
        <v>110</v>
      </c>
      <c r="C1593" s="1" t="s">
        <v>176</v>
      </c>
      <c r="D1593" s="1" t="e">
        <f t="array" aca="1" ref="D1593" ca="1">_xludf.XLOOKUP(C1593,'country region mapping'!$A$2:$A$250, 'country region mapping'!$E$2:$E$250)</f>
        <v>#NAME?</v>
      </c>
      <c r="E1593" s="1" t="e">
        <f t="array" aca="1" ref="E1593" ca="1">_xludf.XLOOKUP(C1593,'country region mapping'!$A$2:$A$267,'country region mapping'!$F$2:$F$267)</f>
        <v>#NAME?</v>
      </c>
      <c r="F1593" s="1" t="e">
        <f t="array" aca="1" ref="F1593" ca="1">_xludf.XLOOKUP(C1593,'country region mapping'!$A$2:$A$267,'country region mapping'!$G$2:$G$267)</f>
        <v>#NAME?</v>
      </c>
      <c r="G1593" s="1">
        <v>4.6429999999999998</v>
      </c>
      <c r="H1593" s="1">
        <v>81</v>
      </c>
      <c r="I1593" s="1">
        <v>129</v>
      </c>
      <c r="J1593" s="1">
        <v>108</v>
      </c>
      <c r="K1593" s="1">
        <v>79</v>
      </c>
      <c r="L1593" s="1">
        <v>47</v>
      </c>
      <c r="M1593" s="1">
        <v>116</v>
      </c>
      <c r="N1593" s="1">
        <v>45</v>
      </c>
      <c r="O1593" s="1">
        <v>120</v>
      </c>
      <c r="P1593" s="1">
        <v>44</v>
      </c>
      <c r="Q1593" s="1">
        <v>116</v>
      </c>
      <c r="R1593" s="1">
        <v>103</v>
      </c>
      <c r="S1593" s="1">
        <v>49</v>
      </c>
    </row>
    <row r="1594" spans="1:19">
      <c r="A1594" s="1">
        <v>2015</v>
      </c>
      <c r="B1594" s="1">
        <v>111</v>
      </c>
      <c r="C1594" s="1" t="s">
        <v>178</v>
      </c>
      <c r="D1594" s="1" t="e">
        <f t="array" aca="1" ref="D1594" ca="1">_xludf.XLOOKUP(C1594,'country region mapping'!$A$2:$A$250, 'country region mapping'!$E$2:$E$250)</f>
        <v>#NAME?</v>
      </c>
      <c r="E1594" s="1" t="e">
        <f t="array" aca="1" ref="E1594" ca="1">_xludf.XLOOKUP(C1594,'country region mapping'!$A$2:$A$267,'country region mapping'!$F$2:$F$267)</f>
        <v>#NAME?</v>
      </c>
      <c r="F1594" s="1" t="e">
        <f t="array" aca="1" ref="F1594" ca="1">_xludf.XLOOKUP(C1594,'country region mapping'!$A$2:$A$267,'country region mapping'!$G$2:$G$267)</f>
        <v>#NAME?</v>
      </c>
      <c r="G1594" s="1">
        <v>4.6349999999999998</v>
      </c>
      <c r="H1594" s="1">
        <v>142</v>
      </c>
      <c r="I1594" s="1">
        <v>125</v>
      </c>
      <c r="J1594" s="1">
        <v>126</v>
      </c>
      <c r="K1594" s="1">
        <v>135</v>
      </c>
      <c r="L1594" s="1">
        <v>112</v>
      </c>
      <c r="M1594" s="1">
        <v>97</v>
      </c>
      <c r="N1594" s="1">
        <v>77</v>
      </c>
      <c r="O1594" s="1">
        <v>91</v>
      </c>
      <c r="P1594" s="1">
        <v>135</v>
      </c>
      <c r="Q1594" s="1">
        <v>97</v>
      </c>
      <c r="R1594" s="1">
        <v>38</v>
      </c>
      <c r="S1594" s="1">
        <v>8</v>
      </c>
    </row>
    <row r="1595" spans="1:19">
      <c r="A1595" s="1">
        <v>2015</v>
      </c>
      <c r="B1595" s="1">
        <v>112</v>
      </c>
      <c r="C1595" s="1" t="s">
        <v>179</v>
      </c>
      <c r="D1595" s="1" t="e">
        <f t="array" aca="1" ref="D1595" ca="1">_xludf.XLOOKUP(C1595,'country region mapping'!$A$2:$A$250, 'country region mapping'!$E$2:$E$250)</f>
        <v>#NAME?</v>
      </c>
      <c r="E1595" s="1" t="e">
        <f t="array" aca="1" ref="E1595" ca="1">_xludf.XLOOKUP(C1595,'country region mapping'!$A$2:$A$267,'country region mapping'!$F$2:$F$267)</f>
        <v>#NAME?</v>
      </c>
      <c r="F1595" s="1" t="e">
        <f t="array" aca="1" ref="F1595" ca="1">_xludf.XLOOKUP(C1595,'country region mapping'!$A$2:$A$267,'country region mapping'!$G$2:$G$267)</f>
        <v>#NAME?</v>
      </c>
      <c r="G1595" s="1">
        <v>4.5750000000000002</v>
      </c>
      <c r="H1595" s="1">
        <v>138</v>
      </c>
      <c r="I1595" s="1">
        <v>114</v>
      </c>
      <c r="J1595" s="1">
        <v>78</v>
      </c>
      <c r="K1595" s="1">
        <v>96</v>
      </c>
      <c r="L1595" s="1">
        <v>116</v>
      </c>
      <c r="M1595" s="1">
        <v>58</v>
      </c>
      <c r="N1595" s="1">
        <v>54</v>
      </c>
      <c r="O1595" s="1">
        <v>134</v>
      </c>
      <c r="P1595" s="1">
        <v>140</v>
      </c>
      <c r="Q1595" s="1">
        <v>58</v>
      </c>
      <c r="R1595" s="1">
        <v>88</v>
      </c>
      <c r="S1595" s="1">
        <v>1</v>
      </c>
    </row>
    <row r="1596" spans="1:19">
      <c r="A1596" s="1">
        <v>2015</v>
      </c>
      <c r="B1596" s="1">
        <v>113</v>
      </c>
      <c r="C1596" s="1" t="s">
        <v>181</v>
      </c>
      <c r="D1596" s="1" t="e">
        <f t="array" aca="1" ref="D1596" ca="1">_xludf.XLOOKUP(C1596,'country region mapping'!$A$2:$A$250, 'country region mapping'!$E$2:$E$250)</f>
        <v>#NAME?</v>
      </c>
      <c r="E1596" s="1" t="e">
        <f t="array" aca="1" ref="E1596" ca="1">_xludf.XLOOKUP(C1596,'country region mapping'!$A$2:$A$267,'country region mapping'!$F$2:$F$267)</f>
        <v>#NAME?</v>
      </c>
      <c r="F1596" s="1" t="e">
        <f t="array" aca="1" ref="F1596" ca="1">_xludf.XLOOKUP(C1596,'country region mapping'!$A$2:$A$267,'country region mapping'!$G$2:$G$267)</f>
        <v>#NAME?</v>
      </c>
      <c r="G1596" s="1">
        <v>4.5739999999999998</v>
      </c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</row>
    <row r="1597" spans="1:19">
      <c r="A1597" s="1">
        <v>2015</v>
      </c>
      <c r="B1597" s="1">
        <v>114</v>
      </c>
      <c r="C1597" s="1" t="s">
        <v>182</v>
      </c>
      <c r="D1597" s="1" t="e">
        <f t="array" aca="1" ref="D1597" ca="1">_xludf.XLOOKUP(C1597,'country region mapping'!$A$2:$A$250, 'country region mapping'!$E$2:$E$250)</f>
        <v>#NAME?</v>
      </c>
      <c r="E1597" s="1" t="e">
        <f t="array" aca="1" ref="E1597" ca="1">_xludf.XLOOKUP(C1597,'country region mapping'!$A$2:$A$267,'country region mapping'!$F$2:$F$267)</f>
        <v>#NAME?</v>
      </c>
      <c r="F1597" s="1" t="e">
        <f t="array" aca="1" ref="F1597" ca="1">_xludf.XLOOKUP(C1597,'country region mapping'!$A$2:$A$267,'country region mapping'!$G$2:$G$267)</f>
        <v>#NAME?</v>
      </c>
      <c r="G1597" s="1">
        <v>4.5129999999999999</v>
      </c>
      <c r="H1597" s="1">
        <v>118</v>
      </c>
      <c r="I1597" s="1">
        <v>120</v>
      </c>
      <c r="J1597" s="1">
        <v>113</v>
      </c>
      <c r="K1597" s="1">
        <v>129</v>
      </c>
      <c r="L1597" s="1">
        <v>65</v>
      </c>
      <c r="M1597" s="1">
        <v>71</v>
      </c>
      <c r="N1597" s="1">
        <v>103</v>
      </c>
      <c r="O1597" s="1">
        <v>92</v>
      </c>
      <c r="P1597" s="1">
        <v>114</v>
      </c>
      <c r="Q1597" s="1">
        <v>71</v>
      </c>
      <c r="R1597" s="1">
        <v>49</v>
      </c>
      <c r="S1597" s="1">
        <v>20</v>
      </c>
    </row>
    <row r="1598" spans="1:19">
      <c r="A1598" s="1">
        <v>2015</v>
      </c>
      <c r="B1598" s="1">
        <v>115</v>
      </c>
      <c r="C1598" s="1" t="s">
        <v>183</v>
      </c>
      <c r="D1598" s="1" t="e">
        <f t="array" aca="1" ref="D1598" ca="1">_xludf.XLOOKUP(C1598,'country region mapping'!$A$2:$A$250, 'country region mapping'!$E$2:$E$250)</f>
        <v>#NAME?</v>
      </c>
      <c r="E1598" s="1" t="e">
        <f t="array" aca="1" ref="E1598" ca="1">_xludf.XLOOKUP(C1598,'country region mapping'!$A$2:$A$267,'country region mapping'!$F$2:$F$267)</f>
        <v>#NAME?</v>
      </c>
      <c r="F1598" s="1" t="e">
        <f t="array" aca="1" ref="F1598" ca="1">_xludf.XLOOKUP(C1598,'country region mapping'!$A$2:$A$267,'country region mapping'!$G$2:$G$267)</f>
        <v>#NAME?</v>
      </c>
      <c r="G1598" s="1">
        <v>4.508</v>
      </c>
      <c r="H1598" s="1">
        <v>45</v>
      </c>
      <c r="I1598" s="1">
        <v>124</v>
      </c>
      <c r="J1598" s="1">
        <v>134</v>
      </c>
      <c r="K1598" s="1">
        <v>105</v>
      </c>
      <c r="L1598" s="1">
        <v>55</v>
      </c>
      <c r="M1598" s="1">
        <v>66</v>
      </c>
      <c r="N1598" s="1">
        <v>21</v>
      </c>
      <c r="O1598" s="1">
        <v>93</v>
      </c>
      <c r="P1598" s="1">
        <v>50</v>
      </c>
      <c r="Q1598" s="1">
        <v>66</v>
      </c>
      <c r="R1598" s="1">
        <v>78</v>
      </c>
      <c r="S1598" s="1">
        <v>98</v>
      </c>
    </row>
    <row r="1599" spans="1:19">
      <c r="A1599" s="1">
        <v>2015</v>
      </c>
      <c r="B1599" s="1">
        <v>116</v>
      </c>
      <c r="C1599" s="1" t="s">
        <v>185</v>
      </c>
      <c r="D1599" s="1" t="e">
        <f t="array" aca="1" ref="D1599" ca="1">_xludf.XLOOKUP(C1599,'country region mapping'!$A$2:$A$250, 'country region mapping'!$E$2:$E$250)</f>
        <v>#NAME?</v>
      </c>
      <c r="E1599" s="1" t="e">
        <f t="array" aca="1" ref="E1599" ca="1">_xludf.XLOOKUP(C1599,'country region mapping'!$A$2:$A$267,'country region mapping'!$F$2:$F$267)</f>
        <v>#NAME?</v>
      </c>
      <c r="F1599" s="1" t="e">
        <f t="array" aca="1" ref="F1599" ca="1">_xludf.XLOOKUP(C1599,'country region mapping'!$A$2:$A$267,'country region mapping'!$G$2:$G$267)</f>
        <v>#NAME?</v>
      </c>
      <c r="G1599" s="1">
        <v>4.4589999999999996</v>
      </c>
      <c r="H1599" s="1">
        <v>58</v>
      </c>
      <c r="I1599" s="1">
        <v>37</v>
      </c>
      <c r="J1599" s="1">
        <v>71</v>
      </c>
      <c r="K1599" s="1">
        <v>115</v>
      </c>
      <c r="L1599" s="1">
        <v>32</v>
      </c>
      <c r="M1599" s="1">
        <v>108</v>
      </c>
      <c r="N1599" s="1">
        <v>92</v>
      </c>
      <c r="O1599" s="1">
        <v>48</v>
      </c>
      <c r="P1599" s="1">
        <v>6</v>
      </c>
      <c r="Q1599" s="1">
        <v>108</v>
      </c>
      <c r="R1599" s="1">
        <v>39</v>
      </c>
      <c r="S1599" s="1">
        <v>21</v>
      </c>
    </row>
    <row r="1600" spans="1:19">
      <c r="A1600" s="1">
        <v>2015</v>
      </c>
      <c r="B1600" s="1">
        <v>117</v>
      </c>
      <c r="C1600" s="1" t="s">
        <v>187</v>
      </c>
      <c r="D1600" s="1" t="e">
        <f t="array" aca="1" ref="D1600" ca="1">_xludf.XLOOKUP(C1600,'country region mapping'!$A$2:$A$250, 'country region mapping'!$E$2:$E$250)</f>
        <v>#NAME?</v>
      </c>
      <c r="E1600" s="1" t="e">
        <f t="array" aca="1" ref="E1600" ca="1">_xludf.XLOOKUP(C1600,'country region mapping'!$A$2:$A$267,'country region mapping'!$F$2:$F$267)</f>
        <v>#NAME?</v>
      </c>
      <c r="F1600" s="1" t="e">
        <f t="array" aca="1" ref="F1600" ca="1">_xludf.XLOOKUP(C1600,'country region mapping'!$A$2:$A$267,'country region mapping'!$G$2:$G$267)</f>
        <v>#NAME?</v>
      </c>
      <c r="G1600" s="1">
        <v>4.415</v>
      </c>
      <c r="H1600" s="1">
        <v>85</v>
      </c>
      <c r="I1600" s="1">
        <v>55</v>
      </c>
      <c r="J1600" s="1">
        <v>80</v>
      </c>
      <c r="K1600" s="1">
        <v>53</v>
      </c>
      <c r="L1600" s="1">
        <v>21</v>
      </c>
      <c r="M1600" s="1">
        <v>17</v>
      </c>
      <c r="N1600" s="1">
        <v>96</v>
      </c>
      <c r="O1600" s="1">
        <v>20</v>
      </c>
      <c r="P1600" s="1">
        <v>49</v>
      </c>
      <c r="Q1600" s="1">
        <v>17</v>
      </c>
      <c r="R1600" s="1">
        <v>4</v>
      </c>
      <c r="S1600" s="1">
        <v>38</v>
      </c>
    </row>
    <row r="1601" spans="1:19">
      <c r="A1601" s="1">
        <v>2015</v>
      </c>
      <c r="B1601" s="1">
        <v>118</v>
      </c>
      <c r="C1601" s="1" t="s">
        <v>188</v>
      </c>
      <c r="D1601" s="1" t="e">
        <f t="array" aca="1" ref="D1601" ca="1">_xludf.XLOOKUP(C1601,'country region mapping'!$A$2:$A$250, 'country region mapping'!$E$2:$E$250)</f>
        <v>#NAME?</v>
      </c>
      <c r="E1601" s="1" t="e">
        <f t="array" aca="1" ref="E1601" ca="1">_xludf.XLOOKUP(C1601,'country region mapping'!$A$2:$A$267,'country region mapping'!$F$2:$F$267)</f>
        <v>#NAME?</v>
      </c>
      <c r="F1601" s="1" t="e">
        <f t="array" aca="1" ref="F1601" ca="1">_xludf.XLOOKUP(C1601,'country region mapping'!$A$2:$A$267,'country region mapping'!$G$2:$G$267)</f>
        <v>#NAME?</v>
      </c>
      <c r="G1601" s="1">
        <v>4.4039999999999999</v>
      </c>
      <c r="H1601" s="1">
        <v>74</v>
      </c>
      <c r="I1601" s="1">
        <v>126</v>
      </c>
      <c r="J1601" s="1">
        <v>100</v>
      </c>
      <c r="K1601" s="1">
        <v>101</v>
      </c>
      <c r="L1601" s="1">
        <v>69</v>
      </c>
      <c r="M1601" s="1">
        <v>82</v>
      </c>
      <c r="N1601" s="1">
        <v>58</v>
      </c>
      <c r="O1601" s="1">
        <v>73</v>
      </c>
      <c r="P1601" s="1">
        <v>99</v>
      </c>
      <c r="Q1601" s="1">
        <v>82</v>
      </c>
      <c r="R1601" s="1">
        <v>60</v>
      </c>
      <c r="S1601" s="1">
        <v>104</v>
      </c>
    </row>
    <row r="1602" spans="1:19">
      <c r="A1602" s="1">
        <v>2015</v>
      </c>
      <c r="B1602" s="1">
        <v>119</v>
      </c>
      <c r="C1602" s="1" t="s">
        <v>190</v>
      </c>
      <c r="D1602" s="1" t="e">
        <f t="array" aca="1" ref="D1602" ca="1">_xludf.XLOOKUP(C1602,'country region mapping'!$A$2:$A$250, 'country region mapping'!$E$2:$E$250)</f>
        <v>#NAME?</v>
      </c>
      <c r="E1602" s="1" t="e">
        <f t="array" aca="1" ref="E1602" ca="1">_xludf.XLOOKUP(C1602,'country region mapping'!$A$2:$A$267,'country region mapping'!$F$2:$F$267)</f>
        <v>#NAME?</v>
      </c>
      <c r="F1602" s="1" t="e">
        <f t="array" aca="1" ref="F1602" ca="1">_xludf.XLOOKUP(C1602,'country region mapping'!$A$2:$A$267,'country region mapping'!$G$2:$G$267)</f>
        <v>#NAME?</v>
      </c>
      <c r="G1602" s="1">
        <v>4.3949999999999996</v>
      </c>
      <c r="H1602" s="1">
        <v>14</v>
      </c>
      <c r="I1602" s="1">
        <v>98</v>
      </c>
      <c r="J1602" s="1">
        <v>109</v>
      </c>
      <c r="K1602" s="1">
        <v>102</v>
      </c>
      <c r="L1602" s="1">
        <v>53</v>
      </c>
      <c r="M1602" s="1">
        <v>1</v>
      </c>
      <c r="N1602" s="1">
        <v>25</v>
      </c>
      <c r="O1602" s="1">
        <v>43</v>
      </c>
      <c r="P1602" s="1">
        <v>70</v>
      </c>
      <c r="Q1602" s="1">
        <v>1</v>
      </c>
      <c r="R1602" s="1">
        <v>2</v>
      </c>
      <c r="S1602" s="1">
        <v>29</v>
      </c>
    </row>
    <row r="1603" spans="1:19">
      <c r="A1603" s="1">
        <v>2015</v>
      </c>
      <c r="B1603" s="1">
        <v>120</v>
      </c>
      <c r="C1603" s="1" t="s">
        <v>191</v>
      </c>
      <c r="D1603" s="1" t="e">
        <f t="array" aca="1" ref="D1603" ca="1">_xludf.XLOOKUP(C1603,'country region mapping'!$A$2:$A$250, 'country region mapping'!$E$2:$E$250)</f>
        <v>#NAME?</v>
      </c>
      <c r="E1603" s="1" t="e">
        <f t="array" aca="1" ref="E1603" ca="1">_xludf.XLOOKUP(C1603,'country region mapping'!$A$2:$A$267,'country region mapping'!$F$2:$F$267)</f>
        <v>#NAME?</v>
      </c>
      <c r="F1603" s="1" t="e">
        <f t="array" aca="1" ref="F1603" ca="1">_xludf.XLOOKUP(C1603,'country region mapping'!$A$2:$A$267,'country region mapping'!$G$2:$G$267)</f>
        <v>#NAME?</v>
      </c>
      <c r="G1603" s="1">
        <v>4.3620000000000001</v>
      </c>
      <c r="H1603" s="1">
        <v>84</v>
      </c>
      <c r="I1603" s="1">
        <v>105</v>
      </c>
      <c r="J1603" s="1">
        <v>79</v>
      </c>
      <c r="K1603" s="1">
        <v>92</v>
      </c>
      <c r="L1603" s="1">
        <v>102</v>
      </c>
      <c r="M1603" s="1">
        <v>98</v>
      </c>
      <c r="N1603" s="1">
        <v>34</v>
      </c>
      <c r="O1603" s="1">
        <v>115</v>
      </c>
      <c r="P1603" s="1">
        <v>112</v>
      </c>
      <c r="Q1603" s="1">
        <v>98</v>
      </c>
      <c r="R1603" s="1">
        <v>141</v>
      </c>
      <c r="S1603" s="1">
        <v>88</v>
      </c>
    </row>
    <row r="1604" spans="1:19">
      <c r="A1604" s="1">
        <v>2015</v>
      </c>
      <c r="B1604" s="1">
        <v>121</v>
      </c>
      <c r="C1604" s="1" t="s">
        <v>192</v>
      </c>
      <c r="D1604" s="1" t="e">
        <f t="array" aca="1" ref="D1604" ca="1">_xludf.XLOOKUP(C1604,'country region mapping'!$A$2:$A$250, 'country region mapping'!$E$2:$E$250)</f>
        <v>#NAME?</v>
      </c>
      <c r="E1604" s="1" t="e">
        <f t="array" aca="1" ref="E1604" ca="1">_xludf.XLOOKUP(C1604,'country region mapping'!$A$2:$A$267,'country region mapping'!$F$2:$F$267)</f>
        <v>#NAME?</v>
      </c>
      <c r="F1604" s="1" t="e">
        <f t="array" aca="1" ref="F1604" ca="1">_xludf.XLOOKUP(C1604,'country region mapping'!$A$2:$A$267,'country region mapping'!$G$2:$G$267)</f>
        <v>#NAME?</v>
      </c>
      <c r="G1604" s="1">
        <v>4.3600000000000003</v>
      </c>
      <c r="H1604" s="1">
        <v>99</v>
      </c>
      <c r="I1604" s="1">
        <v>107</v>
      </c>
      <c r="J1604" s="1">
        <v>81</v>
      </c>
      <c r="K1604" s="1">
        <v>64</v>
      </c>
      <c r="L1604" s="1">
        <v>127</v>
      </c>
      <c r="M1604" s="1">
        <v>131</v>
      </c>
      <c r="N1604" s="1">
        <v>115</v>
      </c>
      <c r="O1604" s="1">
        <v>127</v>
      </c>
      <c r="P1604" s="1">
        <v>137</v>
      </c>
      <c r="Q1604" s="1">
        <v>131</v>
      </c>
      <c r="R1604" s="1">
        <v>137</v>
      </c>
      <c r="S1604" s="1">
        <v>90</v>
      </c>
    </row>
    <row r="1605" spans="1:19">
      <c r="A1605" s="1">
        <v>2015</v>
      </c>
      <c r="B1605" s="1">
        <v>122</v>
      </c>
      <c r="C1605" s="1" t="s">
        <v>193</v>
      </c>
      <c r="D1605" s="1" t="e">
        <f t="array" aca="1" ref="D1605" ca="1">_xludf.XLOOKUP(C1605,'country region mapping'!$A$2:$A$250, 'country region mapping'!$E$2:$E$250)</f>
        <v>#NAME?</v>
      </c>
      <c r="E1605" s="1" t="e">
        <f t="array" aca="1" ref="E1605" ca="1">_xludf.XLOOKUP(C1605,'country region mapping'!$A$2:$A$267,'country region mapping'!$F$2:$F$267)</f>
        <v>#NAME?</v>
      </c>
      <c r="F1605" s="1" t="e">
        <f t="array" aca="1" ref="F1605" ca="1">_xludf.XLOOKUP(C1605,'country region mapping'!$A$2:$A$267,'country region mapping'!$G$2:$G$267)</f>
        <v>#NAME?</v>
      </c>
      <c r="G1605" s="1">
        <v>4.3559999999999999</v>
      </c>
      <c r="H1605" s="1">
        <v>75</v>
      </c>
      <c r="I1605" s="1">
        <v>88</v>
      </c>
      <c r="J1605" s="1">
        <v>114</v>
      </c>
      <c r="K1605" s="1">
        <v>110</v>
      </c>
      <c r="L1605" s="1">
        <v>64</v>
      </c>
      <c r="M1605" s="1">
        <v>36</v>
      </c>
      <c r="N1605" s="1">
        <v>91</v>
      </c>
      <c r="O1605" s="1">
        <v>66</v>
      </c>
      <c r="P1605" s="1">
        <v>10</v>
      </c>
      <c r="Q1605" s="1">
        <v>36</v>
      </c>
      <c r="R1605" s="1">
        <v>8</v>
      </c>
      <c r="S1605" s="1">
        <v>14</v>
      </c>
    </row>
    <row r="1606" spans="1:19">
      <c r="A1606" s="1">
        <v>2015</v>
      </c>
      <c r="B1606" s="1">
        <v>123</v>
      </c>
      <c r="C1606" s="1" t="s">
        <v>195</v>
      </c>
      <c r="D1606" s="1" t="e">
        <f t="array" aca="1" ref="D1606" ca="1">_xludf.XLOOKUP(C1606,'country region mapping'!$A$2:$A$250, 'country region mapping'!$E$2:$E$250)</f>
        <v>#NAME?</v>
      </c>
      <c r="E1606" s="1" t="e">
        <f t="array" aca="1" ref="E1606" ca="1">_xludf.XLOOKUP(C1606,'country region mapping'!$A$2:$A$267,'country region mapping'!$F$2:$F$267)</f>
        <v>#NAME?</v>
      </c>
      <c r="F1606" s="1" t="e">
        <f t="array" aca="1" ref="F1606" ca="1">_xludf.XLOOKUP(C1606,'country region mapping'!$A$2:$A$267,'country region mapping'!$G$2:$G$267)</f>
        <v>#NAME?</v>
      </c>
      <c r="G1606" s="1">
        <v>4.3239999999999998</v>
      </c>
      <c r="H1606" s="1">
        <v>55</v>
      </c>
      <c r="I1606" s="1">
        <v>30</v>
      </c>
      <c r="J1606" s="1">
        <v>67</v>
      </c>
      <c r="K1606" s="1">
        <v>85</v>
      </c>
      <c r="L1606" s="1">
        <v>137</v>
      </c>
      <c r="M1606" s="1">
        <v>70</v>
      </c>
      <c r="N1606" s="1">
        <v>130</v>
      </c>
      <c r="O1606" s="1">
        <v>126</v>
      </c>
      <c r="P1606" s="1">
        <v>54</v>
      </c>
      <c r="Q1606" s="1">
        <v>70</v>
      </c>
      <c r="R1606" s="1">
        <v>91</v>
      </c>
      <c r="S1606" s="1">
        <v>120</v>
      </c>
    </row>
    <row r="1607" spans="1:19">
      <c r="A1607" s="1">
        <v>2015</v>
      </c>
      <c r="B1607" s="1">
        <v>124</v>
      </c>
      <c r="C1607" s="1" t="s">
        <v>197</v>
      </c>
      <c r="D1607" s="1" t="e">
        <f t="array" aca="1" ref="D1607" ca="1">_xludf.XLOOKUP(C1607,'country region mapping'!$A$2:$A$250, 'country region mapping'!$E$2:$E$250)</f>
        <v>#NAME?</v>
      </c>
      <c r="E1607" s="1" t="e">
        <f t="array" aca="1" ref="E1607" ca="1">_xludf.XLOOKUP(C1607,'country region mapping'!$A$2:$A$267,'country region mapping'!$F$2:$F$267)</f>
        <v>#NAME?</v>
      </c>
      <c r="F1607" s="1" t="e">
        <f t="array" aca="1" ref="F1607" ca="1">_xludf.XLOOKUP(C1607,'country region mapping'!$A$2:$A$267,'country region mapping'!$G$2:$G$267)</f>
        <v>#NAME?</v>
      </c>
      <c r="G1607" s="1">
        <v>4.2759999999999998</v>
      </c>
      <c r="H1607" s="1">
        <v>80</v>
      </c>
      <c r="I1607" s="1">
        <v>113</v>
      </c>
      <c r="J1607" s="1">
        <v>105</v>
      </c>
      <c r="K1607" s="1">
        <v>109</v>
      </c>
      <c r="L1607" s="1">
        <v>35</v>
      </c>
      <c r="M1607" s="1">
        <v>100</v>
      </c>
      <c r="N1607" s="1">
        <v>128</v>
      </c>
      <c r="O1607" s="1">
        <v>64</v>
      </c>
      <c r="P1607" s="1">
        <v>67</v>
      </c>
      <c r="Q1607" s="1">
        <v>100</v>
      </c>
      <c r="R1607" s="1">
        <v>44</v>
      </c>
      <c r="S1607" s="1">
        <v>70</v>
      </c>
    </row>
    <row r="1608" spans="1:19">
      <c r="A1608" s="1">
        <v>2015</v>
      </c>
      <c r="B1608" s="1">
        <v>125</v>
      </c>
      <c r="C1608" s="1" t="s">
        <v>199</v>
      </c>
      <c r="D1608" s="1" t="e">
        <f t="array" aca="1" ref="D1608" ca="1">_xludf.XLOOKUP(C1608,'country region mapping'!$A$2:$A$267,'country region mapping'!$E$2:$E$267)</f>
        <v>#NAME?</v>
      </c>
      <c r="E1608" s="1" t="e">
        <f t="array" aca="1" ref="E1608" ca="1">_xludf.XLOOKUP(C1608,'country region mapping'!$A$2:$A$267,'country region mapping'!$F$2:$F$267)</f>
        <v>#NAME?</v>
      </c>
      <c r="F1608" s="1" t="e">
        <f t="array" aca="1" ref="F1608" ca="1">_xludf.XLOOKUP(C1608,'country region mapping'!$A$2:$A$267,'country region mapping'!$G$2:$G$267)</f>
        <v>#NAME?</v>
      </c>
      <c r="G1608" s="1">
        <v>4.2720000000000002</v>
      </c>
      <c r="H1608" s="1">
        <v>30</v>
      </c>
      <c r="I1608" s="1">
        <v>93</v>
      </c>
      <c r="J1608" s="1">
        <v>141</v>
      </c>
      <c r="K1608" s="1">
        <v>128</v>
      </c>
      <c r="L1608" s="1">
        <v>123</v>
      </c>
      <c r="M1608" s="1">
        <v>136</v>
      </c>
      <c r="N1608" s="1">
        <v>101</v>
      </c>
      <c r="O1608" s="1">
        <v>121</v>
      </c>
      <c r="P1608" s="1">
        <v>87</v>
      </c>
      <c r="Q1608" s="1">
        <v>136</v>
      </c>
      <c r="R1608" s="1">
        <v>110</v>
      </c>
      <c r="S1608" s="1">
        <v>115</v>
      </c>
    </row>
    <row r="1609" spans="1:19">
      <c r="A1609" s="1">
        <v>2015</v>
      </c>
      <c r="B1609" s="1">
        <v>126</v>
      </c>
      <c r="C1609" s="1" t="s">
        <v>201</v>
      </c>
      <c r="D1609" s="1" t="e">
        <f t="array" aca="1" ref="D1609" ca="1">_xludf.XLOOKUP(C1609,'country region mapping'!$A$2:$A$250, 'country region mapping'!$E$2:$E$250)</f>
        <v>#NAME?</v>
      </c>
      <c r="E1609" s="1" t="e">
        <f t="array" aca="1" ref="E1609" ca="1">_xludf.XLOOKUP(C1609,'country region mapping'!$A$2:$A$267,'country region mapping'!$F$2:$F$267)</f>
        <v>#NAME?</v>
      </c>
      <c r="F1609" s="1" t="e">
        <f t="array" aca="1" ref="F1609" ca="1">_xludf.XLOOKUP(C1609,'country region mapping'!$A$2:$A$267,'country region mapping'!$G$2:$G$267)</f>
        <v>#NAME?</v>
      </c>
      <c r="G1609" s="1">
        <v>4.2519999999999998</v>
      </c>
      <c r="H1609" s="1">
        <v>65</v>
      </c>
      <c r="I1609" s="1">
        <v>137</v>
      </c>
      <c r="J1609" s="1">
        <v>69</v>
      </c>
      <c r="K1609" s="1">
        <v>74</v>
      </c>
      <c r="L1609" s="1">
        <v>107</v>
      </c>
      <c r="M1609" s="1">
        <v>129</v>
      </c>
      <c r="N1609" s="1">
        <v>19</v>
      </c>
      <c r="O1609" s="1">
        <v>138</v>
      </c>
      <c r="P1609" s="1">
        <v>48</v>
      </c>
      <c r="Q1609" s="1">
        <v>129</v>
      </c>
      <c r="R1609" s="1">
        <v>77</v>
      </c>
      <c r="S1609" s="1">
        <v>112</v>
      </c>
    </row>
    <row r="1610" spans="1:19">
      <c r="A1610" s="1">
        <v>2015</v>
      </c>
      <c r="B1610" s="1">
        <v>127</v>
      </c>
      <c r="C1610" s="1" t="s">
        <v>202</v>
      </c>
      <c r="D1610" s="1" t="e">
        <f t="array" aca="1" ref="D1610" ca="1">_xludf.XLOOKUP(C1610,'country region mapping'!$A$2:$A$250, 'country region mapping'!$E$2:$E$250)</f>
        <v>#NAME?</v>
      </c>
      <c r="E1610" s="1" t="e">
        <f t="array" aca="1" ref="E1610" ca="1">_xludf.XLOOKUP(C1610,'country region mapping'!$A$2:$A$267,'country region mapping'!$F$2:$F$267)</f>
        <v>#NAME?</v>
      </c>
      <c r="F1610" s="1" t="e">
        <f t="array" aca="1" ref="F1610" ca="1">_xludf.XLOOKUP(C1610,'country region mapping'!$A$2:$A$267,'country region mapping'!$G$2:$G$267)</f>
        <v>#NAME?</v>
      </c>
      <c r="G1610" s="1">
        <v>4.2359999999999998</v>
      </c>
      <c r="H1610" s="1">
        <v>136</v>
      </c>
      <c r="I1610" s="1">
        <v>121</v>
      </c>
      <c r="J1610" s="1">
        <v>95</v>
      </c>
      <c r="K1610" s="1">
        <v>117</v>
      </c>
      <c r="L1610" s="1">
        <v>36</v>
      </c>
      <c r="M1610" s="1">
        <v>124</v>
      </c>
      <c r="N1610" s="1">
        <v>83</v>
      </c>
      <c r="O1610" s="1">
        <v>112</v>
      </c>
      <c r="P1610" s="1">
        <v>62</v>
      </c>
      <c r="Q1610" s="1">
        <v>124</v>
      </c>
      <c r="R1610" s="1">
        <v>98</v>
      </c>
      <c r="S1610" s="1">
        <v>27</v>
      </c>
    </row>
    <row r="1611" spans="1:19">
      <c r="A1611" s="1">
        <v>2015</v>
      </c>
      <c r="B1611" s="1">
        <v>128</v>
      </c>
      <c r="C1611" s="1" t="s">
        <v>204</v>
      </c>
      <c r="D1611" s="1" t="e">
        <f t="array" aca="1" ref="D1611" ca="1">_xludf.XLOOKUP(C1611,'country region mapping'!$A$2:$A$250, 'country region mapping'!$E$2:$E$250)</f>
        <v>#NAME?</v>
      </c>
      <c r="E1611" s="1" t="e">
        <f t="array" aca="1" ref="E1611" ca="1">_xludf.XLOOKUP(C1611,'country region mapping'!$A$2:$A$267,'country region mapping'!$F$2:$F$267)</f>
        <v>#NAME?</v>
      </c>
      <c r="F1611" s="1" t="e">
        <f t="array" aca="1" ref="F1611" ca="1">_xludf.XLOOKUP(C1611,'country region mapping'!$A$2:$A$267,'country region mapping'!$G$2:$G$267)</f>
        <v>#NAME?</v>
      </c>
      <c r="G1611" s="1">
        <v>4.2190000000000003</v>
      </c>
      <c r="H1611" s="1">
        <v>8</v>
      </c>
      <c r="I1611" s="1">
        <v>111</v>
      </c>
      <c r="J1611" s="1">
        <v>117</v>
      </c>
      <c r="K1611" s="1">
        <v>103</v>
      </c>
      <c r="L1611" s="1">
        <v>85</v>
      </c>
      <c r="M1611" s="1">
        <v>133</v>
      </c>
      <c r="N1611" s="1">
        <v>55</v>
      </c>
      <c r="O1611" s="1">
        <v>50</v>
      </c>
      <c r="P1611" s="1">
        <v>33</v>
      </c>
      <c r="Q1611" s="1">
        <v>133</v>
      </c>
      <c r="R1611" s="1">
        <v>109</v>
      </c>
      <c r="S1611" s="1">
        <v>36</v>
      </c>
    </row>
    <row r="1612" spans="1:19">
      <c r="A1612" s="1">
        <v>2015</v>
      </c>
      <c r="B1612" s="1">
        <v>129</v>
      </c>
      <c r="C1612" s="1" t="s">
        <v>205</v>
      </c>
      <c r="D1612" s="1" t="e">
        <f t="array" aca="1" ref="D1612" ca="1">_xludf.XLOOKUP(C1612,'country region mapping'!$A$2:$A$250, 'country region mapping'!$E$2:$E$250)</f>
        <v>#NAME?</v>
      </c>
      <c r="E1612" s="1" t="e">
        <f t="array" aca="1" ref="E1612" ca="1">_xludf.XLOOKUP(C1612,'country region mapping'!$A$2:$A$267,'country region mapping'!$F$2:$F$267)</f>
        <v>#NAME?</v>
      </c>
      <c r="F1612" s="1" t="e">
        <f t="array" aca="1" ref="F1612" ca="1">_xludf.XLOOKUP(C1612,'country region mapping'!$A$2:$A$267,'country region mapping'!$G$2:$G$267)</f>
        <v>#NAME?</v>
      </c>
      <c r="G1612" s="1">
        <v>4.2169999999999996</v>
      </c>
      <c r="H1612" s="1">
        <v>89</v>
      </c>
      <c r="I1612" s="1">
        <v>32</v>
      </c>
      <c r="J1612" s="1">
        <v>54</v>
      </c>
      <c r="K1612" s="1">
        <v>66</v>
      </c>
      <c r="L1612" s="1">
        <v>108</v>
      </c>
      <c r="M1612" s="1">
        <v>120</v>
      </c>
      <c r="N1612" s="1">
        <v>126</v>
      </c>
      <c r="O1612" s="1">
        <v>110</v>
      </c>
      <c r="P1612" s="1">
        <v>36</v>
      </c>
      <c r="Q1612" s="1">
        <v>120</v>
      </c>
      <c r="R1612" s="1">
        <v>135</v>
      </c>
      <c r="S1612" s="1">
        <v>107</v>
      </c>
    </row>
    <row r="1613" spans="1:19">
      <c r="A1613" s="1">
        <v>2015</v>
      </c>
      <c r="B1613" s="1">
        <v>130</v>
      </c>
      <c r="C1613" s="1" t="s">
        <v>206</v>
      </c>
      <c r="D1613" s="1" t="e">
        <f t="array" aca="1" ref="D1613" ca="1">_xludf.XLOOKUP(C1613,'country region mapping'!$A$2:$A$250, 'country region mapping'!$E$2:$E$250)</f>
        <v>#NAME?</v>
      </c>
      <c r="E1613" s="1" t="e">
        <f t="array" aca="1" ref="E1613" ca="1">_xludf.XLOOKUP(C1613,'country region mapping'!$A$2:$A$267,'country region mapping'!$F$2:$F$267)</f>
        <v>#NAME?</v>
      </c>
      <c r="F1613" s="1" t="e">
        <f t="array" aca="1" ref="F1613" ca="1">_xludf.XLOOKUP(C1613,'country region mapping'!$A$2:$A$267,'country region mapping'!$G$2:$G$267)</f>
        <v>#NAME?</v>
      </c>
      <c r="G1613" s="1">
        <v>4.2009999999999996</v>
      </c>
      <c r="H1613" s="1">
        <v>7</v>
      </c>
      <c r="I1613" s="1">
        <v>49</v>
      </c>
      <c r="J1613" s="1">
        <v>103</v>
      </c>
      <c r="K1613" s="1">
        <v>94</v>
      </c>
      <c r="L1613" s="1">
        <v>136</v>
      </c>
      <c r="M1613" s="1">
        <v>61</v>
      </c>
      <c r="N1613" s="1">
        <v>43</v>
      </c>
      <c r="O1613" s="1">
        <v>12</v>
      </c>
      <c r="P1613" s="1">
        <v>25</v>
      </c>
      <c r="Q1613" s="1">
        <v>61</v>
      </c>
      <c r="R1613" s="1">
        <v>57</v>
      </c>
      <c r="S1613" s="1">
        <v>119</v>
      </c>
    </row>
    <row r="1614" spans="1:19">
      <c r="A1614" s="1">
        <v>2015</v>
      </c>
      <c r="B1614" s="1">
        <v>131</v>
      </c>
      <c r="C1614" s="1" t="s">
        <v>208</v>
      </c>
      <c r="D1614" s="1" t="e">
        <f t="array" aca="1" ref="D1614" ca="1">_xludf.XLOOKUP(C1614,'country region mapping'!$A$2:$A$250, 'country region mapping'!$E$2:$E$250)</f>
        <v>#NAME?</v>
      </c>
      <c r="E1614" s="1" t="e">
        <f t="array" aca="1" ref="E1614" ca="1">_xludf.XLOOKUP(C1614,'country region mapping'!$A$2:$A$267,'country region mapping'!$F$2:$F$267)</f>
        <v>#NAME?</v>
      </c>
      <c r="F1614" s="1" t="e">
        <f t="array" aca="1" ref="F1614" ca="1">_xludf.XLOOKUP(C1614,'country region mapping'!$A$2:$A$267,'country region mapping'!$G$2:$G$267)</f>
        <v>#NAME?</v>
      </c>
      <c r="G1614" s="1">
        <v>4.1929999999999996</v>
      </c>
      <c r="H1614" s="1">
        <v>90</v>
      </c>
      <c r="I1614" s="1">
        <v>104</v>
      </c>
      <c r="J1614" s="1">
        <v>120</v>
      </c>
      <c r="K1614" s="1">
        <v>133</v>
      </c>
      <c r="L1614" s="1">
        <v>99</v>
      </c>
      <c r="M1614" s="1">
        <v>137</v>
      </c>
      <c r="N1614" s="1">
        <v>68</v>
      </c>
      <c r="O1614" s="1">
        <v>82</v>
      </c>
      <c r="P1614" s="1">
        <v>15</v>
      </c>
      <c r="Q1614" s="1">
        <v>137</v>
      </c>
      <c r="R1614" s="1">
        <v>85</v>
      </c>
      <c r="S1614" s="1">
        <v>72</v>
      </c>
    </row>
    <row r="1615" spans="1:19">
      <c r="A1615" s="1">
        <v>2015</v>
      </c>
      <c r="B1615" s="1">
        <v>132</v>
      </c>
      <c r="C1615" s="1" t="s">
        <v>210</v>
      </c>
      <c r="D1615" s="1" t="e">
        <f t="array" aca="1" ref="D1615" ca="1">_xludf.XLOOKUP(C1615,'country region mapping'!$A$2:$A$250, 'country region mapping'!$E$2:$E$250)</f>
        <v>#NAME?</v>
      </c>
      <c r="E1615" s="1" t="e">
        <f t="array" aca="1" ref="E1615" ca="1">_xludf.XLOOKUP(C1615,'country region mapping'!$A$2:$A$267,'country region mapping'!$F$2:$F$267)</f>
        <v>#NAME?</v>
      </c>
      <c r="F1615" s="1" t="e">
        <f t="array" aca="1" ref="F1615" ca="1">_xludf.XLOOKUP(C1615,'country region mapping'!$A$2:$A$267,'country region mapping'!$G$2:$G$267)</f>
        <v>#NAME?</v>
      </c>
      <c r="G1615" s="1">
        <v>4.1559999999999997</v>
      </c>
      <c r="H1615" s="1">
        <v>122</v>
      </c>
      <c r="I1615" s="1">
        <v>138</v>
      </c>
      <c r="J1615" s="1">
        <v>137</v>
      </c>
      <c r="K1615" s="1">
        <v>116</v>
      </c>
      <c r="L1615" s="1">
        <v>57</v>
      </c>
      <c r="M1615" s="1">
        <v>105</v>
      </c>
      <c r="N1615" s="1">
        <v>80</v>
      </c>
      <c r="O1615" s="1">
        <v>98</v>
      </c>
      <c r="P1615" s="1">
        <v>61</v>
      </c>
      <c r="Q1615" s="1">
        <v>105</v>
      </c>
      <c r="R1615" s="1">
        <v>24</v>
      </c>
      <c r="S1615" s="1">
        <v>5</v>
      </c>
    </row>
    <row r="1616" spans="1:19">
      <c r="A1616" s="1">
        <v>2015</v>
      </c>
      <c r="B1616" s="1">
        <v>133</v>
      </c>
      <c r="C1616" s="1" t="s">
        <v>211</v>
      </c>
      <c r="D1616" s="1" t="e">
        <f t="array" aca="1" ref="D1616" ca="1">_xludf.XLOOKUP(C1616,'country region mapping'!$A$2:$A$250, 'country region mapping'!$E$2:$E$250)</f>
        <v>#NAME?</v>
      </c>
      <c r="E1616" s="1" t="e">
        <f t="array" aca="1" ref="E1616" ca="1">_xludf.XLOOKUP(C1616,'country region mapping'!$A$2:$A$267,'country region mapping'!$F$2:$F$267)</f>
        <v>#NAME?</v>
      </c>
      <c r="F1616" s="1" t="e">
        <f t="array" aca="1" ref="F1616" ca="1">_xludf.XLOOKUP(C1616,'country region mapping'!$A$2:$A$267,'country region mapping'!$G$2:$G$267)</f>
        <v>#NAME?</v>
      </c>
      <c r="G1616" s="1">
        <v>4.1390000000000002</v>
      </c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</row>
    <row r="1617" spans="1:19">
      <c r="A1617" s="1">
        <v>2015</v>
      </c>
      <c r="B1617" s="1">
        <v>134</v>
      </c>
      <c r="C1617" s="1" t="s">
        <v>306</v>
      </c>
      <c r="D1617" s="1" t="e">
        <f t="array" aca="1" ref="D1617" ca="1">_xludf.XLOOKUP(C1617,'country region mapping'!$A$2:$A$250, 'country region mapping'!$E$2:$E$250)</f>
        <v>#NAME?</v>
      </c>
      <c r="E1617" s="1" t="e">
        <f t="array" aca="1" ref="E1617" ca="1">_xludf.XLOOKUP(C1617,'country region mapping'!$A$2:$A$267,'country region mapping'!$F$2:$F$267)</f>
        <v>#NAME?</v>
      </c>
      <c r="F1617" s="1" t="e">
        <f t="array" aca="1" ref="F1617" ca="1">_xludf.XLOOKUP(C1617,'country region mapping'!$A$2:$A$267,'country region mapping'!$G$2:$G$267)</f>
        <v>#NAME?</v>
      </c>
      <c r="G1617" s="1">
        <v>4.1210000000000004</v>
      </c>
      <c r="H1617" s="1">
        <v>71</v>
      </c>
      <c r="I1617" s="1">
        <v>97</v>
      </c>
      <c r="J1617" s="1">
        <v>59</v>
      </c>
      <c r="K1617" s="1">
        <v>113</v>
      </c>
      <c r="L1617" s="1">
        <v>98</v>
      </c>
      <c r="M1617" s="1">
        <v>121</v>
      </c>
      <c r="N1617" s="1">
        <v>102</v>
      </c>
      <c r="O1617" s="1">
        <v>99</v>
      </c>
      <c r="P1617" s="1">
        <v>126</v>
      </c>
      <c r="Q1617" s="1">
        <v>121</v>
      </c>
      <c r="R1617" s="1">
        <v>112</v>
      </c>
      <c r="S1617" s="1">
        <v>26</v>
      </c>
    </row>
    <row r="1618" spans="1:19">
      <c r="A1618" s="1">
        <v>2015</v>
      </c>
      <c r="B1618" s="1">
        <v>135</v>
      </c>
      <c r="C1618" s="1" t="s">
        <v>311</v>
      </c>
      <c r="D1618" s="1" t="e">
        <f t="array" aca="1" ref="D1618" ca="1">_xludf.XLOOKUP(C1618,'country region mapping'!$A$2:$A$250, 'country region mapping'!$E$2:$E$250)</f>
        <v>#NAME?</v>
      </c>
      <c r="E1618" s="1" t="e">
        <f t="array" aca="1" ref="E1618" ca="1">_xludf.XLOOKUP(C1618,'country region mapping'!$A$2:$A$267,'country region mapping'!$F$2:$F$267)</f>
        <v>#NAME?</v>
      </c>
      <c r="F1618" s="1" t="e">
        <f t="array" aca="1" ref="F1618" ca="1">_xludf.XLOOKUP(C1618,'country region mapping'!$A$2:$A$267,'country region mapping'!$G$2:$G$267)</f>
        <v>#NAME?</v>
      </c>
      <c r="G1618" s="1">
        <v>4.0730000000000004</v>
      </c>
      <c r="H1618" s="1">
        <v>29</v>
      </c>
      <c r="I1618" s="1">
        <v>68</v>
      </c>
      <c r="J1618" s="1">
        <v>130</v>
      </c>
      <c r="K1618" s="1">
        <v>124</v>
      </c>
      <c r="L1618" s="1">
        <v>109</v>
      </c>
      <c r="M1618" s="1">
        <v>127</v>
      </c>
      <c r="N1618" s="1">
        <v>62</v>
      </c>
      <c r="O1618" s="1">
        <v>54</v>
      </c>
      <c r="P1618" s="1">
        <v>56</v>
      </c>
      <c r="Q1618" s="1">
        <v>127</v>
      </c>
      <c r="R1618" s="1">
        <v>123</v>
      </c>
      <c r="S1618" s="1">
        <v>42</v>
      </c>
    </row>
    <row r="1619" spans="1:19">
      <c r="A1619" s="1">
        <v>2015</v>
      </c>
      <c r="B1619" s="1">
        <v>136</v>
      </c>
      <c r="C1619" s="1" t="s">
        <v>216</v>
      </c>
      <c r="D1619" s="1" t="e">
        <f t="array" aca="1" ref="D1619" ca="1">_xludf.XLOOKUP(C1619,'country region mapping'!$A$2:$A$250, 'country region mapping'!$E$2:$E$250)</f>
        <v>#NAME?</v>
      </c>
      <c r="E1619" s="1" t="e">
        <f t="array" aca="1" ref="E1619" ca="1">_xludf.XLOOKUP(C1619,'country region mapping'!$A$2:$A$267,'country region mapping'!$F$2:$F$267)</f>
        <v>#NAME?</v>
      </c>
      <c r="F1619" s="1" t="e">
        <f t="array" aca="1" ref="F1619" ca="1">_xludf.XLOOKUP(C1619,'country region mapping'!$A$2:$A$267,'country region mapping'!$G$2:$G$267)</f>
        <v>#NAME?</v>
      </c>
      <c r="G1619" s="1">
        <v>4.0279999999999996</v>
      </c>
      <c r="H1619" s="1">
        <v>111</v>
      </c>
      <c r="I1619" s="1">
        <v>134</v>
      </c>
      <c r="J1619" s="1">
        <v>119</v>
      </c>
      <c r="K1619" s="1">
        <v>118</v>
      </c>
      <c r="L1619" s="1">
        <v>138</v>
      </c>
      <c r="M1619" s="1">
        <v>32</v>
      </c>
      <c r="N1619" s="1">
        <v>59</v>
      </c>
      <c r="O1619" s="1">
        <v>100</v>
      </c>
      <c r="P1619" s="1">
        <v>106</v>
      </c>
      <c r="Q1619" s="1">
        <v>32</v>
      </c>
      <c r="R1619" s="1">
        <v>45</v>
      </c>
      <c r="S1619" s="1">
        <v>106</v>
      </c>
    </row>
    <row r="1620" spans="1:19">
      <c r="A1620" s="1">
        <v>2015</v>
      </c>
      <c r="B1620" s="1">
        <v>137</v>
      </c>
      <c r="C1620" s="1" t="s">
        <v>218</v>
      </c>
      <c r="D1620" s="1" t="e">
        <f t="array" aca="1" ref="D1620" ca="1">_xludf.XLOOKUP(C1620,'country region mapping'!$A$2:$A$250, 'country region mapping'!$E$2:$E$250)</f>
        <v>#NAME?</v>
      </c>
      <c r="E1620" s="1" t="e">
        <f t="array" aca="1" ref="E1620" ca="1">_xludf.XLOOKUP(C1620,'country region mapping'!$A$2:$A$267,'country region mapping'!$F$2:$F$267)</f>
        <v>#NAME?</v>
      </c>
      <c r="F1620" s="1" t="e">
        <f t="array" aca="1" ref="F1620" ca="1">_xludf.XLOOKUP(C1620,'country region mapping'!$A$2:$A$267,'country region mapping'!$G$2:$G$267)</f>
        <v>#NAME?</v>
      </c>
      <c r="G1620" s="1">
        <v>3.9740000000000002</v>
      </c>
      <c r="H1620" s="1">
        <v>107</v>
      </c>
      <c r="I1620" s="1">
        <v>78</v>
      </c>
      <c r="J1620" s="1">
        <v>66</v>
      </c>
      <c r="K1620" s="1">
        <v>120</v>
      </c>
      <c r="L1620" s="1">
        <v>33</v>
      </c>
      <c r="M1620" s="1">
        <v>94</v>
      </c>
      <c r="N1620" s="1">
        <v>97</v>
      </c>
      <c r="O1620" s="1">
        <v>63</v>
      </c>
      <c r="P1620" s="1">
        <v>64</v>
      </c>
      <c r="Q1620" s="1">
        <v>94</v>
      </c>
      <c r="R1620" s="1">
        <v>64</v>
      </c>
      <c r="S1620" s="1">
        <v>6</v>
      </c>
    </row>
    <row r="1621" spans="1:19">
      <c r="A1621" s="1">
        <v>2015</v>
      </c>
      <c r="B1621" s="1">
        <v>138</v>
      </c>
      <c r="C1621" s="1" t="s">
        <v>219</v>
      </c>
      <c r="D1621" s="1" t="e">
        <f t="array" aca="1" ref="D1621" ca="1">_xludf.XLOOKUP(C1621,'country region mapping'!$A$2:$A$250, 'country region mapping'!$E$2:$E$250)</f>
        <v>#NAME?</v>
      </c>
      <c r="E1621" s="1" t="e">
        <f t="array" aca="1" ref="E1621" ca="1">_xludf.XLOOKUP(C1621,'country region mapping'!$A$2:$A$267,'country region mapping'!$F$2:$F$267)</f>
        <v>#NAME?</v>
      </c>
      <c r="F1621" s="1" t="e">
        <f t="array" aca="1" ref="F1621" ca="1">_xludf.XLOOKUP(C1621,'country region mapping'!$A$2:$A$267,'country region mapping'!$G$2:$G$267)</f>
        <v>#NAME?</v>
      </c>
      <c r="G1621" s="1">
        <v>3.956</v>
      </c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</row>
    <row r="1622" spans="1:19">
      <c r="A1622" s="1">
        <v>2015</v>
      </c>
      <c r="B1622" s="1">
        <v>139</v>
      </c>
      <c r="C1622" s="1" t="s">
        <v>220</v>
      </c>
      <c r="D1622" s="1" t="e">
        <f t="array" aca="1" ref="D1622" ca="1">_xludf.XLOOKUP(C1622,'country region mapping'!$A$2:$A$267,'country region mapping'!$E$2:$E$267)</f>
        <v>#NAME?</v>
      </c>
      <c r="E1622" s="1" t="e">
        <f t="array" aca="1" ref="E1622" ca="1">_xludf.XLOOKUP(C1622,'country region mapping'!$A$2:$A$267,'country region mapping'!$F$2:$F$267)</f>
        <v>#NAME?</v>
      </c>
      <c r="F1622" s="1" t="e">
        <f t="array" aca="1" ref="F1622" ca="1">_xludf.XLOOKUP(C1622,'country region mapping'!$A$2:$A$267,'country region mapping'!$G$2:$G$267)</f>
        <v>#NAME?</v>
      </c>
      <c r="G1622" s="1">
        <v>3.9159999999999999</v>
      </c>
      <c r="H1622" s="1">
        <v>91</v>
      </c>
      <c r="I1622" s="1">
        <v>110</v>
      </c>
      <c r="J1622" s="1">
        <v>111</v>
      </c>
      <c r="K1622" s="1">
        <v>60</v>
      </c>
      <c r="L1622" s="1"/>
      <c r="M1622" s="1">
        <v>110</v>
      </c>
      <c r="N1622" s="1">
        <v>49</v>
      </c>
      <c r="O1622" s="1">
        <v>95</v>
      </c>
      <c r="P1622" s="1">
        <v>115</v>
      </c>
      <c r="Q1622" s="1">
        <v>110</v>
      </c>
      <c r="R1622" s="1">
        <v>133</v>
      </c>
      <c r="S1622" s="1">
        <v>59</v>
      </c>
    </row>
    <row r="1623" spans="1:19">
      <c r="A1623" s="1">
        <v>2015</v>
      </c>
      <c r="B1623" s="1">
        <v>140</v>
      </c>
      <c r="C1623" s="1" t="s">
        <v>221</v>
      </c>
      <c r="D1623" s="1" t="e">
        <f t="array" aca="1" ref="D1623" ca="1">_xludf.XLOOKUP(C1623,'country region mapping'!$A$2:$A$250, 'country region mapping'!$E$2:$E$250)</f>
        <v>#NAME?</v>
      </c>
      <c r="E1623" s="1" t="e">
        <f t="array" aca="1" ref="E1623" ca="1">_xludf.XLOOKUP(C1623,'country region mapping'!$A$2:$A$267,'country region mapping'!$F$2:$F$267)</f>
        <v>#NAME?</v>
      </c>
      <c r="F1623" s="1" t="e">
        <f t="array" aca="1" ref="F1623" ca="1">_xludf.XLOOKUP(C1623,'country region mapping'!$A$2:$A$267,'country region mapping'!$G$2:$G$267)</f>
        <v>#NAME?</v>
      </c>
      <c r="G1623" s="1">
        <v>3.907</v>
      </c>
      <c r="H1623" s="1">
        <v>115</v>
      </c>
      <c r="I1623" s="1">
        <v>106</v>
      </c>
      <c r="J1623" s="1">
        <v>112</v>
      </c>
      <c r="K1623" s="1">
        <v>99</v>
      </c>
      <c r="L1623" s="1">
        <v>3</v>
      </c>
      <c r="M1623" s="1">
        <v>39</v>
      </c>
      <c r="N1623" s="1">
        <v>78</v>
      </c>
      <c r="O1623" s="1">
        <v>42</v>
      </c>
      <c r="P1623" s="1">
        <v>134</v>
      </c>
      <c r="Q1623" s="1">
        <v>39</v>
      </c>
      <c r="R1623" s="1">
        <v>99</v>
      </c>
      <c r="S1623" s="1">
        <v>140</v>
      </c>
    </row>
    <row r="1624" spans="1:19">
      <c r="A1624" s="1">
        <v>2015</v>
      </c>
      <c r="B1624" s="1">
        <v>141</v>
      </c>
      <c r="C1624" s="1" t="s">
        <v>222</v>
      </c>
      <c r="D1624" s="1" t="e">
        <f t="array" aca="1" ref="D1624" ca="1">_xludf.XLOOKUP(C1624,'country region mapping'!$A$2:$A$250, 'country region mapping'!$E$2:$E$250)</f>
        <v>#NAME?</v>
      </c>
      <c r="E1624" s="1" t="e">
        <f t="array" aca="1" ref="E1624" ca="1">_xludf.XLOOKUP(C1624,'country region mapping'!$A$2:$A$267,'country region mapping'!$F$2:$F$267)</f>
        <v>#NAME?</v>
      </c>
      <c r="F1624" s="1" t="e">
        <f t="array" aca="1" ref="F1624" ca="1">_xludf.XLOOKUP(C1624,'country region mapping'!$A$2:$A$267,'country region mapping'!$G$2:$G$267)</f>
        <v>#NAME?</v>
      </c>
      <c r="G1624" s="1">
        <v>3.8660000000000001</v>
      </c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</row>
    <row r="1625" spans="1:19">
      <c r="A1625" s="1">
        <v>2015</v>
      </c>
      <c r="B1625" s="1">
        <v>142</v>
      </c>
      <c r="C1625" s="1" t="s">
        <v>224</v>
      </c>
      <c r="D1625" s="1" t="e">
        <f t="array" aca="1" ref="D1625" ca="1">_xludf.XLOOKUP(C1625,'country region mapping'!$A$2:$A$250, 'country region mapping'!$E$2:$E$250)</f>
        <v>#NAME?</v>
      </c>
      <c r="E1625" s="1" t="e">
        <f t="array" aca="1" ref="E1625" ca="1">_xludf.XLOOKUP(C1625,'country region mapping'!$A$2:$A$267,'country region mapping'!$F$2:$F$267)</f>
        <v>#NAME?</v>
      </c>
      <c r="F1625" s="1" t="e">
        <f t="array" aca="1" ref="F1625" ca="1">_xludf.XLOOKUP(C1625,'country region mapping'!$A$2:$A$267,'country region mapping'!$G$2:$G$267)</f>
        <v>#NAME?</v>
      </c>
      <c r="G1625" s="1">
        <v>3.8559999999999999</v>
      </c>
      <c r="H1625" s="1">
        <v>51</v>
      </c>
      <c r="I1625" s="1">
        <v>108</v>
      </c>
      <c r="J1625" s="1">
        <v>139</v>
      </c>
      <c r="K1625" s="1">
        <v>125</v>
      </c>
      <c r="L1625" s="1">
        <v>84</v>
      </c>
      <c r="M1625" s="1">
        <v>128</v>
      </c>
      <c r="N1625" s="1">
        <v>39</v>
      </c>
      <c r="O1625" s="1">
        <v>69</v>
      </c>
      <c r="P1625" s="1">
        <v>39</v>
      </c>
      <c r="Q1625" s="1">
        <v>128</v>
      </c>
      <c r="R1625" s="1">
        <v>101</v>
      </c>
      <c r="S1625" s="1">
        <v>92</v>
      </c>
    </row>
    <row r="1626" spans="1:19">
      <c r="A1626" s="1">
        <v>2015</v>
      </c>
      <c r="B1626" s="1">
        <v>143</v>
      </c>
      <c r="C1626" s="1" t="s">
        <v>226</v>
      </c>
      <c r="D1626" s="1" t="e">
        <f t="array" aca="1" ref="D1626" ca="1">_xludf.XLOOKUP(C1626,'country region mapping'!$A$2:$A$250, 'country region mapping'!$E$2:$E$250)</f>
        <v>#NAME?</v>
      </c>
      <c r="E1626" s="1" t="e">
        <f t="array" aca="1" ref="E1626" ca="1">_xludf.XLOOKUP(C1626,'country region mapping'!$A$2:$A$267,'country region mapping'!$F$2:$F$267)</f>
        <v>#NAME?</v>
      </c>
      <c r="F1626" s="1" t="e">
        <f t="array" aca="1" ref="F1626" ca="1">_xludf.XLOOKUP(C1626,'country region mapping'!$A$2:$A$267,'country region mapping'!$G$2:$G$267)</f>
        <v>#NAME?</v>
      </c>
      <c r="G1626" s="1">
        <v>3.8319999999999999</v>
      </c>
      <c r="H1626" s="1">
        <v>141</v>
      </c>
      <c r="I1626" s="1">
        <v>131</v>
      </c>
      <c r="K1626" s="1">
        <v>132</v>
      </c>
      <c r="L1626" s="1">
        <v>133</v>
      </c>
      <c r="M1626" s="1">
        <v>63</v>
      </c>
      <c r="N1626" s="14">
        <v>41</v>
      </c>
      <c r="O1626" s="14">
        <v>116</v>
      </c>
      <c r="P1626" s="14">
        <v>138</v>
      </c>
      <c r="Q1626" s="14">
        <v>63</v>
      </c>
      <c r="R1626" s="14">
        <v>30</v>
      </c>
      <c r="S1626" s="14">
        <v>43</v>
      </c>
    </row>
    <row r="1627" spans="1:19">
      <c r="A1627" s="1">
        <v>2015</v>
      </c>
      <c r="B1627" s="1">
        <v>144</v>
      </c>
      <c r="C1627" s="1" t="s">
        <v>227</v>
      </c>
      <c r="D1627" s="1" t="e">
        <f t="array" aca="1" ref="D1627" ca="1">_xludf.XLOOKUP(C1627,'country region mapping'!$A$2:$A$250, 'country region mapping'!$E$2:$E$250)</f>
        <v>#NAME?</v>
      </c>
      <c r="E1627" s="1" t="e">
        <f t="array" aca="1" ref="E1627" ca="1">_xludf.XLOOKUP(C1627,'country region mapping'!$A$2:$A$267,'country region mapping'!$F$2:$F$267)</f>
        <v>#NAME?</v>
      </c>
      <c r="F1627" s="1" t="e">
        <f t="array" aca="1" ref="F1627" ca="1">_xludf.XLOOKUP(C1627,'country region mapping'!$A$2:$A$267,'country region mapping'!$G$2:$G$267)</f>
        <v>#NAME?</v>
      </c>
      <c r="G1627" s="1">
        <v>3.7629999999999999</v>
      </c>
      <c r="H1627" s="1">
        <v>110</v>
      </c>
      <c r="I1627" s="1">
        <v>99</v>
      </c>
      <c r="J1627" s="1">
        <v>132</v>
      </c>
      <c r="K1627" s="1">
        <v>134</v>
      </c>
      <c r="L1627" s="1">
        <v>134</v>
      </c>
      <c r="M1627" s="1">
        <v>119</v>
      </c>
      <c r="N1627" s="1">
        <v>110</v>
      </c>
      <c r="O1627" s="1">
        <v>103</v>
      </c>
      <c r="P1627" s="1">
        <v>121</v>
      </c>
      <c r="Q1627" s="1">
        <v>119</v>
      </c>
      <c r="R1627" s="1">
        <v>115</v>
      </c>
      <c r="S1627" s="1">
        <v>84</v>
      </c>
    </row>
    <row r="1628" spans="1:19">
      <c r="A1628" s="1">
        <v>2015</v>
      </c>
      <c r="B1628" s="1">
        <v>146</v>
      </c>
      <c r="C1628" s="1" t="s">
        <v>231</v>
      </c>
      <c r="D1628" s="1" t="e">
        <f t="array" aca="1" ref="D1628" ca="1">_xludf.XLOOKUP(C1628,'country region mapping'!$A$2:$A$250, 'country region mapping'!$E$2:$E$250)</f>
        <v>#NAME?</v>
      </c>
      <c r="E1628" s="1" t="e">
        <f t="array" aca="1" ref="E1628" ca="1">_xludf.XLOOKUP(C1628,'country region mapping'!$A$2:$A$267,'country region mapping'!$F$2:$F$267)</f>
        <v>#NAME?</v>
      </c>
      <c r="F1628" s="1" t="e">
        <f t="array" aca="1" ref="F1628" ca="1">_xludf.XLOOKUP(C1628,'country region mapping'!$A$2:$A$267,'country region mapping'!$G$2:$G$267)</f>
        <v>#NAME?</v>
      </c>
      <c r="G1628" s="1">
        <v>3.7389999999999999</v>
      </c>
      <c r="H1628" s="1">
        <v>124</v>
      </c>
      <c r="I1628" s="1">
        <v>101</v>
      </c>
      <c r="J1628" s="1">
        <v>128</v>
      </c>
      <c r="K1628" s="1">
        <v>111</v>
      </c>
      <c r="L1628" s="1">
        <v>78</v>
      </c>
      <c r="M1628" s="1">
        <v>56</v>
      </c>
      <c r="N1628" s="1">
        <v>105</v>
      </c>
      <c r="O1628" s="1">
        <v>61</v>
      </c>
      <c r="P1628" s="1">
        <v>118</v>
      </c>
      <c r="Q1628" s="1">
        <v>56</v>
      </c>
      <c r="R1628" s="1">
        <v>29</v>
      </c>
      <c r="S1628" s="1">
        <v>12</v>
      </c>
    </row>
    <row r="1629" spans="1:19">
      <c r="A1629" s="1">
        <v>2015</v>
      </c>
      <c r="B1629" s="1">
        <v>145</v>
      </c>
      <c r="C1629" s="1" t="s">
        <v>229</v>
      </c>
      <c r="D1629" s="1" t="e">
        <f t="array" aca="1" ref="D1629" ca="1">_xludf.XLOOKUP(C1629,'country region mapping'!$A$2:$A$250, 'country region mapping'!$E$2:$E$250)</f>
        <v>#NAME?</v>
      </c>
      <c r="E1629" s="1" t="e">
        <f t="array" aca="1" ref="E1629" ca="1">_xludf.XLOOKUP(C1629,'country region mapping'!$A$2:$A$267,'country region mapping'!$F$2:$F$267)</f>
        <v>#NAME?</v>
      </c>
      <c r="F1629" s="1" t="e">
        <f t="array" aca="1" ref="F1629" ca="1">_xludf.XLOOKUP(C1629,'country region mapping'!$A$2:$A$267,'country region mapping'!$G$2:$G$267)</f>
        <v>#NAME?</v>
      </c>
      <c r="G1629" s="1">
        <v>3.7389999999999999</v>
      </c>
      <c r="H1629" s="1">
        <v>60</v>
      </c>
      <c r="I1629" s="1">
        <v>109</v>
      </c>
      <c r="J1629" s="1">
        <v>133</v>
      </c>
      <c r="K1629" s="1">
        <v>122</v>
      </c>
      <c r="L1629" s="1">
        <v>103</v>
      </c>
      <c r="M1629" s="1">
        <v>111</v>
      </c>
      <c r="N1629" s="1">
        <v>36</v>
      </c>
      <c r="O1629" s="1">
        <v>113</v>
      </c>
      <c r="P1629" s="1">
        <v>122</v>
      </c>
      <c r="Q1629" s="1">
        <v>111</v>
      </c>
      <c r="R1629" s="1">
        <v>71</v>
      </c>
      <c r="S1629" s="1">
        <v>30</v>
      </c>
    </row>
    <row r="1630" spans="1:19">
      <c r="A1630" s="1">
        <v>2015</v>
      </c>
      <c r="B1630" s="1">
        <v>147</v>
      </c>
      <c r="C1630" s="1" t="s">
        <v>233</v>
      </c>
      <c r="D1630" s="1" t="e">
        <f t="array" aca="1" ref="D1630" ca="1">_xludf.XLOOKUP(C1630,'country region mapping'!$A$2:$A$250, 'country region mapping'!$E$2:$E$250)</f>
        <v>#NAME?</v>
      </c>
      <c r="E1630" s="1" t="e">
        <f t="array" aca="1" ref="E1630" ca="1">_xludf.XLOOKUP(C1630,'country region mapping'!$A$2:$A$267,'country region mapping'!$F$2:$F$267)</f>
        <v>#NAME?</v>
      </c>
      <c r="F1630" s="1" t="e">
        <f t="array" aca="1" ref="F1630" ca="1">_xludf.XLOOKUP(C1630,'country region mapping'!$A$2:$A$267,'country region mapping'!$G$2:$G$267)</f>
        <v>#NAME?</v>
      </c>
      <c r="G1630" s="1">
        <v>3.7240000000000002</v>
      </c>
      <c r="H1630" s="1">
        <v>88</v>
      </c>
      <c r="I1630" s="1">
        <v>116</v>
      </c>
      <c r="J1630" s="1">
        <v>127</v>
      </c>
      <c r="K1630" s="1">
        <v>104</v>
      </c>
      <c r="L1630" s="1">
        <v>115</v>
      </c>
      <c r="M1630" s="1">
        <v>140</v>
      </c>
      <c r="N1630" s="1">
        <v>79</v>
      </c>
      <c r="O1630" s="1">
        <v>137</v>
      </c>
      <c r="P1630" s="1">
        <v>98</v>
      </c>
      <c r="Q1630" s="1">
        <v>140</v>
      </c>
      <c r="R1630" s="1">
        <v>136</v>
      </c>
      <c r="S1630" s="1">
        <v>111</v>
      </c>
    </row>
    <row r="1631" spans="1:19">
      <c r="A1631" s="1">
        <v>2015</v>
      </c>
      <c r="B1631" s="1">
        <v>148</v>
      </c>
      <c r="C1631" s="1" t="s">
        <v>235</v>
      </c>
      <c r="D1631" s="1" t="e">
        <f t="array" aca="1" ref="D1631" ca="1">_xludf.XLOOKUP(C1631,'country region mapping'!$A$2:$A$250, 'country region mapping'!$E$2:$E$250)</f>
        <v>#NAME?</v>
      </c>
      <c r="E1631" s="1" t="e">
        <f t="array" aca="1" ref="E1631" ca="1">_xludf.XLOOKUP(C1631,'country region mapping'!$A$2:$A$267,'country region mapping'!$F$2:$F$267)</f>
        <v>#NAME?</v>
      </c>
      <c r="F1631" s="1" t="e">
        <f t="array" aca="1" ref="F1631" ca="1">_xludf.XLOOKUP(C1631,'country region mapping'!$A$2:$A$267,'country region mapping'!$G$2:$G$267)</f>
        <v>#NAME?</v>
      </c>
      <c r="G1631" s="1">
        <v>3.6949999999999998</v>
      </c>
      <c r="H1631" s="1">
        <v>3</v>
      </c>
      <c r="I1631" s="1">
        <v>119</v>
      </c>
      <c r="J1631" s="1">
        <v>136</v>
      </c>
      <c r="K1631" s="1">
        <v>112</v>
      </c>
      <c r="L1631" s="1">
        <v>129</v>
      </c>
      <c r="M1631" s="1">
        <v>126</v>
      </c>
      <c r="N1631" s="1">
        <v>98</v>
      </c>
      <c r="O1631" s="1">
        <v>65</v>
      </c>
      <c r="P1631" s="1">
        <v>45</v>
      </c>
      <c r="Q1631" s="1">
        <v>126</v>
      </c>
      <c r="R1631" s="1">
        <v>58</v>
      </c>
      <c r="S1631" s="1">
        <v>138</v>
      </c>
    </row>
    <row r="1632" spans="1:19">
      <c r="A1632" s="1">
        <v>2015</v>
      </c>
      <c r="B1632" s="1">
        <v>149</v>
      </c>
      <c r="C1632" s="1" t="s">
        <v>236</v>
      </c>
      <c r="D1632" s="1" t="e">
        <f t="array" aca="1" ref="D1632" ca="1">_xludf.XLOOKUP(C1632,'country region mapping'!$A$2:$A$267,'country region mapping'!$E$2:$E$267)</f>
        <v>#NAME?</v>
      </c>
      <c r="E1632" s="1" t="e">
        <f t="array" aca="1" ref="E1632" ca="1">_xludf.XLOOKUP(C1632,'country region mapping'!$A$2:$A$267,'country region mapping'!$F$2:$F$267)</f>
        <v>#NAME?</v>
      </c>
      <c r="F1632" s="1" t="e">
        <f t="array" aca="1" ref="F1632" ca="1">_xludf.XLOOKUP(C1632,'country region mapping'!$A$2:$A$267,'country region mapping'!$G$2:$G$267)</f>
        <v>#NAME?</v>
      </c>
      <c r="G1632" s="1">
        <v>3.6659999999999999</v>
      </c>
      <c r="H1632" s="1">
        <v>93</v>
      </c>
      <c r="I1632" s="1">
        <v>85</v>
      </c>
      <c r="J1632" s="1">
        <v>121</v>
      </c>
      <c r="K1632" s="1">
        <v>107</v>
      </c>
      <c r="L1632" s="1">
        <v>76</v>
      </c>
      <c r="M1632" s="1">
        <v>50</v>
      </c>
      <c r="N1632" s="1">
        <v>117</v>
      </c>
      <c r="O1632" s="1">
        <v>97</v>
      </c>
      <c r="P1632" s="1">
        <v>23</v>
      </c>
      <c r="Q1632" s="1">
        <v>50</v>
      </c>
      <c r="R1632" s="1">
        <v>94</v>
      </c>
      <c r="S1632" s="1">
        <v>25</v>
      </c>
    </row>
    <row r="1633" spans="1:19">
      <c r="A1633" s="1">
        <v>2015</v>
      </c>
      <c r="B1633" s="1">
        <v>150</v>
      </c>
      <c r="C1633" s="1" t="s">
        <v>238</v>
      </c>
      <c r="D1633" s="1" t="e">
        <f t="array" aca="1" ref="D1633" ca="1">_xludf.XLOOKUP(C1633,'country region mapping'!$A$2:$A$250, 'country region mapping'!$E$2:$E$250)</f>
        <v>#NAME?</v>
      </c>
      <c r="E1633" s="1" t="e">
        <f t="array" aca="1" ref="E1633" ca="1">_xludf.XLOOKUP(C1633,'country region mapping'!$A$2:$A$267,'country region mapping'!$F$2:$F$267)</f>
        <v>#NAME?</v>
      </c>
      <c r="F1633" s="1" t="e">
        <f t="array" aca="1" ref="F1633" ca="1">_xludf.XLOOKUP(C1633,'country region mapping'!$A$2:$A$267,'country region mapping'!$G$2:$G$267)</f>
        <v>#NAME?</v>
      </c>
      <c r="G1633" s="1">
        <v>3.6219999999999999</v>
      </c>
      <c r="H1633" s="1">
        <v>131</v>
      </c>
      <c r="I1633" s="1">
        <v>123</v>
      </c>
      <c r="J1633" s="1">
        <v>135</v>
      </c>
      <c r="K1633" s="1">
        <v>131</v>
      </c>
      <c r="L1633" s="1">
        <v>97</v>
      </c>
      <c r="M1633" s="1">
        <v>130</v>
      </c>
      <c r="N1633" s="1">
        <v>116</v>
      </c>
      <c r="O1633" s="1">
        <v>130</v>
      </c>
      <c r="P1633" s="1">
        <v>132</v>
      </c>
      <c r="Q1633" s="1">
        <v>130</v>
      </c>
      <c r="R1633" s="1">
        <v>18</v>
      </c>
      <c r="S1633" s="1">
        <v>13</v>
      </c>
    </row>
    <row r="1634" spans="1:19">
      <c r="A1634" s="1">
        <v>2015</v>
      </c>
      <c r="B1634" s="1">
        <v>151</v>
      </c>
      <c r="C1634" s="1" t="s">
        <v>240</v>
      </c>
      <c r="D1634" s="1" t="e">
        <f t="array" aca="1" ref="D1634" ca="1">_xludf.XLOOKUP(C1634,'country region mapping'!$A$2:$A$250, 'country region mapping'!$E$2:$E$250)</f>
        <v>#NAME?</v>
      </c>
      <c r="E1634" s="1" t="e">
        <f t="array" aca="1" ref="E1634" ca="1">_xludf.XLOOKUP(C1634,'country region mapping'!$A$2:$A$267,'country region mapping'!$F$2:$F$267)</f>
        <v>#NAME?</v>
      </c>
      <c r="F1634" s="1" t="e">
        <f t="array" aca="1" ref="F1634" ca="1">_xludf.XLOOKUP(C1634,'country region mapping'!$A$2:$A$267,'country region mapping'!$G$2:$G$267)</f>
        <v>#NAME?</v>
      </c>
      <c r="G1634" s="1">
        <v>3.6070000000000002</v>
      </c>
      <c r="H1634" s="1">
        <v>43</v>
      </c>
      <c r="I1634" s="1">
        <v>132</v>
      </c>
      <c r="J1634" s="1">
        <v>125</v>
      </c>
      <c r="K1634" s="1">
        <v>127</v>
      </c>
      <c r="L1634" s="1">
        <v>100</v>
      </c>
      <c r="M1634" s="1">
        <v>107</v>
      </c>
      <c r="N1634" s="1">
        <v>53</v>
      </c>
      <c r="O1634" s="1">
        <v>71</v>
      </c>
      <c r="P1634" s="1">
        <v>68</v>
      </c>
      <c r="Q1634" s="1">
        <v>107</v>
      </c>
      <c r="R1634" s="1">
        <v>68</v>
      </c>
      <c r="S1634" s="1">
        <v>28</v>
      </c>
    </row>
    <row r="1635" spans="1:19">
      <c r="A1635" s="1">
        <v>2015</v>
      </c>
      <c r="B1635" s="1">
        <v>152</v>
      </c>
      <c r="C1635" s="1" t="s">
        <v>242</v>
      </c>
      <c r="D1635" s="1" t="e">
        <f t="array" aca="1" ref="D1635" ca="1">_xludf.XLOOKUP(C1635,'country region mapping'!$A$2:$A$250, 'country region mapping'!$E$2:$E$250)</f>
        <v>#NAME?</v>
      </c>
      <c r="E1635" s="1" t="e">
        <f t="array" aca="1" ref="E1635" ca="1">_xludf.XLOOKUP(C1635,'country region mapping'!$A$2:$A$267,'country region mapping'!$F$2:$F$267)</f>
        <v>#NAME?</v>
      </c>
      <c r="F1635" s="1" t="e">
        <f t="array" aca="1" ref="F1635" ca="1">_xludf.XLOOKUP(C1635,'country region mapping'!$A$2:$A$267,'country region mapping'!$G$2:$G$267)</f>
        <v>#NAME?</v>
      </c>
      <c r="G1635" s="1">
        <v>3.5150000000000001</v>
      </c>
      <c r="H1635" s="1">
        <v>24</v>
      </c>
      <c r="I1635" s="1">
        <v>115</v>
      </c>
      <c r="J1635" s="1">
        <v>131</v>
      </c>
      <c r="K1635" s="1">
        <v>106</v>
      </c>
      <c r="L1635" s="1">
        <v>18</v>
      </c>
      <c r="M1635" s="1">
        <v>101</v>
      </c>
      <c r="N1635" s="1">
        <v>1</v>
      </c>
      <c r="O1635" s="1">
        <v>56</v>
      </c>
      <c r="P1635" s="1">
        <v>31</v>
      </c>
      <c r="Q1635" s="1">
        <v>101</v>
      </c>
      <c r="R1635" s="1">
        <v>104</v>
      </c>
      <c r="S1635" s="1">
        <v>121</v>
      </c>
    </row>
    <row r="1636" spans="1:19">
      <c r="A1636" s="1">
        <v>2015</v>
      </c>
      <c r="B1636" s="1">
        <v>153</v>
      </c>
      <c r="C1636" s="1" t="s">
        <v>244</v>
      </c>
      <c r="D1636" s="1" t="e">
        <f t="array" aca="1" ref="D1636" ca="1">_xludf.XLOOKUP(C1636,'country region mapping'!$A$2:$A$250, 'country region mapping'!$E$2:$E$250)</f>
        <v>#NAME?</v>
      </c>
      <c r="E1636" s="1" t="e">
        <f t="array" aca="1" ref="E1636" ca="1">_xludf.XLOOKUP(C1636,'country region mapping'!$A$2:$A$267,'country region mapping'!$F$2:$F$267)</f>
        <v>#NAME?</v>
      </c>
      <c r="F1636" s="1" t="e">
        <f t="array" aca="1" ref="F1636" ca="1">_xludf.XLOOKUP(C1636,'country region mapping'!$A$2:$A$267,'country region mapping'!$G$2:$G$267)</f>
        <v>#NAME?</v>
      </c>
      <c r="G1636" s="1">
        <v>3.484</v>
      </c>
      <c r="H1636" s="1">
        <v>66</v>
      </c>
      <c r="I1636" s="1">
        <v>141</v>
      </c>
      <c r="J1636" s="1">
        <v>124</v>
      </c>
      <c r="K1636" s="1">
        <v>114</v>
      </c>
      <c r="L1636" s="1">
        <v>81</v>
      </c>
      <c r="M1636" s="1">
        <v>112</v>
      </c>
      <c r="N1636" s="1">
        <v>88</v>
      </c>
      <c r="O1636" s="1">
        <v>114</v>
      </c>
      <c r="P1636" s="1">
        <v>127</v>
      </c>
      <c r="Q1636" s="1">
        <v>112</v>
      </c>
      <c r="R1636" s="1">
        <v>81</v>
      </c>
      <c r="S1636" s="1">
        <v>97</v>
      </c>
    </row>
    <row r="1637" spans="1:19">
      <c r="A1637" s="1">
        <v>2015</v>
      </c>
      <c r="B1637" s="1">
        <v>154</v>
      </c>
      <c r="C1637" s="1" t="s">
        <v>245</v>
      </c>
      <c r="D1637" s="1" t="e">
        <f t="array" aca="1" ref="D1637" ca="1">_xludf.XLOOKUP(C1637,'country region mapping'!$A$2:$A$250, 'country region mapping'!$E$2:$E$250)</f>
        <v>#NAME?</v>
      </c>
      <c r="E1637" s="1" t="e">
        <f t="array" aca="1" ref="E1637" ca="1">_xludf.XLOOKUP(C1637,'country region mapping'!$A$2:$A$267,'country region mapping'!$F$2:$F$267)</f>
        <v>#NAME?</v>
      </c>
      <c r="F1637" s="1" t="e">
        <f t="array" aca="1" ref="F1637" ca="1">_xludf.XLOOKUP(C1637,'country region mapping'!$A$2:$A$267,'country region mapping'!$G$2:$G$267)</f>
        <v>#NAME?</v>
      </c>
      <c r="G1637" s="1">
        <v>3.36</v>
      </c>
      <c r="H1637" s="1">
        <v>82</v>
      </c>
      <c r="I1637" s="1">
        <v>136</v>
      </c>
      <c r="J1637" s="1">
        <v>123</v>
      </c>
      <c r="K1637" s="1">
        <v>130</v>
      </c>
      <c r="L1637" s="1">
        <v>139</v>
      </c>
      <c r="M1637" s="1">
        <v>72</v>
      </c>
      <c r="N1637" s="1">
        <v>106</v>
      </c>
      <c r="O1637" s="1">
        <v>132</v>
      </c>
      <c r="P1637" s="1">
        <v>110</v>
      </c>
      <c r="Q1637" s="1">
        <v>72</v>
      </c>
      <c r="R1637" s="1">
        <v>100</v>
      </c>
      <c r="S1637" s="1">
        <v>52</v>
      </c>
    </row>
    <row r="1638" spans="1:19">
      <c r="A1638" s="1">
        <v>2015</v>
      </c>
      <c r="B1638" s="1">
        <v>155</v>
      </c>
      <c r="C1638" s="1" t="s">
        <v>247</v>
      </c>
      <c r="D1638" s="1" t="e">
        <f t="array" aca="1" ref="D1638" ca="1">_xludf.XLOOKUP(C1638,'country region mapping'!$A$2:$A$250, 'country region mapping'!$E$2:$E$250)</f>
        <v>#NAME?</v>
      </c>
      <c r="E1638" s="1" t="e">
        <f t="array" aca="1" ref="E1638" ca="1">_xludf.XLOOKUP(C1638,'country region mapping'!$A$2:$A$267,'country region mapping'!$F$2:$F$267)</f>
        <v>#NAME?</v>
      </c>
      <c r="F1638" s="1" t="e">
        <f t="array" aca="1" ref="F1638" ca="1">_xludf.XLOOKUP(C1638,'country region mapping'!$A$2:$A$267,'country region mapping'!$G$2:$G$267)</f>
        <v>#NAME?</v>
      </c>
      <c r="G1638" s="1">
        <v>3.3029999999999999</v>
      </c>
      <c r="H1638" s="1">
        <v>94</v>
      </c>
      <c r="I1638" s="1">
        <v>139</v>
      </c>
      <c r="J1638" s="1">
        <v>129</v>
      </c>
      <c r="K1638" s="1">
        <v>119</v>
      </c>
      <c r="L1638" s="1">
        <v>71</v>
      </c>
      <c r="M1638" s="1">
        <v>135</v>
      </c>
      <c r="N1638" s="1">
        <v>47</v>
      </c>
      <c r="O1638" s="1">
        <v>101</v>
      </c>
      <c r="P1638" s="1">
        <v>136</v>
      </c>
      <c r="Q1638" s="1">
        <v>135</v>
      </c>
      <c r="R1638" s="1">
        <v>75</v>
      </c>
      <c r="S1638" s="1">
        <v>65</v>
      </c>
    </row>
    <row r="1639" spans="1:19">
      <c r="A1639" s="1">
        <v>2015</v>
      </c>
      <c r="B1639" s="1">
        <v>156</v>
      </c>
      <c r="C1639" s="1" t="s">
        <v>248</v>
      </c>
      <c r="D1639" s="1" t="e">
        <f t="array" aca="1" ref="D1639" ca="1">_xludf.XLOOKUP(C1639,'country region mapping'!$A$2:$A$267,'country region mapping'!$E$2:$E$267)</f>
        <v>#NAME?</v>
      </c>
      <c r="E1639" s="1" t="e">
        <f t="array" aca="1" ref="E1639" ca="1">_xludf.XLOOKUP(C1639,'country region mapping'!$A$2:$A$267,'country region mapping'!$F$2:$F$267)</f>
        <v>#NAME?</v>
      </c>
      <c r="F1639" s="1" t="e">
        <f t="array" aca="1" ref="F1639" ca="1">_xludf.XLOOKUP(C1639,'country region mapping'!$A$2:$A$267,'country region mapping'!$G$2:$G$267)</f>
        <v>#NAME?</v>
      </c>
      <c r="G1639" s="1">
        <v>3.069</v>
      </c>
      <c r="H1639" s="1">
        <v>132</v>
      </c>
      <c r="I1639" s="1">
        <v>140</v>
      </c>
      <c r="J1639" s="1">
        <v>110</v>
      </c>
      <c r="K1639" s="1">
        <v>126</v>
      </c>
      <c r="L1639" s="1">
        <v>135</v>
      </c>
      <c r="M1639" s="1">
        <v>65</v>
      </c>
      <c r="N1639" s="1">
        <v>35</v>
      </c>
      <c r="O1639" s="1">
        <v>141</v>
      </c>
      <c r="P1639" s="1">
        <v>141</v>
      </c>
      <c r="Q1639" s="1">
        <v>65</v>
      </c>
      <c r="R1639" s="1">
        <v>69</v>
      </c>
      <c r="S1639" s="1">
        <v>32</v>
      </c>
    </row>
    <row r="1640" spans="1:19">
      <c r="A1640" s="1">
        <v>2015</v>
      </c>
      <c r="B1640" s="1">
        <v>157</v>
      </c>
      <c r="C1640" s="1" t="s">
        <v>250</v>
      </c>
      <c r="D1640" s="1" t="e">
        <f t="array" aca="1" ref="D1640" ca="1">_xludf.XLOOKUP(C1640,'country region mapping'!$A$2:$A$250, 'country region mapping'!$E$2:$E$250)</f>
        <v>#NAME?</v>
      </c>
      <c r="E1640" s="1" t="e">
        <f t="array" aca="1" ref="E1640" ca="1">_xludf.XLOOKUP(C1640,'country region mapping'!$A$2:$A$267,'country region mapping'!$F$2:$F$267)</f>
        <v>#NAME?</v>
      </c>
      <c r="F1640" s="1" t="e">
        <f t="array" aca="1" ref="F1640" ca="1">_xludf.XLOOKUP(C1640,'country region mapping'!$A$2:$A$267,'country region mapping'!$G$2:$G$267)</f>
        <v>#NAME?</v>
      </c>
      <c r="G1640" s="1">
        <v>2.9049999999999998</v>
      </c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267"/>
  <sheetViews>
    <sheetView workbookViewId="0"/>
  </sheetViews>
  <sheetFormatPr baseColWidth="10" defaultColWidth="11.1640625" defaultRowHeight="15" customHeight="1"/>
  <sheetData>
    <row r="1" spans="1:9">
      <c r="A1" s="15" t="s">
        <v>829</v>
      </c>
      <c r="B1" s="15" t="s">
        <v>830</v>
      </c>
      <c r="C1" s="15" t="s">
        <v>831</v>
      </c>
      <c r="D1" s="15" t="s">
        <v>832</v>
      </c>
      <c r="E1" s="15" t="s">
        <v>833</v>
      </c>
      <c r="F1" s="15" t="s">
        <v>834</v>
      </c>
      <c r="G1" s="15" t="s">
        <v>835</v>
      </c>
      <c r="I1" s="1" t="s">
        <v>836</v>
      </c>
    </row>
    <row r="2" spans="1:9">
      <c r="A2" s="16" t="s">
        <v>245</v>
      </c>
      <c r="B2" s="17" t="s">
        <v>837</v>
      </c>
      <c r="C2" s="17">
        <v>4</v>
      </c>
      <c r="D2" s="17" t="s">
        <v>838</v>
      </c>
      <c r="E2" s="17" t="s">
        <v>839</v>
      </c>
      <c r="F2" s="17" t="s">
        <v>840</v>
      </c>
      <c r="G2" s="18"/>
      <c r="I2" s="2" t="s">
        <v>841</v>
      </c>
    </row>
    <row r="3" spans="1:9">
      <c r="A3" s="16" t="s">
        <v>842</v>
      </c>
      <c r="B3" s="17" t="s">
        <v>843</v>
      </c>
      <c r="C3" s="17">
        <v>248</v>
      </c>
      <c r="D3" s="17" t="s">
        <v>844</v>
      </c>
      <c r="E3" s="17" t="s">
        <v>845</v>
      </c>
      <c r="F3" s="17" t="s">
        <v>846</v>
      </c>
      <c r="G3" s="18"/>
    </row>
    <row r="4" spans="1:9">
      <c r="A4" s="16" t="s">
        <v>174</v>
      </c>
      <c r="B4" s="17" t="s">
        <v>847</v>
      </c>
      <c r="C4" s="17">
        <v>8</v>
      </c>
      <c r="D4" s="17" t="s">
        <v>848</v>
      </c>
      <c r="E4" s="17" t="s">
        <v>845</v>
      </c>
      <c r="F4" s="17" t="s">
        <v>849</v>
      </c>
      <c r="G4" s="18"/>
    </row>
    <row r="5" spans="1:9">
      <c r="A5" s="16" t="s">
        <v>85</v>
      </c>
      <c r="B5" s="17" t="s">
        <v>850</v>
      </c>
      <c r="C5" s="17">
        <v>12</v>
      </c>
      <c r="D5" s="17" t="s">
        <v>851</v>
      </c>
      <c r="E5" s="17" t="s">
        <v>852</v>
      </c>
      <c r="F5" s="17" t="s">
        <v>853</v>
      </c>
      <c r="G5" s="18"/>
    </row>
    <row r="6" spans="1:9">
      <c r="A6" s="16" t="s">
        <v>854</v>
      </c>
      <c r="B6" s="17" t="s">
        <v>855</v>
      </c>
      <c r="C6" s="17">
        <v>16</v>
      </c>
      <c r="D6" s="17" t="s">
        <v>856</v>
      </c>
      <c r="E6" s="17" t="s">
        <v>857</v>
      </c>
      <c r="F6" s="17" t="s">
        <v>858</v>
      </c>
      <c r="G6" s="18"/>
    </row>
    <row r="7" spans="1:9">
      <c r="A7" s="16" t="s">
        <v>859</v>
      </c>
      <c r="B7" s="17" t="s">
        <v>860</v>
      </c>
      <c r="C7" s="17">
        <v>20</v>
      </c>
      <c r="D7" s="17" t="s">
        <v>861</v>
      </c>
      <c r="E7" s="17" t="s">
        <v>845</v>
      </c>
      <c r="F7" s="17" t="s">
        <v>849</v>
      </c>
      <c r="G7" s="18"/>
    </row>
    <row r="8" spans="1:9">
      <c r="A8" s="16" t="s">
        <v>222</v>
      </c>
      <c r="B8" s="17" t="s">
        <v>862</v>
      </c>
      <c r="C8" s="17">
        <v>24</v>
      </c>
      <c r="D8" s="17" t="s">
        <v>863</v>
      </c>
      <c r="E8" s="17" t="s">
        <v>852</v>
      </c>
      <c r="F8" s="17" t="s">
        <v>864</v>
      </c>
      <c r="G8" s="17" t="s">
        <v>865</v>
      </c>
    </row>
    <row r="9" spans="1:9">
      <c r="A9" s="16" t="s">
        <v>866</v>
      </c>
      <c r="B9" s="17" t="s">
        <v>867</v>
      </c>
      <c r="C9" s="17">
        <v>660</v>
      </c>
      <c r="D9" s="17" t="s">
        <v>868</v>
      </c>
      <c r="E9" s="17" t="s">
        <v>869</v>
      </c>
      <c r="F9" s="17" t="s">
        <v>870</v>
      </c>
      <c r="G9" s="17" t="s">
        <v>871</v>
      </c>
    </row>
    <row r="10" spans="1:9">
      <c r="A10" s="16" t="s">
        <v>872</v>
      </c>
      <c r="B10" s="17" t="s">
        <v>873</v>
      </c>
      <c r="C10" s="17">
        <v>10</v>
      </c>
      <c r="D10" s="17" t="s">
        <v>874</v>
      </c>
      <c r="E10" s="18"/>
      <c r="F10" s="18"/>
      <c r="G10" s="18"/>
    </row>
    <row r="11" spans="1:9">
      <c r="A11" s="16" t="s">
        <v>875</v>
      </c>
      <c r="B11" s="17" t="s">
        <v>876</v>
      </c>
      <c r="C11" s="17">
        <v>28</v>
      </c>
      <c r="D11" s="17" t="s">
        <v>877</v>
      </c>
      <c r="E11" s="17" t="s">
        <v>869</v>
      </c>
      <c r="F11" s="17" t="s">
        <v>870</v>
      </c>
      <c r="G11" s="17" t="s">
        <v>871</v>
      </c>
    </row>
    <row r="12" spans="1:9">
      <c r="A12" s="16" t="s">
        <v>69</v>
      </c>
      <c r="B12" s="17" t="s">
        <v>878</v>
      </c>
      <c r="C12" s="17">
        <v>32</v>
      </c>
      <c r="D12" s="17" t="s">
        <v>879</v>
      </c>
      <c r="E12" s="17" t="s">
        <v>869</v>
      </c>
      <c r="F12" s="17" t="s">
        <v>870</v>
      </c>
      <c r="G12" s="17" t="s">
        <v>880</v>
      </c>
    </row>
    <row r="13" spans="1:9">
      <c r="A13" s="16" t="s">
        <v>192</v>
      </c>
      <c r="B13" s="17" t="s">
        <v>881</v>
      </c>
      <c r="C13" s="17">
        <v>51</v>
      </c>
      <c r="D13" s="17" t="s">
        <v>882</v>
      </c>
      <c r="E13" s="17" t="s">
        <v>839</v>
      </c>
      <c r="F13" s="17" t="s">
        <v>883</v>
      </c>
      <c r="G13" s="18"/>
    </row>
    <row r="14" spans="1:9">
      <c r="A14" s="16" t="s">
        <v>884</v>
      </c>
      <c r="B14" s="17" t="s">
        <v>885</v>
      </c>
      <c r="C14" s="17">
        <v>533</v>
      </c>
      <c r="D14" s="17" t="s">
        <v>886</v>
      </c>
      <c r="E14" s="17" t="s">
        <v>869</v>
      </c>
      <c r="F14" s="17" t="s">
        <v>870</v>
      </c>
      <c r="G14" s="17" t="s">
        <v>871</v>
      </c>
    </row>
    <row r="15" spans="1:9">
      <c r="A15" s="16" t="s">
        <v>43</v>
      </c>
      <c r="B15" s="17" t="s">
        <v>887</v>
      </c>
      <c r="C15" s="17">
        <v>36</v>
      </c>
      <c r="D15" s="17" t="s">
        <v>888</v>
      </c>
      <c r="E15" s="17" t="s">
        <v>857</v>
      </c>
      <c r="F15" s="17" t="s">
        <v>889</v>
      </c>
      <c r="G15" s="18"/>
    </row>
    <row r="16" spans="1:9">
      <c r="A16" s="16" t="s">
        <v>49</v>
      </c>
      <c r="B16" s="17" t="s">
        <v>890</v>
      </c>
      <c r="C16" s="17">
        <v>40</v>
      </c>
      <c r="D16" s="17" t="s">
        <v>891</v>
      </c>
      <c r="E16" s="17" t="s">
        <v>845</v>
      </c>
      <c r="F16" s="17" t="s">
        <v>892</v>
      </c>
      <c r="G16" s="18"/>
    </row>
    <row r="17" spans="1:7">
      <c r="A17" s="16" t="s">
        <v>140</v>
      </c>
      <c r="B17" s="17" t="s">
        <v>893</v>
      </c>
      <c r="C17" s="17">
        <v>31</v>
      </c>
      <c r="D17" s="17" t="s">
        <v>894</v>
      </c>
      <c r="E17" s="17" t="s">
        <v>839</v>
      </c>
      <c r="F17" s="17" t="s">
        <v>883</v>
      </c>
      <c r="G17" s="18"/>
    </row>
    <row r="18" spans="1:7">
      <c r="A18" s="16" t="s">
        <v>895</v>
      </c>
      <c r="B18" s="17" t="s">
        <v>896</v>
      </c>
      <c r="C18" s="17">
        <v>44</v>
      </c>
      <c r="D18" s="17" t="s">
        <v>897</v>
      </c>
      <c r="E18" s="17" t="s">
        <v>869</v>
      </c>
      <c r="F18" s="17" t="s">
        <v>870</v>
      </c>
      <c r="G18" s="17" t="s">
        <v>871</v>
      </c>
    </row>
    <row r="19" spans="1:7">
      <c r="A19" s="16" t="s">
        <v>90</v>
      </c>
      <c r="B19" s="17" t="s">
        <v>898</v>
      </c>
      <c r="C19" s="17">
        <v>48</v>
      </c>
      <c r="D19" s="17" t="s">
        <v>899</v>
      </c>
      <c r="E19" s="17" t="s">
        <v>839</v>
      </c>
      <c r="F19" s="17" t="s">
        <v>883</v>
      </c>
      <c r="G19" s="18"/>
    </row>
    <row r="20" spans="1:7">
      <c r="A20" s="16" t="s">
        <v>176</v>
      </c>
      <c r="B20" s="17" t="s">
        <v>900</v>
      </c>
      <c r="C20" s="17">
        <v>50</v>
      </c>
      <c r="D20" s="17" t="s">
        <v>901</v>
      </c>
      <c r="E20" s="17" t="s">
        <v>839</v>
      </c>
      <c r="F20" s="17" t="s">
        <v>840</v>
      </c>
      <c r="G20" s="18"/>
    </row>
    <row r="21" spans="1:7">
      <c r="A21" s="16" t="s">
        <v>902</v>
      </c>
      <c r="B21" s="17" t="s">
        <v>903</v>
      </c>
      <c r="C21" s="17">
        <v>52</v>
      </c>
      <c r="D21" s="17" t="s">
        <v>904</v>
      </c>
      <c r="E21" s="17" t="s">
        <v>869</v>
      </c>
      <c r="F21" s="17" t="s">
        <v>870</v>
      </c>
      <c r="G21" s="17" t="s">
        <v>871</v>
      </c>
    </row>
    <row r="22" spans="1:7">
      <c r="A22" s="16" t="s">
        <v>115</v>
      </c>
      <c r="B22" s="17" t="s">
        <v>905</v>
      </c>
      <c r="C22" s="17">
        <v>112</v>
      </c>
      <c r="D22" s="17" t="s">
        <v>906</v>
      </c>
      <c r="E22" s="17" t="s">
        <v>845</v>
      </c>
      <c r="F22" s="17" t="s">
        <v>907</v>
      </c>
      <c r="G22" s="18"/>
    </row>
    <row r="23" spans="1:7">
      <c r="A23" s="16" t="s">
        <v>415</v>
      </c>
      <c r="B23" s="17" t="s">
        <v>908</v>
      </c>
      <c r="C23" s="17">
        <v>56</v>
      </c>
      <c r="D23" s="17" t="s">
        <v>909</v>
      </c>
      <c r="E23" s="17" t="s">
        <v>845</v>
      </c>
      <c r="F23" s="17" t="s">
        <v>892</v>
      </c>
      <c r="G23" s="18"/>
    </row>
    <row r="24" spans="1:7">
      <c r="A24" s="16" t="s">
        <v>103</v>
      </c>
      <c r="B24" s="17" t="s">
        <v>910</v>
      </c>
      <c r="C24" s="17">
        <v>84</v>
      </c>
      <c r="D24" s="17" t="s">
        <v>911</v>
      </c>
      <c r="E24" s="17" t="s">
        <v>869</v>
      </c>
      <c r="F24" s="17" t="s">
        <v>870</v>
      </c>
      <c r="G24" s="17" t="s">
        <v>912</v>
      </c>
    </row>
    <row r="25" spans="1:7">
      <c r="A25" s="16" t="s">
        <v>244</v>
      </c>
      <c r="B25" s="17" t="s">
        <v>913</v>
      </c>
      <c r="C25" s="17">
        <v>204</v>
      </c>
      <c r="D25" s="17" t="s">
        <v>914</v>
      </c>
      <c r="E25" s="17" t="s">
        <v>852</v>
      </c>
      <c r="F25" s="17" t="s">
        <v>864</v>
      </c>
      <c r="G25" s="17" t="s">
        <v>915</v>
      </c>
    </row>
    <row r="26" spans="1:7">
      <c r="A26" s="16" t="s">
        <v>916</v>
      </c>
      <c r="B26" s="17" t="s">
        <v>917</v>
      </c>
      <c r="C26" s="17">
        <v>60</v>
      </c>
      <c r="D26" s="17" t="s">
        <v>918</v>
      </c>
      <c r="E26" s="17" t="s">
        <v>869</v>
      </c>
      <c r="F26" s="17" t="s">
        <v>919</v>
      </c>
      <c r="G26" s="18"/>
    </row>
    <row r="27" spans="1:7">
      <c r="A27" s="16" t="s">
        <v>143</v>
      </c>
      <c r="B27" s="17" t="s">
        <v>920</v>
      </c>
      <c r="C27" s="17">
        <v>64</v>
      </c>
      <c r="D27" s="17" t="s">
        <v>921</v>
      </c>
      <c r="E27" s="17" t="s">
        <v>839</v>
      </c>
      <c r="F27" s="17" t="s">
        <v>840</v>
      </c>
      <c r="G27" s="18"/>
    </row>
    <row r="28" spans="1:7">
      <c r="A28" s="16" t="s">
        <v>922</v>
      </c>
      <c r="B28" s="17" t="s">
        <v>923</v>
      </c>
      <c r="C28" s="17">
        <v>68</v>
      </c>
      <c r="D28" s="17" t="s">
        <v>924</v>
      </c>
      <c r="E28" s="17" t="s">
        <v>869</v>
      </c>
      <c r="F28" s="17" t="s">
        <v>870</v>
      </c>
      <c r="G28" s="17" t="s">
        <v>880</v>
      </c>
    </row>
    <row r="29" spans="1:7">
      <c r="A29" s="16" t="s">
        <v>925</v>
      </c>
      <c r="B29" s="17" t="s">
        <v>926</v>
      </c>
      <c r="C29" s="17">
        <v>535</v>
      </c>
      <c r="D29" s="17" t="s">
        <v>927</v>
      </c>
      <c r="E29" s="17" t="s">
        <v>869</v>
      </c>
      <c r="F29" s="17" t="s">
        <v>870</v>
      </c>
      <c r="G29" s="17" t="s">
        <v>871</v>
      </c>
    </row>
    <row r="30" spans="1:7">
      <c r="A30" s="16" t="s">
        <v>146</v>
      </c>
      <c r="B30" s="17" t="s">
        <v>928</v>
      </c>
      <c r="C30" s="17">
        <v>70</v>
      </c>
      <c r="D30" s="17" t="s">
        <v>929</v>
      </c>
      <c r="E30" s="17" t="s">
        <v>845</v>
      </c>
      <c r="F30" s="17" t="s">
        <v>849</v>
      </c>
      <c r="G30" s="18"/>
    </row>
    <row r="31" spans="1:7">
      <c r="A31" s="16" t="s">
        <v>218</v>
      </c>
      <c r="B31" s="17" t="s">
        <v>930</v>
      </c>
      <c r="C31" s="17">
        <v>72</v>
      </c>
      <c r="D31" s="17" t="s">
        <v>931</v>
      </c>
      <c r="E31" s="17" t="s">
        <v>852</v>
      </c>
      <c r="F31" s="17" t="s">
        <v>864</v>
      </c>
      <c r="G31" s="17" t="s">
        <v>932</v>
      </c>
    </row>
    <row r="32" spans="1:7">
      <c r="A32" s="16" t="s">
        <v>933</v>
      </c>
      <c r="B32" s="17" t="s">
        <v>934</v>
      </c>
      <c r="C32" s="17">
        <v>74</v>
      </c>
      <c r="D32" s="17" t="s">
        <v>935</v>
      </c>
      <c r="E32" s="17" t="s">
        <v>869</v>
      </c>
      <c r="F32" s="17" t="s">
        <v>870</v>
      </c>
      <c r="G32" s="17" t="s">
        <v>880</v>
      </c>
    </row>
    <row r="33" spans="1:7">
      <c r="A33" s="16" t="s">
        <v>54</v>
      </c>
      <c r="B33" s="17" t="s">
        <v>936</v>
      </c>
      <c r="C33" s="17">
        <v>76</v>
      </c>
      <c r="D33" s="17" t="s">
        <v>937</v>
      </c>
      <c r="E33" s="17" t="s">
        <v>869</v>
      </c>
      <c r="F33" s="17" t="s">
        <v>870</v>
      </c>
      <c r="G33" s="17" t="s">
        <v>880</v>
      </c>
    </row>
    <row r="34" spans="1:7">
      <c r="A34" s="16" t="s">
        <v>938</v>
      </c>
      <c r="B34" s="17" t="s">
        <v>939</v>
      </c>
      <c r="C34" s="17">
        <v>86</v>
      </c>
      <c r="D34" s="17" t="s">
        <v>940</v>
      </c>
      <c r="E34" s="17" t="s">
        <v>852</v>
      </c>
      <c r="F34" s="17" t="s">
        <v>864</v>
      </c>
      <c r="G34" s="17" t="s">
        <v>941</v>
      </c>
    </row>
    <row r="35" spans="1:7">
      <c r="A35" s="16" t="s">
        <v>942</v>
      </c>
      <c r="B35" s="17" t="s">
        <v>943</v>
      </c>
      <c r="C35" s="17">
        <v>96</v>
      </c>
      <c r="D35" s="17" t="s">
        <v>944</v>
      </c>
      <c r="E35" s="17" t="s">
        <v>839</v>
      </c>
      <c r="F35" s="17" t="s">
        <v>945</v>
      </c>
      <c r="G35" s="18"/>
    </row>
    <row r="36" spans="1:7">
      <c r="A36" s="16" t="s">
        <v>205</v>
      </c>
      <c r="B36" s="17" t="s">
        <v>946</v>
      </c>
      <c r="C36" s="17">
        <v>100</v>
      </c>
      <c r="D36" s="17" t="s">
        <v>947</v>
      </c>
      <c r="E36" s="17" t="s">
        <v>845</v>
      </c>
      <c r="F36" s="17" t="s">
        <v>907</v>
      </c>
      <c r="G36" s="18"/>
    </row>
    <row r="37" spans="1:7">
      <c r="A37" s="16" t="s">
        <v>229</v>
      </c>
      <c r="B37" s="17" t="s">
        <v>948</v>
      </c>
      <c r="C37" s="17">
        <v>854</v>
      </c>
      <c r="D37" s="17" t="s">
        <v>949</v>
      </c>
      <c r="E37" s="17" t="s">
        <v>852</v>
      </c>
      <c r="F37" s="17" t="s">
        <v>864</v>
      </c>
      <c r="G37" s="17" t="s">
        <v>915</v>
      </c>
    </row>
    <row r="38" spans="1:7">
      <c r="A38" s="16" t="s">
        <v>250</v>
      </c>
      <c r="B38" s="17" t="s">
        <v>950</v>
      </c>
      <c r="C38" s="17">
        <v>108</v>
      </c>
      <c r="D38" s="17" t="s">
        <v>951</v>
      </c>
      <c r="E38" s="17" t="s">
        <v>852</v>
      </c>
      <c r="F38" s="17" t="s">
        <v>864</v>
      </c>
      <c r="G38" s="17" t="s">
        <v>941</v>
      </c>
    </row>
    <row r="39" spans="1:7">
      <c r="A39" s="16" t="s">
        <v>952</v>
      </c>
      <c r="B39" s="17" t="s">
        <v>953</v>
      </c>
      <c r="C39" s="17">
        <v>132</v>
      </c>
      <c r="D39" s="17" t="s">
        <v>954</v>
      </c>
      <c r="E39" s="17" t="s">
        <v>852</v>
      </c>
      <c r="F39" s="17" t="s">
        <v>864</v>
      </c>
      <c r="G39" s="17" t="s">
        <v>915</v>
      </c>
    </row>
    <row r="40" spans="1:7">
      <c r="A40" s="16" t="s">
        <v>221</v>
      </c>
      <c r="B40" s="17" t="s">
        <v>955</v>
      </c>
      <c r="C40" s="17">
        <v>116</v>
      </c>
      <c r="D40" s="17" t="s">
        <v>956</v>
      </c>
      <c r="E40" s="17" t="s">
        <v>839</v>
      </c>
      <c r="F40" s="17" t="s">
        <v>945</v>
      </c>
      <c r="G40" s="18"/>
    </row>
    <row r="41" spans="1:7">
      <c r="A41" s="16" t="s">
        <v>182</v>
      </c>
      <c r="B41" s="17" t="s">
        <v>957</v>
      </c>
      <c r="C41" s="17">
        <v>120</v>
      </c>
      <c r="D41" s="17" t="s">
        <v>958</v>
      </c>
      <c r="E41" s="17" t="s">
        <v>852</v>
      </c>
      <c r="F41" s="17" t="s">
        <v>864</v>
      </c>
      <c r="G41" s="17" t="s">
        <v>865</v>
      </c>
    </row>
    <row r="42" spans="1:7">
      <c r="A42" s="16" t="s">
        <v>38</v>
      </c>
      <c r="B42" s="17" t="s">
        <v>959</v>
      </c>
      <c r="C42" s="17">
        <v>124</v>
      </c>
      <c r="D42" s="17" t="s">
        <v>960</v>
      </c>
      <c r="E42" s="17" t="s">
        <v>869</v>
      </c>
      <c r="F42" s="17" t="s">
        <v>919</v>
      </c>
      <c r="G42" s="18"/>
    </row>
    <row r="43" spans="1:7">
      <c r="A43" s="16" t="s">
        <v>961</v>
      </c>
      <c r="B43" s="17" t="s">
        <v>962</v>
      </c>
      <c r="C43" s="17">
        <v>136</v>
      </c>
      <c r="D43" s="17" t="s">
        <v>963</v>
      </c>
      <c r="E43" s="17" t="s">
        <v>869</v>
      </c>
      <c r="F43" s="17" t="s">
        <v>870</v>
      </c>
      <c r="G43" s="17" t="s">
        <v>871</v>
      </c>
    </row>
    <row r="44" spans="1:7">
      <c r="A44" s="16" t="s">
        <v>332</v>
      </c>
      <c r="B44" s="17" t="s">
        <v>964</v>
      </c>
      <c r="C44" s="17">
        <v>140</v>
      </c>
      <c r="D44" s="17" t="s">
        <v>965</v>
      </c>
      <c r="E44" s="17" t="s">
        <v>852</v>
      </c>
      <c r="F44" s="17" t="s">
        <v>864</v>
      </c>
      <c r="G44" s="17" t="s">
        <v>865</v>
      </c>
    </row>
    <row r="45" spans="1:7">
      <c r="A45" s="16" t="s">
        <v>227</v>
      </c>
      <c r="B45" s="17" t="s">
        <v>966</v>
      </c>
      <c r="C45" s="17">
        <v>148</v>
      </c>
      <c r="D45" s="17" t="s">
        <v>967</v>
      </c>
      <c r="E45" s="17" t="s">
        <v>852</v>
      </c>
      <c r="F45" s="17" t="s">
        <v>864</v>
      </c>
      <c r="G45" s="17" t="s">
        <v>865</v>
      </c>
    </row>
    <row r="46" spans="1:7">
      <c r="A46" s="16" t="s">
        <v>66</v>
      </c>
      <c r="B46" s="17" t="s">
        <v>968</v>
      </c>
      <c r="C46" s="17">
        <v>152</v>
      </c>
      <c r="D46" s="17" t="s">
        <v>969</v>
      </c>
      <c r="E46" s="17" t="s">
        <v>869</v>
      </c>
      <c r="F46" s="17" t="s">
        <v>870</v>
      </c>
      <c r="G46" s="17" t="s">
        <v>880</v>
      </c>
    </row>
    <row r="47" spans="1:7">
      <c r="A47" s="16" t="s">
        <v>142</v>
      </c>
      <c r="B47" s="17" t="s">
        <v>970</v>
      </c>
      <c r="C47" s="17">
        <v>156</v>
      </c>
      <c r="D47" s="17" t="s">
        <v>971</v>
      </c>
      <c r="E47" s="17" t="s">
        <v>839</v>
      </c>
      <c r="F47" s="17" t="s">
        <v>972</v>
      </c>
      <c r="G47" s="18"/>
    </row>
    <row r="48" spans="1:7">
      <c r="A48" s="16" t="s">
        <v>973</v>
      </c>
      <c r="B48" s="17" t="s">
        <v>974</v>
      </c>
      <c r="C48" s="17">
        <v>162</v>
      </c>
      <c r="D48" s="17" t="s">
        <v>975</v>
      </c>
      <c r="E48" s="17" t="s">
        <v>857</v>
      </c>
      <c r="F48" s="17" t="s">
        <v>889</v>
      </c>
      <c r="G48" s="18"/>
    </row>
    <row r="49" spans="1:7">
      <c r="A49" s="16" t="s">
        <v>976</v>
      </c>
      <c r="B49" s="17" t="s">
        <v>977</v>
      </c>
      <c r="C49" s="17">
        <v>166</v>
      </c>
      <c r="D49" s="17" t="s">
        <v>978</v>
      </c>
      <c r="E49" s="17" t="s">
        <v>857</v>
      </c>
      <c r="F49" s="17" t="s">
        <v>889</v>
      </c>
      <c r="G49" s="18"/>
    </row>
    <row r="50" spans="1:7">
      <c r="A50" s="16" t="s">
        <v>75</v>
      </c>
      <c r="B50" s="17" t="s">
        <v>979</v>
      </c>
      <c r="C50" s="17">
        <v>170</v>
      </c>
      <c r="D50" s="17" t="s">
        <v>980</v>
      </c>
      <c r="E50" s="17" t="s">
        <v>869</v>
      </c>
      <c r="F50" s="17" t="s">
        <v>870</v>
      </c>
      <c r="G50" s="17" t="s">
        <v>880</v>
      </c>
    </row>
    <row r="51" spans="1:7">
      <c r="A51" s="16" t="s">
        <v>219</v>
      </c>
      <c r="B51" s="17" t="s">
        <v>981</v>
      </c>
      <c r="C51" s="17">
        <v>174</v>
      </c>
      <c r="D51" s="17" t="s">
        <v>982</v>
      </c>
      <c r="E51" s="17" t="s">
        <v>852</v>
      </c>
      <c r="F51" s="17" t="s">
        <v>864</v>
      </c>
      <c r="G51" s="17" t="s">
        <v>941</v>
      </c>
    </row>
    <row r="52" spans="1:7">
      <c r="A52" s="16" t="s">
        <v>202</v>
      </c>
      <c r="B52" s="17" t="s">
        <v>983</v>
      </c>
      <c r="C52" s="17">
        <v>178</v>
      </c>
      <c r="D52" s="17" t="s">
        <v>984</v>
      </c>
      <c r="E52" s="17" t="s">
        <v>852</v>
      </c>
      <c r="F52" s="17" t="s">
        <v>864</v>
      </c>
      <c r="G52" s="17" t="s">
        <v>865</v>
      </c>
    </row>
    <row r="53" spans="1:7">
      <c r="A53" s="16" t="s">
        <v>985</v>
      </c>
      <c r="B53" s="17" t="s">
        <v>986</v>
      </c>
      <c r="C53" s="17">
        <v>180</v>
      </c>
      <c r="D53" s="17" t="s">
        <v>987</v>
      </c>
      <c r="E53" s="17" t="s">
        <v>852</v>
      </c>
      <c r="F53" s="17" t="s">
        <v>864</v>
      </c>
      <c r="G53" s="17" t="s">
        <v>865</v>
      </c>
    </row>
    <row r="54" spans="1:7">
      <c r="A54" s="16" t="s">
        <v>988</v>
      </c>
      <c r="B54" s="17" t="s">
        <v>989</v>
      </c>
      <c r="C54" s="17">
        <v>184</v>
      </c>
      <c r="D54" s="17" t="s">
        <v>990</v>
      </c>
      <c r="E54" s="17" t="s">
        <v>857</v>
      </c>
      <c r="F54" s="17" t="s">
        <v>858</v>
      </c>
      <c r="G54" s="18"/>
    </row>
    <row r="55" spans="1:7">
      <c r="A55" s="16" t="s">
        <v>52</v>
      </c>
      <c r="B55" s="17" t="s">
        <v>991</v>
      </c>
      <c r="C55" s="17">
        <v>188</v>
      </c>
      <c r="D55" s="17" t="s">
        <v>992</v>
      </c>
      <c r="E55" s="17" t="s">
        <v>869</v>
      </c>
      <c r="F55" s="17" t="s">
        <v>870</v>
      </c>
      <c r="G55" s="17" t="s">
        <v>912</v>
      </c>
    </row>
    <row r="56" spans="1:7">
      <c r="A56" s="16" t="s">
        <v>993</v>
      </c>
      <c r="B56" s="17" t="s">
        <v>994</v>
      </c>
      <c r="C56" s="17">
        <v>384</v>
      </c>
      <c r="D56" s="17" t="s">
        <v>995</v>
      </c>
      <c r="E56" s="17" t="s">
        <v>852</v>
      </c>
      <c r="F56" s="17" t="s">
        <v>864</v>
      </c>
      <c r="G56" s="17" t="s">
        <v>915</v>
      </c>
    </row>
    <row r="57" spans="1:7">
      <c r="A57" s="16" t="s">
        <v>131</v>
      </c>
      <c r="B57" s="17" t="s">
        <v>996</v>
      </c>
      <c r="C57" s="17">
        <v>191</v>
      </c>
      <c r="D57" s="17" t="s">
        <v>997</v>
      </c>
      <c r="E57" s="17" t="s">
        <v>845</v>
      </c>
      <c r="F57" s="17" t="s">
        <v>849</v>
      </c>
      <c r="G57" s="18"/>
    </row>
    <row r="58" spans="1:7">
      <c r="A58" s="16" t="s">
        <v>998</v>
      </c>
      <c r="B58" s="17" t="s">
        <v>999</v>
      </c>
      <c r="C58" s="17">
        <v>192</v>
      </c>
      <c r="D58" s="17" t="s">
        <v>1000</v>
      </c>
      <c r="E58" s="17" t="s">
        <v>869</v>
      </c>
      <c r="F58" s="17" t="s">
        <v>870</v>
      </c>
      <c r="G58" s="17" t="s">
        <v>871</v>
      </c>
    </row>
    <row r="59" spans="1:7">
      <c r="A59" s="16" t="s">
        <v>1001</v>
      </c>
      <c r="B59" s="17" t="s">
        <v>1002</v>
      </c>
      <c r="C59" s="17">
        <v>531</v>
      </c>
      <c r="D59" s="17" t="s">
        <v>1003</v>
      </c>
      <c r="E59" s="17" t="s">
        <v>869</v>
      </c>
      <c r="F59" s="17" t="s">
        <v>870</v>
      </c>
      <c r="G59" s="17" t="s">
        <v>871</v>
      </c>
    </row>
    <row r="60" spans="1:7">
      <c r="A60" s="16" t="s">
        <v>124</v>
      </c>
      <c r="B60" s="17" t="s">
        <v>1004</v>
      </c>
      <c r="C60" s="17">
        <v>196</v>
      </c>
      <c r="D60" s="17" t="s">
        <v>1005</v>
      </c>
      <c r="E60" s="17" t="s">
        <v>839</v>
      </c>
      <c r="F60" s="17" t="s">
        <v>883</v>
      </c>
      <c r="G60" s="18"/>
    </row>
    <row r="61" spans="1:7">
      <c r="A61" s="16" t="s">
        <v>70</v>
      </c>
      <c r="B61" s="17" t="s">
        <v>1006</v>
      </c>
      <c r="C61" s="17">
        <v>203</v>
      </c>
      <c r="D61" s="17" t="s">
        <v>1007</v>
      </c>
      <c r="E61" s="17" t="s">
        <v>845</v>
      </c>
      <c r="F61" s="17" t="s">
        <v>907</v>
      </c>
      <c r="G61" s="18"/>
    </row>
    <row r="62" spans="1:7">
      <c r="A62" s="16" t="s">
        <v>30</v>
      </c>
      <c r="B62" s="17" t="s">
        <v>1008</v>
      </c>
      <c r="C62" s="17">
        <v>208</v>
      </c>
      <c r="D62" s="17" t="s">
        <v>1009</v>
      </c>
      <c r="E62" s="17" t="s">
        <v>845</v>
      </c>
      <c r="F62" s="17" t="s">
        <v>846</v>
      </c>
      <c r="G62" s="18"/>
    </row>
    <row r="63" spans="1:7">
      <c r="A63" s="16" t="s">
        <v>1010</v>
      </c>
      <c r="B63" s="17" t="s">
        <v>1011</v>
      </c>
      <c r="C63" s="17">
        <v>262</v>
      </c>
      <c r="D63" s="17" t="s">
        <v>1012</v>
      </c>
      <c r="E63" s="17" t="s">
        <v>852</v>
      </c>
      <c r="F63" s="17" t="s">
        <v>864</v>
      </c>
      <c r="G63" s="17" t="s">
        <v>941</v>
      </c>
    </row>
    <row r="64" spans="1:7">
      <c r="A64" s="16" t="s">
        <v>1013</v>
      </c>
      <c r="B64" s="17" t="s">
        <v>1014</v>
      </c>
      <c r="C64" s="17">
        <v>212</v>
      </c>
      <c r="D64" s="17" t="s">
        <v>1015</v>
      </c>
      <c r="E64" s="17" t="s">
        <v>869</v>
      </c>
      <c r="F64" s="17" t="s">
        <v>870</v>
      </c>
      <c r="G64" s="17" t="s">
        <v>871</v>
      </c>
    </row>
    <row r="65" spans="1:7">
      <c r="A65" s="16" t="s">
        <v>149</v>
      </c>
      <c r="B65" s="17" t="s">
        <v>1016</v>
      </c>
      <c r="C65" s="17">
        <v>214</v>
      </c>
      <c r="D65" s="17" t="s">
        <v>1017</v>
      </c>
      <c r="E65" s="17" t="s">
        <v>869</v>
      </c>
      <c r="F65" s="17" t="s">
        <v>870</v>
      </c>
      <c r="G65" s="17" t="s">
        <v>871</v>
      </c>
    </row>
    <row r="66" spans="1:7">
      <c r="A66" s="16" t="s">
        <v>102</v>
      </c>
      <c r="B66" s="17" t="s">
        <v>1018</v>
      </c>
      <c r="C66" s="17">
        <v>218</v>
      </c>
      <c r="D66" s="17" t="s">
        <v>1019</v>
      </c>
      <c r="E66" s="17" t="s">
        <v>869</v>
      </c>
      <c r="F66" s="17" t="s">
        <v>870</v>
      </c>
      <c r="G66" s="17" t="s">
        <v>880</v>
      </c>
    </row>
    <row r="67" spans="1:7">
      <c r="A67" s="16" t="s">
        <v>191</v>
      </c>
      <c r="B67" s="17" t="s">
        <v>1020</v>
      </c>
      <c r="C67" s="17">
        <v>818</v>
      </c>
      <c r="D67" s="17" t="s">
        <v>1021</v>
      </c>
      <c r="E67" s="17" t="s">
        <v>852</v>
      </c>
      <c r="F67" s="17" t="s">
        <v>853</v>
      </c>
      <c r="G67" s="18"/>
    </row>
    <row r="68" spans="1:7">
      <c r="A68" s="16" t="s">
        <v>96</v>
      </c>
      <c r="B68" s="17" t="s">
        <v>1022</v>
      </c>
      <c r="C68" s="17">
        <v>222</v>
      </c>
      <c r="D68" s="17" t="s">
        <v>1023</v>
      </c>
      <c r="E68" s="17" t="s">
        <v>869</v>
      </c>
      <c r="F68" s="17" t="s">
        <v>870</v>
      </c>
      <c r="G68" s="17" t="s">
        <v>912</v>
      </c>
    </row>
    <row r="69" spans="1:7">
      <c r="A69" s="16" t="s">
        <v>1024</v>
      </c>
      <c r="B69" s="17" t="s">
        <v>1025</v>
      </c>
      <c r="C69" s="17">
        <v>226</v>
      </c>
      <c r="D69" s="17" t="s">
        <v>1026</v>
      </c>
      <c r="E69" s="17" t="s">
        <v>852</v>
      </c>
      <c r="F69" s="17" t="s">
        <v>864</v>
      </c>
      <c r="G69" s="17" t="s">
        <v>865</v>
      </c>
    </row>
    <row r="70" spans="1:7">
      <c r="A70" s="16" t="s">
        <v>1027</v>
      </c>
      <c r="B70" s="17" t="s">
        <v>1028</v>
      </c>
      <c r="C70" s="17">
        <v>232</v>
      </c>
      <c r="D70" s="17" t="s">
        <v>1029</v>
      </c>
      <c r="E70" s="17" t="s">
        <v>852</v>
      </c>
      <c r="F70" s="17" t="s">
        <v>864</v>
      </c>
      <c r="G70" s="17" t="s">
        <v>941</v>
      </c>
    </row>
    <row r="71" spans="1:7">
      <c r="A71" s="16" t="s">
        <v>129</v>
      </c>
      <c r="B71" s="17" t="s">
        <v>1030</v>
      </c>
      <c r="C71" s="17">
        <v>233</v>
      </c>
      <c r="D71" s="17" t="s">
        <v>1031</v>
      </c>
      <c r="E71" s="17" t="s">
        <v>845</v>
      </c>
      <c r="F71" s="17" t="s">
        <v>846</v>
      </c>
      <c r="G71" s="18"/>
    </row>
    <row r="72" spans="1:7">
      <c r="A72" s="16" t="s">
        <v>453</v>
      </c>
      <c r="B72" s="17" t="s">
        <v>1032</v>
      </c>
      <c r="C72" s="17">
        <v>748</v>
      </c>
      <c r="D72" s="17" t="s">
        <v>1033</v>
      </c>
      <c r="E72" s="17" t="s">
        <v>852</v>
      </c>
      <c r="F72" s="17" t="s">
        <v>864</v>
      </c>
      <c r="G72" s="17" t="s">
        <v>932</v>
      </c>
    </row>
    <row r="73" spans="1:7">
      <c r="A73" s="16" t="s">
        <v>183</v>
      </c>
      <c r="B73" s="17" t="s">
        <v>1034</v>
      </c>
      <c r="C73" s="17">
        <v>231</v>
      </c>
      <c r="D73" s="17" t="s">
        <v>1035</v>
      </c>
      <c r="E73" s="17" t="s">
        <v>852</v>
      </c>
      <c r="F73" s="17" t="s">
        <v>864</v>
      </c>
      <c r="G73" s="17" t="s">
        <v>941</v>
      </c>
    </row>
    <row r="74" spans="1:7">
      <c r="A74" s="16" t="s">
        <v>1036</v>
      </c>
      <c r="B74" s="17" t="s">
        <v>1037</v>
      </c>
      <c r="C74" s="17">
        <v>238</v>
      </c>
      <c r="D74" s="17" t="s">
        <v>1038</v>
      </c>
      <c r="E74" s="17" t="s">
        <v>869</v>
      </c>
      <c r="F74" s="17" t="s">
        <v>870</v>
      </c>
      <c r="G74" s="17" t="s">
        <v>880</v>
      </c>
    </row>
    <row r="75" spans="1:7">
      <c r="A75" s="16" t="s">
        <v>1039</v>
      </c>
      <c r="B75" s="17" t="s">
        <v>1040</v>
      </c>
      <c r="C75" s="17">
        <v>234</v>
      </c>
      <c r="D75" s="17" t="s">
        <v>1041</v>
      </c>
      <c r="E75" s="17" t="s">
        <v>845</v>
      </c>
      <c r="F75" s="17" t="s">
        <v>846</v>
      </c>
      <c r="G75" s="18"/>
    </row>
    <row r="76" spans="1:7">
      <c r="A76" s="16" t="s">
        <v>1042</v>
      </c>
      <c r="B76" s="17" t="s">
        <v>1043</v>
      </c>
      <c r="C76" s="17">
        <v>242</v>
      </c>
      <c r="D76" s="17" t="s">
        <v>1044</v>
      </c>
      <c r="E76" s="17" t="s">
        <v>857</v>
      </c>
      <c r="F76" s="17" t="s">
        <v>1045</v>
      </c>
      <c r="G76" s="18"/>
    </row>
    <row r="77" spans="1:7">
      <c r="A77" s="16" t="s">
        <v>37</v>
      </c>
      <c r="B77" s="17" t="s">
        <v>1046</v>
      </c>
      <c r="C77" s="17">
        <v>246</v>
      </c>
      <c r="D77" s="17" t="s">
        <v>1047</v>
      </c>
      <c r="E77" s="17" t="s">
        <v>845</v>
      </c>
      <c r="F77" s="17" t="s">
        <v>846</v>
      </c>
      <c r="G77" s="18"/>
    </row>
    <row r="78" spans="1:7">
      <c r="A78" s="16" t="s">
        <v>76</v>
      </c>
      <c r="B78" s="17" t="s">
        <v>1048</v>
      </c>
      <c r="C78" s="17">
        <v>250</v>
      </c>
      <c r="D78" s="17" t="s">
        <v>1049</v>
      </c>
      <c r="E78" s="17" t="s">
        <v>845</v>
      </c>
      <c r="F78" s="17" t="s">
        <v>892</v>
      </c>
      <c r="G78" s="18"/>
    </row>
    <row r="79" spans="1:7">
      <c r="A79" s="16" t="s">
        <v>1050</v>
      </c>
      <c r="B79" s="17" t="s">
        <v>1051</v>
      </c>
      <c r="C79" s="17">
        <v>254</v>
      </c>
      <c r="D79" s="17" t="s">
        <v>1052</v>
      </c>
      <c r="E79" s="17" t="s">
        <v>869</v>
      </c>
      <c r="F79" s="17" t="s">
        <v>870</v>
      </c>
      <c r="G79" s="17" t="s">
        <v>880</v>
      </c>
    </row>
    <row r="80" spans="1:7">
      <c r="A80" s="16" t="s">
        <v>1053</v>
      </c>
      <c r="B80" s="17" t="s">
        <v>1054</v>
      </c>
      <c r="C80" s="17">
        <v>258</v>
      </c>
      <c r="D80" s="17" t="s">
        <v>1055</v>
      </c>
      <c r="E80" s="17" t="s">
        <v>857</v>
      </c>
      <c r="F80" s="17" t="s">
        <v>858</v>
      </c>
      <c r="G80" s="18"/>
    </row>
    <row r="81" spans="1:7">
      <c r="A81" s="16" t="s">
        <v>1056</v>
      </c>
      <c r="B81" s="17" t="s">
        <v>1057</v>
      </c>
      <c r="C81" s="17">
        <v>260</v>
      </c>
      <c r="D81" s="17" t="s">
        <v>1058</v>
      </c>
      <c r="E81" s="17" t="s">
        <v>852</v>
      </c>
      <c r="F81" s="17" t="s">
        <v>864</v>
      </c>
      <c r="G81" s="17" t="s">
        <v>941</v>
      </c>
    </row>
    <row r="82" spans="1:7">
      <c r="A82" s="16" t="s">
        <v>306</v>
      </c>
      <c r="B82" s="17" t="s">
        <v>1059</v>
      </c>
      <c r="C82" s="17">
        <v>266</v>
      </c>
      <c r="D82" s="17" t="s">
        <v>1060</v>
      </c>
      <c r="E82" s="17" t="s">
        <v>852</v>
      </c>
      <c r="F82" s="17" t="s">
        <v>864</v>
      </c>
      <c r="G82" s="17" t="s">
        <v>865</v>
      </c>
    </row>
    <row r="83" spans="1:7">
      <c r="A83" s="16" t="s">
        <v>403</v>
      </c>
      <c r="B83" s="17" t="s">
        <v>1061</v>
      </c>
      <c r="C83" s="17">
        <v>270</v>
      </c>
      <c r="D83" s="17" t="s">
        <v>1062</v>
      </c>
      <c r="E83" s="17" t="s">
        <v>852</v>
      </c>
      <c r="F83" s="17" t="s">
        <v>864</v>
      </c>
      <c r="G83" s="17" t="s">
        <v>915</v>
      </c>
    </row>
    <row r="84" spans="1:7">
      <c r="A84" s="16" t="s">
        <v>201</v>
      </c>
      <c r="B84" s="17" t="s">
        <v>1063</v>
      </c>
      <c r="C84" s="17">
        <v>268</v>
      </c>
      <c r="D84" s="17" t="s">
        <v>1064</v>
      </c>
      <c r="E84" s="17" t="s">
        <v>839</v>
      </c>
      <c r="F84" s="17" t="s">
        <v>883</v>
      </c>
      <c r="G84" s="18"/>
    </row>
    <row r="85" spans="1:7">
      <c r="A85" s="16" t="s">
        <v>539</v>
      </c>
      <c r="B85" s="17" t="s">
        <v>1065</v>
      </c>
      <c r="C85" s="17">
        <v>276</v>
      </c>
      <c r="D85" s="17" t="s">
        <v>1066</v>
      </c>
      <c r="E85" s="17" t="s">
        <v>845</v>
      </c>
      <c r="F85" s="17" t="s">
        <v>892</v>
      </c>
      <c r="G85" s="18"/>
    </row>
    <row r="86" spans="1:7">
      <c r="A86" s="16" t="s">
        <v>197</v>
      </c>
      <c r="B86" s="17" t="s">
        <v>1067</v>
      </c>
      <c r="C86" s="17">
        <v>288</v>
      </c>
      <c r="D86" s="17" t="s">
        <v>1068</v>
      </c>
      <c r="E86" s="17" t="s">
        <v>852</v>
      </c>
      <c r="F86" s="17" t="s">
        <v>864</v>
      </c>
      <c r="G86" s="17" t="s">
        <v>915</v>
      </c>
    </row>
    <row r="87" spans="1:7">
      <c r="A87" s="16" t="s">
        <v>1069</v>
      </c>
      <c r="B87" s="17" t="s">
        <v>1070</v>
      </c>
      <c r="C87" s="17">
        <v>292</v>
      </c>
      <c r="D87" s="17" t="s">
        <v>1071</v>
      </c>
      <c r="E87" s="17" t="s">
        <v>845</v>
      </c>
      <c r="F87" s="17" t="s">
        <v>849</v>
      </c>
      <c r="G87" s="18"/>
    </row>
    <row r="88" spans="1:7">
      <c r="A88" s="16" t="s">
        <v>160</v>
      </c>
      <c r="B88" s="17" t="s">
        <v>1072</v>
      </c>
      <c r="C88" s="17">
        <v>300</v>
      </c>
      <c r="D88" s="17" t="s">
        <v>1073</v>
      </c>
      <c r="E88" s="17" t="s">
        <v>845</v>
      </c>
      <c r="F88" s="17" t="s">
        <v>849</v>
      </c>
      <c r="G88" s="18"/>
    </row>
    <row r="89" spans="1:7">
      <c r="A89" s="16" t="s">
        <v>1074</v>
      </c>
      <c r="B89" s="17" t="s">
        <v>1075</v>
      </c>
      <c r="C89" s="17">
        <v>304</v>
      </c>
      <c r="D89" s="17" t="s">
        <v>1076</v>
      </c>
      <c r="E89" s="17" t="s">
        <v>869</v>
      </c>
      <c r="F89" s="17" t="s">
        <v>919</v>
      </c>
      <c r="G89" s="18"/>
    </row>
    <row r="90" spans="1:7">
      <c r="A90" s="16" t="s">
        <v>1077</v>
      </c>
      <c r="B90" s="17" t="s">
        <v>1078</v>
      </c>
      <c r="C90" s="17">
        <v>308</v>
      </c>
      <c r="D90" s="17" t="s">
        <v>1079</v>
      </c>
      <c r="E90" s="17" t="s">
        <v>869</v>
      </c>
      <c r="F90" s="17" t="s">
        <v>870</v>
      </c>
      <c r="G90" s="17" t="s">
        <v>871</v>
      </c>
    </row>
    <row r="91" spans="1:7">
      <c r="A91" s="16" t="s">
        <v>1080</v>
      </c>
      <c r="B91" s="17" t="s">
        <v>1081</v>
      </c>
      <c r="C91" s="17">
        <v>312</v>
      </c>
      <c r="D91" s="17" t="s">
        <v>1082</v>
      </c>
      <c r="E91" s="17" t="s">
        <v>869</v>
      </c>
      <c r="F91" s="17" t="s">
        <v>870</v>
      </c>
      <c r="G91" s="17" t="s">
        <v>871</v>
      </c>
    </row>
    <row r="92" spans="1:7">
      <c r="A92" s="16" t="s">
        <v>1083</v>
      </c>
      <c r="B92" s="17" t="s">
        <v>1084</v>
      </c>
      <c r="C92" s="17">
        <v>316</v>
      </c>
      <c r="D92" s="17" t="s">
        <v>1085</v>
      </c>
      <c r="E92" s="17" t="s">
        <v>857</v>
      </c>
      <c r="F92" s="17" t="s">
        <v>1086</v>
      </c>
      <c r="G92" s="18"/>
    </row>
    <row r="93" spans="1:7">
      <c r="A93" s="16" t="s">
        <v>86</v>
      </c>
      <c r="B93" s="17" t="s">
        <v>1087</v>
      </c>
      <c r="C93" s="17">
        <v>320</v>
      </c>
      <c r="D93" s="17" t="s">
        <v>1088</v>
      </c>
      <c r="E93" s="17" t="s">
        <v>869</v>
      </c>
      <c r="F93" s="17" t="s">
        <v>870</v>
      </c>
      <c r="G93" s="17" t="s">
        <v>912</v>
      </c>
    </row>
    <row r="94" spans="1:7">
      <c r="A94" s="16" t="s">
        <v>1089</v>
      </c>
      <c r="B94" s="17" t="s">
        <v>1090</v>
      </c>
      <c r="C94" s="17">
        <v>831</v>
      </c>
      <c r="D94" s="17" t="s">
        <v>1091</v>
      </c>
      <c r="E94" s="17" t="s">
        <v>845</v>
      </c>
      <c r="F94" s="17" t="s">
        <v>846</v>
      </c>
      <c r="G94" s="18"/>
    </row>
    <row r="95" spans="1:7">
      <c r="A95" s="16" t="s">
        <v>240</v>
      </c>
      <c r="B95" s="17" t="s">
        <v>1092</v>
      </c>
      <c r="C95" s="17">
        <v>324</v>
      </c>
      <c r="D95" s="17" t="s">
        <v>1093</v>
      </c>
      <c r="E95" s="17" t="s">
        <v>852</v>
      </c>
      <c r="F95" s="17" t="s">
        <v>864</v>
      </c>
      <c r="G95" s="17" t="s">
        <v>915</v>
      </c>
    </row>
    <row r="96" spans="1:7">
      <c r="A96" s="16" t="s">
        <v>1094</v>
      </c>
      <c r="B96" s="17" t="s">
        <v>1095</v>
      </c>
      <c r="C96" s="17">
        <v>624</v>
      </c>
      <c r="D96" s="17" t="s">
        <v>1096</v>
      </c>
      <c r="E96" s="17" t="s">
        <v>852</v>
      </c>
      <c r="F96" s="17" t="s">
        <v>864</v>
      </c>
      <c r="G96" s="17" t="s">
        <v>915</v>
      </c>
    </row>
    <row r="97" spans="1:7">
      <c r="A97" s="16" t="s">
        <v>1097</v>
      </c>
      <c r="B97" s="17" t="s">
        <v>1098</v>
      </c>
      <c r="C97" s="17">
        <v>328</v>
      </c>
      <c r="D97" s="17" t="s">
        <v>1099</v>
      </c>
      <c r="E97" s="17" t="s">
        <v>869</v>
      </c>
      <c r="F97" s="17" t="s">
        <v>870</v>
      </c>
      <c r="G97" s="17" t="s">
        <v>880</v>
      </c>
    </row>
    <row r="98" spans="1:7">
      <c r="A98" s="16" t="s">
        <v>216</v>
      </c>
      <c r="B98" s="17" t="s">
        <v>1100</v>
      </c>
      <c r="C98" s="17">
        <v>332</v>
      </c>
      <c r="D98" s="17" t="s">
        <v>1101</v>
      </c>
      <c r="E98" s="17" t="s">
        <v>869</v>
      </c>
      <c r="F98" s="17" t="s">
        <v>870</v>
      </c>
      <c r="G98" s="17" t="s">
        <v>871</v>
      </c>
    </row>
    <row r="99" spans="1:7">
      <c r="A99" s="16" t="s">
        <v>1102</v>
      </c>
      <c r="B99" s="17" t="s">
        <v>1103</v>
      </c>
      <c r="C99" s="17">
        <v>334</v>
      </c>
      <c r="D99" s="17" t="s">
        <v>1104</v>
      </c>
      <c r="E99" s="17" t="s">
        <v>857</v>
      </c>
      <c r="F99" s="17" t="s">
        <v>889</v>
      </c>
      <c r="G99" s="18"/>
    </row>
    <row r="100" spans="1:7">
      <c r="A100" s="16" t="s">
        <v>1105</v>
      </c>
      <c r="B100" s="17" t="s">
        <v>1106</v>
      </c>
      <c r="C100" s="17">
        <v>336</v>
      </c>
      <c r="D100" s="17" t="s">
        <v>1107</v>
      </c>
      <c r="E100" s="17" t="s">
        <v>845</v>
      </c>
      <c r="F100" s="17" t="s">
        <v>849</v>
      </c>
      <c r="G100" s="18"/>
    </row>
    <row r="101" spans="1:7">
      <c r="A101" s="16" t="s">
        <v>167</v>
      </c>
      <c r="B101" s="17" t="s">
        <v>1108</v>
      </c>
      <c r="C101" s="17">
        <v>340</v>
      </c>
      <c r="D101" s="17" t="s">
        <v>1109</v>
      </c>
      <c r="E101" s="17" t="s">
        <v>869</v>
      </c>
      <c r="F101" s="17" t="s">
        <v>870</v>
      </c>
      <c r="G101" s="17" t="s">
        <v>912</v>
      </c>
    </row>
    <row r="102" spans="1:7">
      <c r="A102" s="16" t="s">
        <v>1110</v>
      </c>
      <c r="B102" s="17" t="s">
        <v>1111</v>
      </c>
      <c r="C102" s="17">
        <v>344</v>
      </c>
      <c r="D102" s="17" t="s">
        <v>1112</v>
      </c>
      <c r="E102" s="17" t="s">
        <v>839</v>
      </c>
      <c r="F102" s="17" t="s">
        <v>972</v>
      </c>
      <c r="G102" s="18"/>
    </row>
    <row r="103" spans="1:7">
      <c r="A103" s="16" t="s">
        <v>151</v>
      </c>
      <c r="B103" s="17" t="s">
        <v>1113</v>
      </c>
      <c r="C103" s="17">
        <v>348</v>
      </c>
      <c r="D103" s="17" t="s">
        <v>1114</v>
      </c>
      <c r="E103" s="17" t="s">
        <v>845</v>
      </c>
      <c r="F103" s="17" t="s">
        <v>907</v>
      </c>
      <c r="G103" s="18"/>
    </row>
    <row r="104" spans="1:7">
      <c r="A104" s="16" t="s">
        <v>34</v>
      </c>
      <c r="B104" s="17" t="s">
        <v>1115</v>
      </c>
      <c r="C104" s="17">
        <v>352</v>
      </c>
      <c r="D104" s="17" t="s">
        <v>1116</v>
      </c>
      <c r="E104" s="17" t="s">
        <v>845</v>
      </c>
      <c r="F104" s="17" t="s">
        <v>846</v>
      </c>
      <c r="G104" s="18"/>
    </row>
    <row r="105" spans="1:7">
      <c r="A105" s="16" t="s">
        <v>188</v>
      </c>
      <c r="B105" s="17" t="s">
        <v>1117</v>
      </c>
      <c r="C105" s="17">
        <v>356</v>
      </c>
      <c r="D105" s="17" t="s">
        <v>1118</v>
      </c>
      <c r="E105" s="17" t="s">
        <v>839</v>
      </c>
      <c r="F105" s="17" t="s">
        <v>840</v>
      </c>
      <c r="G105" s="18"/>
    </row>
    <row r="106" spans="1:7">
      <c r="A106" s="16" t="s">
        <v>137</v>
      </c>
      <c r="B106" s="17" t="s">
        <v>1119</v>
      </c>
      <c r="C106" s="17">
        <v>360</v>
      </c>
      <c r="D106" s="17" t="s">
        <v>1120</v>
      </c>
      <c r="E106" s="17" t="s">
        <v>839</v>
      </c>
      <c r="F106" s="17" t="s">
        <v>945</v>
      </c>
      <c r="G106" s="18"/>
    </row>
    <row r="107" spans="1:7">
      <c r="A107" s="16" t="s">
        <v>1121</v>
      </c>
      <c r="B107" s="17" t="s">
        <v>1122</v>
      </c>
      <c r="C107" s="17">
        <v>364</v>
      </c>
      <c r="D107" s="17" t="s">
        <v>1123</v>
      </c>
      <c r="E107" s="17" t="s">
        <v>839</v>
      </c>
      <c r="F107" s="17" t="s">
        <v>840</v>
      </c>
      <c r="G107" s="18"/>
    </row>
    <row r="108" spans="1:7">
      <c r="A108" s="16" t="s">
        <v>179</v>
      </c>
      <c r="B108" s="17" t="s">
        <v>1124</v>
      </c>
      <c r="C108" s="17">
        <v>368</v>
      </c>
      <c r="D108" s="17" t="s">
        <v>1125</v>
      </c>
      <c r="E108" s="17" t="s">
        <v>839</v>
      </c>
      <c r="F108" s="17" t="s">
        <v>883</v>
      </c>
      <c r="G108" s="18"/>
    </row>
    <row r="109" spans="1:7">
      <c r="A109" s="16" t="s">
        <v>57</v>
      </c>
      <c r="B109" s="17" t="s">
        <v>1126</v>
      </c>
      <c r="C109" s="17">
        <v>372</v>
      </c>
      <c r="D109" s="17" t="s">
        <v>1127</v>
      </c>
      <c r="E109" s="17" t="s">
        <v>845</v>
      </c>
      <c r="F109" s="17" t="s">
        <v>846</v>
      </c>
      <c r="G109" s="18"/>
    </row>
    <row r="110" spans="1:7">
      <c r="A110" s="16" t="s">
        <v>1128</v>
      </c>
      <c r="B110" s="17" t="s">
        <v>1129</v>
      </c>
      <c r="C110" s="17">
        <v>833</v>
      </c>
      <c r="D110" s="17" t="s">
        <v>1130</v>
      </c>
      <c r="E110" s="17" t="s">
        <v>845</v>
      </c>
      <c r="F110" s="17" t="s">
        <v>846</v>
      </c>
      <c r="G110" s="18"/>
    </row>
    <row r="111" spans="1:7">
      <c r="A111" s="16" t="s">
        <v>47</v>
      </c>
      <c r="B111" s="17" t="s">
        <v>1131</v>
      </c>
      <c r="C111" s="17">
        <v>376</v>
      </c>
      <c r="D111" s="17" t="s">
        <v>1132</v>
      </c>
      <c r="E111" s="17" t="s">
        <v>839</v>
      </c>
      <c r="F111" s="17" t="s">
        <v>883</v>
      </c>
      <c r="G111" s="18"/>
    </row>
    <row r="112" spans="1:7">
      <c r="A112" s="16" t="s">
        <v>100</v>
      </c>
      <c r="B112" s="17" t="s">
        <v>1133</v>
      </c>
      <c r="C112" s="17">
        <v>380</v>
      </c>
      <c r="D112" s="17" t="s">
        <v>1134</v>
      </c>
      <c r="E112" s="17" t="s">
        <v>845</v>
      </c>
      <c r="F112" s="17" t="s">
        <v>849</v>
      </c>
      <c r="G112" s="18"/>
    </row>
    <row r="113" spans="1:7">
      <c r="A113" s="16" t="s">
        <v>130</v>
      </c>
      <c r="B113" s="17" t="s">
        <v>1135</v>
      </c>
      <c r="C113" s="17">
        <v>388</v>
      </c>
      <c r="D113" s="17" t="s">
        <v>1136</v>
      </c>
      <c r="E113" s="17" t="s">
        <v>869</v>
      </c>
      <c r="F113" s="17" t="s">
        <v>870</v>
      </c>
      <c r="G113" s="17" t="s">
        <v>871</v>
      </c>
    </row>
    <row r="114" spans="1:7">
      <c r="A114" s="16" t="s">
        <v>104</v>
      </c>
      <c r="B114" s="17" t="s">
        <v>1137</v>
      </c>
      <c r="C114" s="17">
        <v>392</v>
      </c>
      <c r="D114" s="17" t="s">
        <v>1138</v>
      </c>
      <c r="E114" s="17" t="s">
        <v>839</v>
      </c>
      <c r="F114" s="17" t="s">
        <v>972</v>
      </c>
      <c r="G114" s="18"/>
    </row>
    <row r="115" spans="1:7">
      <c r="A115" s="16" t="s">
        <v>1139</v>
      </c>
      <c r="B115" s="17" t="s">
        <v>1140</v>
      </c>
      <c r="C115" s="17">
        <v>832</v>
      </c>
      <c r="D115" s="17" t="s">
        <v>1141</v>
      </c>
      <c r="E115" s="17" t="s">
        <v>845</v>
      </c>
      <c r="F115" s="17" t="s">
        <v>846</v>
      </c>
      <c r="G115" s="18"/>
    </row>
    <row r="116" spans="1:7">
      <c r="A116" s="16" t="s">
        <v>138</v>
      </c>
      <c r="B116" s="17" t="s">
        <v>1142</v>
      </c>
      <c r="C116" s="17">
        <v>400</v>
      </c>
      <c r="D116" s="17" t="s">
        <v>1143</v>
      </c>
      <c r="E116" s="17" t="s">
        <v>839</v>
      </c>
      <c r="F116" s="17" t="s">
        <v>883</v>
      </c>
      <c r="G116" s="18"/>
    </row>
    <row r="117" spans="1:7">
      <c r="A117" s="16" t="s">
        <v>106</v>
      </c>
      <c r="B117" s="17" t="s">
        <v>1144</v>
      </c>
      <c r="C117" s="17">
        <v>398</v>
      </c>
      <c r="D117" s="17" t="s">
        <v>1145</v>
      </c>
      <c r="E117" s="17" t="s">
        <v>839</v>
      </c>
      <c r="F117" s="17" t="s">
        <v>1146</v>
      </c>
      <c r="G117" s="18"/>
    </row>
    <row r="118" spans="1:7">
      <c r="A118" s="16" t="s">
        <v>193</v>
      </c>
      <c r="B118" s="17" t="s">
        <v>1147</v>
      </c>
      <c r="C118" s="17">
        <v>404</v>
      </c>
      <c r="D118" s="17" t="s">
        <v>1148</v>
      </c>
      <c r="E118" s="17" t="s">
        <v>852</v>
      </c>
      <c r="F118" s="17" t="s">
        <v>864</v>
      </c>
      <c r="G118" s="17" t="s">
        <v>941</v>
      </c>
    </row>
    <row r="119" spans="1:7">
      <c r="A119" s="16" t="s">
        <v>1149</v>
      </c>
      <c r="B119" s="17" t="s">
        <v>1150</v>
      </c>
      <c r="C119" s="17">
        <v>296</v>
      </c>
      <c r="D119" s="17" t="s">
        <v>1151</v>
      </c>
      <c r="E119" s="17" t="s">
        <v>857</v>
      </c>
      <c r="F119" s="17" t="s">
        <v>1086</v>
      </c>
      <c r="G119" s="18"/>
    </row>
    <row r="120" spans="1:7">
      <c r="A120" s="16" t="s">
        <v>1152</v>
      </c>
      <c r="B120" s="17" t="s">
        <v>1153</v>
      </c>
      <c r="C120" s="17">
        <v>408</v>
      </c>
      <c r="D120" s="17" t="s">
        <v>1154</v>
      </c>
      <c r="E120" s="17" t="s">
        <v>839</v>
      </c>
      <c r="F120" s="17" t="s">
        <v>972</v>
      </c>
      <c r="G120" s="18"/>
    </row>
    <row r="121" spans="1:7">
      <c r="A121" s="16" t="s">
        <v>1155</v>
      </c>
      <c r="B121" s="17" t="s">
        <v>1156</v>
      </c>
      <c r="C121" s="17">
        <v>410</v>
      </c>
      <c r="D121" s="17" t="s">
        <v>1157</v>
      </c>
      <c r="E121" s="17" t="s">
        <v>839</v>
      </c>
      <c r="F121" s="17" t="s">
        <v>972</v>
      </c>
      <c r="G121" s="18"/>
    </row>
    <row r="122" spans="1:7">
      <c r="A122" s="16" t="s">
        <v>88</v>
      </c>
      <c r="B122" s="17" t="s">
        <v>1158</v>
      </c>
      <c r="C122" s="17">
        <v>414</v>
      </c>
      <c r="D122" s="17" t="s">
        <v>1159</v>
      </c>
      <c r="E122" s="17" t="s">
        <v>839</v>
      </c>
      <c r="F122" s="17" t="s">
        <v>883</v>
      </c>
      <c r="G122" s="18"/>
    </row>
    <row r="123" spans="1:7">
      <c r="A123" s="16" t="s">
        <v>144</v>
      </c>
      <c r="B123" s="17" t="s">
        <v>1160</v>
      </c>
      <c r="C123" s="17">
        <v>417</v>
      </c>
      <c r="D123" s="17" t="s">
        <v>1161</v>
      </c>
      <c r="E123" s="17" t="s">
        <v>839</v>
      </c>
      <c r="F123" s="17" t="s">
        <v>1146</v>
      </c>
      <c r="G123" s="18"/>
    </row>
    <row r="124" spans="1:7">
      <c r="A124" s="16" t="s">
        <v>1162</v>
      </c>
      <c r="B124" s="17" t="s">
        <v>1163</v>
      </c>
      <c r="C124" s="17">
        <v>418</v>
      </c>
      <c r="D124" s="17" t="s">
        <v>1164</v>
      </c>
      <c r="E124" s="17" t="s">
        <v>839</v>
      </c>
      <c r="F124" s="17" t="s">
        <v>945</v>
      </c>
      <c r="G124" s="18"/>
    </row>
    <row r="125" spans="1:7">
      <c r="A125" s="16" t="s">
        <v>123</v>
      </c>
      <c r="B125" s="17" t="s">
        <v>1165</v>
      </c>
      <c r="C125" s="17">
        <v>428</v>
      </c>
      <c r="D125" s="17" t="s">
        <v>1166</v>
      </c>
      <c r="E125" s="17" t="s">
        <v>845</v>
      </c>
      <c r="F125" s="17" t="s">
        <v>846</v>
      </c>
      <c r="G125" s="18"/>
    </row>
    <row r="126" spans="1:7">
      <c r="A126" s="16" t="s">
        <v>154</v>
      </c>
      <c r="B126" s="17" t="s">
        <v>1167</v>
      </c>
      <c r="C126" s="17">
        <v>422</v>
      </c>
      <c r="D126" s="17" t="s">
        <v>1168</v>
      </c>
      <c r="E126" s="17" t="s">
        <v>839</v>
      </c>
      <c r="F126" s="17" t="s">
        <v>883</v>
      </c>
      <c r="G126" s="18"/>
    </row>
    <row r="127" spans="1:7">
      <c r="A127" s="16" t="s">
        <v>321</v>
      </c>
      <c r="B127" s="17" t="s">
        <v>1169</v>
      </c>
      <c r="C127" s="17">
        <v>426</v>
      </c>
      <c r="D127" s="17" t="s">
        <v>1170</v>
      </c>
      <c r="E127" s="17" t="s">
        <v>852</v>
      </c>
      <c r="F127" s="17" t="s">
        <v>864</v>
      </c>
      <c r="G127" s="17" t="s">
        <v>932</v>
      </c>
    </row>
    <row r="128" spans="1:7">
      <c r="A128" s="16" t="s">
        <v>238</v>
      </c>
      <c r="B128" s="17" t="s">
        <v>1171</v>
      </c>
      <c r="C128" s="17">
        <v>430</v>
      </c>
      <c r="D128" s="17" t="s">
        <v>1172</v>
      </c>
      <c r="E128" s="17" t="s">
        <v>852</v>
      </c>
      <c r="F128" s="17" t="s">
        <v>864</v>
      </c>
      <c r="G128" s="17" t="s">
        <v>915</v>
      </c>
    </row>
    <row r="129" spans="1:7">
      <c r="A129" s="16" t="s">
        <v>122</v>
      </c>
      <c r="B129" s="17" t="s">
        <v>1173</v>
      </c>
      <c r="C129" s="17">
        <v>434</v>
      </c>
      <c r="D129" s="17" t="s">
        <v>1174</v>
      </c>
      <c r="E129" s="17" t="s">
        <v>852</v>
      </c>
      <c r="F129" s="17" t="s">
        <v>853</v>
      </c>
      <c r="G129" s="18"/>
    </row>
    <row r="130" spans="1:7">
      <c r="A130" s="16" t="s">
        <v>1175</v>
      </c>
      <c r="B130" s="17" t="s">
        <v>1176</v>
      </c>
      <c r="C130" s="17">
        <v>438</v>
      </c>
      <c r="D130" s="17" t="s">
        <v>1177</v>
      </c>
      <c r="E130" s="17" t="s">
        <v>845</v>
      </c>
      <c r="F130" s="17" t="s">
        <v>892</v>
      </c>
      <c r="G130" s="18"/>
    </row>
    <row r="131" spans="1:7">
      <c r="A131" s="16" t="s">
        <v>114</v>
      </c>
      <c r="B131" s="17" t="s">
        <v>1178</v>
      </c>
      <c r="C131" s="17">
        <v>440</v>
      </c>
      <c r="D131" s="17" t="s">
        <v>1179</v>
      </c>
      <c r="E131" s="17" t="s">
        <v>845</v>
      </c>
      <c r="F131" s="17" t="s">
        <v>846</v>
      </c>
      <c r="G131" s="18"/>
    </row>
    <row r="132" spans="1:7">
      <c r="A132" s="16" t="s">
        <v>59</v>
      </c>
      <c r="B132" s="17" t="s">
        <v>1180</v>
      </c>
      <c r="C132" s="17">
        <v>442</v>
      </c>
      <c r="D132" s="17" t="s">
        <v>1181</v>
      </c>
      <c r="E132" s="17" t="s">
        <v>845</v>
      </c>
      <c r="F132" s="17" t="s">
        <v>892</v>
      </c>
      <c r="G132" s="18"/>
    </row>
    <row r="133" spans="1:7">
      <c r="A133" s="16" t="s">
        <v>1182</v>
      </c>
      <c r="B133" s="17" t="s">
        <v>1183</v>
      </c>
      <c r="C133" s="17">
        <v>446</v>
      </c>
      <c r="D133" s="17" t="s">
        <v>1184</v>
      </c>
      <c r="E133" s="17" t="s">
        <v>839</v>
      </c>
      <c r="F133" s="17" t="s">
        <v>972</v>
      </c>
      <c r="G133" s="18"/>
    </row>
    <row r="134" spans="1:7">
      <c r="A134" s="16" t="s">
        <v>235</v>
      </c>
      <c r="B134" s="17" t="s">
        <v>1185</v>
      </c>
      <c r="C134" s="17">
        <v>450</v>
      </c>
      <c r="D134" s="17" t="s">
        <v>1186</v>
      </c>
      <c r="E134" s="17" t="s">
        <v>852</v>
      </c>
      <c r="F134" s="17" t="s">
        <v>864</v>
      </c>
      <c r="G134" s="17" t="s">
        <v>941</v>
      </c>
    </row>
    <row r="135" spans="1:7">
      <c r="A135" s="16" t="s">
        <v>210</v>
      </c>
      <c r="B135" s="17" t="s">
        <v>1187</v>
      </c>
      <c r="C135" s="17">
        <v>454</v>
      </c>
      <c r="D135" s="17" t="s">
        <v>1188</v>
      </c>
      <c r="E135" s="17" t="s">
        <v>852</v>
      </c>
      <c r="F135" s="17" t="s">
        <v>864</v>
      </c>
      <c r="G135" s="17" t="s">
        <v>941</v>
      </c>
    </row>
    <row r="136" spans="1:7">
      <c r="A136" s="16" t="s">
        <v>97</v>
      </c>
      <c r="B136" s="17" t="s">
        <v>1189</v>
      </c>
      <c r="C136" s="17">
        <v>458</v>
      </c>
      <c r="D136" s="17" t="s">
        <v>1190</v>
      </c>
      <c r="E136" s="17" t="s">
        <v>839</v>
      </c>
      <c r="F136" s="17" t="s">
        <v>945</v>
      </c>
      <c r="G136" s="18"/>
    </row>
    <row r="137" spans="1:7">
      <c r="A137" s="16" t="s">
        <v>468</v>
      </c>
      <c r="B137" s="17" t="s">
        <v>1191</v>
      </c>
      <c r="C137" s="17">
        <v>462</v>
      </c>
      <c r="D137" s="17" t="s">
        <v>1192</v>
      </c>
      <c r="E137" s="17" t="s">
        <v>839</v>
      </c>
      <c r="F137" s="17" t="s">
        <v>840</v>
      </c>
      <c r="G137" s="18"/>
    </row>
    <row r="138" spans="1:7">
      <c r="A138" s="16" t="s">
        <v>311</v>
      </c>
      <c r="B138" s="17" t="s">
        <v>1193</v>
      </c>
      <c r="C138" s="17">
        <v>466</v>
      </c>
      <c r="D138" s="17" t="s">
        <v>1194</v>
      </c>
      <c r="E138" s="17" t="s">
        <v>852</v>
      </c>
      <c r="F138" s="17" t="s">
        <v>864</v>
      </c>
      <c r="G138" s="17" t="s">
        <v>915</v>
      </c>
    </row>
    <row r="139" spans="1:7">
      <c r="A139" s="16" t="s">
        <v>74</v>
      </c>
      <c r="B139" s="17" t="s">
        <v>1195</v>
      </c>
      <c r="C139" s="17">
        <v>470</v>
      </c>
      <c r="D139" s="17" t="s">
        <v>1196</v>
      </c>
      <c r="E139" s="17" t="s">
        <v>845</v>
      </c>
      <c r="F139" s="17" t="s">
        <v>849</v>
      </c>
      <c r="G139" s="18"/>
    </row>
    <row r="140" spans="1:7">
      <c r="A140" s="16" t="s">
        <v>1197</v>
      </c>
      <c r="B140" s="17" t="s">
        <v>1198</v>
      </c>
      <c r="C140" s="17">
        <v>584</v>
      </c>
      <c r="D140" s="17" t="s">
        <v>1199</v>
      </c>
      <c r="E140" s="17" t="s">
        <v>857</v>
      </c>
      <c r="F140" s="17" t="s">
        <v>1086</v>
      </c>
      <c r="G140" s="18"/>
    </row>
    <row r="141" spans="1:7">
      <c r="A141" s="16" t="s">
        <v>1200</v>
      </c>
      <c r="B141" s="17" t="s">
        <v>1201</v>
      </c>
      <c r="C141" s="17">
        <v>474</v>
      </c>
      <c r="D141" s="17" t="s">
        <v>1202</v>
      </c>
      <c r="E141" s="17" t="s">
        <v>869</v>
      </c>
      <c r="F141" s="17" t="s">
        <v>870</v>
      </c>
      <c r="G141" s="17" t="s">
        <v>871</v>
      </c>
    </row>
    <row r="142" spans="1:7">
      <c r="A142" s="16" t="s">
        <v>206</v>
      </c>
      <c r="B142" s="17" t="s">
        <v>1203</v>
      </c>
      <c r="C142" s="17">
        <v>478</v>
      </c>
      <c r="D142" s="17" t="s">
        <v>1204</v>
      </c>
      <c r="E142" s="17" t="s">
        <v>852</v>
      </c>
      <c r="F142" s="17" t="s">
        <v>864</v>
      </c>
      <c r="G142" s="17" t="s">
        <v>915</v>
      </c>
    </row>
    <row r="143" spans="1:7">
      <c r="A143" s="16" t="s">
        <v>121</v>
      </c>
      <c r="B143" s="17" t="s">
        <v>1205</v>
      </c>
      <c r="C143" s="17">
        <v>480</v>
      </c>
      <c r="D143" s="17" t="s">
        <v>1206</v>
      </c>
      <c r="E143" s="17" t="s">
        <v>852</v>
      </c>
      <c r="F143" s="17" t="s">
        <v>864</v>
      </c>
      <c r="G143" s="17" t="s">
        <v>941</v>
      </c>
    </row>
    <row r="144" spans="1:7">
      <c r="A144" s="16" t="s">
        <v>1207</v>
      </c>
      <c r="B144" s="17" t="s">
        <v>1208</v>
      </c>
      <c r="C144" s="17">
        <v>175</v>
      </c>
      <c r="D144" s="17" t="s">
        <v>1209</v>
      </c>
      <c r="E144" s="17" t="s">
        <v>852</v>
      </c>
      <c r="F144" s="17" t="s">
        <v>864</v>
      </c>
      <c r="G144" s="17" t="s">
        <v>941</v>
      </c>
    </row>
    <row r="145" spans="1:7">
      <c r="A145" s="16" t="s">
        <v>61</v>
      </c>
      <c r="B145" s="17" t="s">
        <v>1210</v>
      </c>
      <c r="C145" s="17">
        <v>484</v>
      </c>
      <c r="D145" s="17" t="s">
        <v>1211</v>
      </c>
      <c r="E145" s="17" t="s">
        <v>869</v>
      </c>
      <c r="F145" s="17" t="s">
        <v>870</v>
      </c>
      <c r="G145" s="17" t="s">
        <v>912</v>
      </c>
    </row>
    <row r="146" spans="1:7">
      <c r="A146" s="16" t="s">
        <v>1212</v>
      </c>
      <c r="B146" s="17" t="s">
        <v>1213</v>
      </c>
      <c r="C146" s="17">
        <v>583</v>
      </c>
      <c r="D146" s="17" t="s">
        <v>1214</v>
      </c>
      <c r="E146" s="17" t="s">
        <v>857</v>
      </c>
      <c r="F146" s="17" t="s">
        <v>1086</v>
      </c>
      <c r="G146" s="18"/>
    </row>
    <row r="147" spans="1:7">
      <c r="A147" s="16" t="s">
        <v>1215</v>
      </c>
      <c r="B147" s="17" t="s">
        <v>1216</v>
      </c>
      <c r="C147" s="17">
        <v>498</v>
      </c>
      <c r="D147" s="17" t="s">
        <v>1217</v>
      </c>
      <c r="E147" s="17" t="s">
        <v>845</v>
      </c>
      <c r="F147" s="17" t="s">
        <v>907</v>
      </c>
      <c r="G147" s="18"/>
    </row>
    <row r="148" spans="1:7">
      <c r="A148" s="16" t="s">
        <v>1218</v>
      </c>
      <c r="B148" s="17" t="s">
        <v>1219</v>
      </c>
      <c r="C148" s="17">
        <v>492</v>
      </c>
      <c r="D148" s="17" t="s">
        <v>1220</v>
      </c>
      <c r="E148" s="17" t="s">
        <v>845</v>
      </c>
      <c r="F148" s="17" t="s">
        <v>892</v>
      </c>
      <c r="G148" s="18"/>
    </row>
    <row r="149" spans="1:7">
      <c r="A149" s="16" t="s">
        <v>163</v>
      </c>
      <c r="B149" s="17" t="s">
        <v>1221</v>
      </c>
      <c r="C149" s="17">
        <v>496</v>
      </c>
      <c r="D149" s="17" t="s">
        <v>1222</v>
      </c>
      <c r="E149" s="17" t="s">
        <v>839</v>
      </c>
      <c r="F149" s="17" t="s">
        <v>972</v>
      </c>
      <c r="G149" s="18"/>
    </row>
    <row r="150" spans="1:7">
      <c r="A150" s="16" t="s">
        <v>147</v>
      </c>
      <c r="B150" s="17" t="s">
        <v>1223</v>
      </c>
      <c r="C150" s="17">
        <v>499</v>
      </c>
      <c r="D150" s="17" t="s">
        <v>1224</v>
      </c>
      <c r="E150" s="17" t="s">
        <v>845</v>
      </c>
      <c r="F150" s="17" t="s">
        <v>849</v>
      </c>
      <c r="G150" s="18"/>
    </row>
    <row r="151" spans="1:7">
      <c r="A151" s="16" t="s">
        <v>1225</v>
      </c>
      <c r="B151" s="17" t="s">
        <v>1226</v>
      </c>
      <c r="C151" s="17">
        <v>500</v>
      </c>
      <c r="D151" s="17" t="s">
        <v>1227</v>
      </c>
      <c r="E151" s="17" t="s">
        <v>869</v>
      </c>
      <c r="F151" s="17" t="s">
        <v>870</v>
      </c>
      <c r="G151" s="17" t="s">
        <v>871</v>
      </c>
    </row>
    <row r="152" spans="1:7">
      <c r="A152" s="16" t="s">
        <v>150</v>
      </c>
      <c r="B152" s="17" t="s">
        <v>1228</v>
      </c>
      <c r="C152" s="17">
        <v>504</v>
      </c>
      <c r="D152" s="17" t="s">
        <v>1229</v>
      </c>
      <c r="E152" s="17" t="s">
        <v>852</v>
      </c>
      <c r="F152" s="17" t="s">
        <v>853</v>
      </c>
      <c r="G152" s="18"/>
    </row>
    <row r="153" spans="1:7">
      <c r="A153" s="16" t="s">
        <v>252</v>
      </c>
      <c r="B153" s="17" t="s">
        <v>1230</v>
      </c>
      <c r="C153" s="17">
        <v>508</v>
      </c>
      <c r="D153" s="17" t="s">
        <v>1231</v>
      </c>
      <c r="E153" s="17" t="s">
        <v>852</v>
      </c>
      <c r="F153" s="17" t="s">
        <v>864</v>
      </c>
      <c r="G153" s="17" t="s">
        <v>941</v>
      </c>
    </row>
    <row r="154" spans="1:7">
      <c r="A154" s="16" t="s">
        <v>190</v>
      </c>
      <c r="B154" s="17" t="s">
        <v>1232</v>
      </c>
      <c r="C154" s="17">
        <v>104</v>
      </c>
      <c r="D154" s="17" t="s">
        <v>1233</v>
      </c>
      <c r="E154" s="17" t="s">
        <v>839</v>
      </c>
      <c r="F154" s="17" t="s">
        <v>945</v>
      </c>
      <c r="G154" s="18"/>
    </row>
    <row r="155" spans="1:7">
      <c r="A155" s="16" t="s">
        <v>181</v>
      </c>
      <c r="B155" s="17" t="s">
        <v>1234</v>
      </c>
      <c r="C155" s="17">
        <v>516</v>
      </c>
      <c r="D155" s="17" t="s">
        <v>1235</v>
      </c>
      <c r="E155" s="17" t="s">
        <v>852</v>
      </c>
      <c r="F155" s="17" t="s">
        <v>864</v>
      </c>
      <c r="G155" s="17" t="s">
        <v>932</v>
      </c>
    </row>
    <row r="156" spans="1:7">
      <c r="A156" s="16" t="s">
        <v>1236</v>
      </c>
      <c r="B156" s="17" t="s">
        <v>1237</v>
      </c>
      <c r="C156" s="17">
        <v>520</v>
      </c>
      <c r="D156" s="17" t="s">
        <v>1238</v>
      </c>
      <c r="E156" s="17" t="s">
        <v>857</v>
      </c>
      <c r="F156" s="17" t="s">
        <v>1086</v>
      </c>
      <c r="G156" s="18"/>
    </row>
    <row r="157" spans="1:7">
      <c r="A157" s="16" t="s">
        <v>172</v>
      </c>
      <c r="B157" s="17" t="s">
        <v>1239</v>
      </c>
      <c r="C157" s="17">
        <v>524</v>
      </c>
      <c r="D157" s="17" t="s">
        <v>1240</v>
      </c>
      <c r="E157" s="17" t="s">
        <v>839</v>
      </c>
      <c r="F157" s="17" t="s">
        <v>840</v>
      </c>
      <c r="G157" s="18"/>
    </row>
    <row r="158" spans="1:7">
      <c r="A158" s="16" t="s">
        <v>1241</v>
      </c>
      <c r="B158" s="17" t="s">
        <v>1242</v>
      </c>
      <c r="C158" s="17">
        <v>528</v>
      </c>
      <c r="D158" s="17" t="s">
        <v>1243</v>
      </c>
      <c r="E158" s="17" t="s">
        <v>845</v>
      </c>
      <c r="F158" s="17" t="s">
        <v>892</v>
      </c>
      <c r="G158" s="18"/>
    </row>
    <row r="159" spans="1:7">
      <c r="A159" s="16" t="s">
        <v>1244</v>
      </c>
      <c r="B159" s="17" t="s">
        <v>1245</v>
      </c>
      <c r="C159" s="17">
        <v>540</v>
      </c>
      <c r="D159" s="17" t="s">
        <v>1246</v>
      </c>
      <c r="E159" s="17" t="s">
        <v>857</v>
      </c>
      <c r="F159" s="17" t="s">
        <v>1045</v>
      </c>
      <c r="G159" s="18"/>
    </row>
    <row r="160" spans="1:7">
      <c r="A160" s="16" t="s">
        <v>42</v>
      </c>
      <c r="B160" s="17" t="s">
        <v>1247</v>
      </c>
      <c r="C160" s="17">
        <v>554</v>
      </c>
      <c r="D160" s="17" t="s">
        <v>1248</v>
      </c>
      <c r="E160" s="17" t="s">
        <v>857</v>
      </c>
      <c r="F160" s="17" t="s">
        <v>889</v>
      </c>
      <c r="G160" s="18"/>
    </row>
    <row r="161" spans="1:7">
      <c r="A161" s="16" t="s">
        <v>98</v>
      </c>
      <c r="B161" s="17" t="s">
        <v>1249</v>
      </c>
      <c r="C161" s="17">
        <v>558</v>
      </c>
      <c r="D161" s="17" t="s">
        <v>1250</v>
      </c>
      <c r="E161" s="17" t="s">
        <v>869</v>
      </c>
      <c r="F161" s="17" t="s">
        <v>870</v>
      </c>
      <c r="G161" s="17" t="s">
        <v>912</v>
      </c>
    </row>
    <row r="162" spans="1:7">
      <c r="A162" s="16" t="s">
        <v>224</v>
      </c>
      <c r="B162" s="17" t="s">
        <v>1251</v>
      </c>
      <c r="C162" s="17">
        <v>562</v>
      </c>
      <c r="D162" s="17" t="s">
        <v>1252</v>
      </c>
      <c r="E162" s="17" t="s">
        <v>852</v>
      </c>
      <c r="F162" s="17" t="s">
        <v>864</v>
      </c>
      <c r="G162" s="17" t="s">
        <v>915</v>
      </c>
    </row>
    <row r="163" spans="1:7">
      <c r="A163" s="16" t="s">
        <v>165</v>
      </c>
      <c r="B163" s="17" t="s">
        <v>1253</v>
      </c>
      <c r="C163" s="17">
        <v>566</v>
      </c>
      <c r="D163" s="17" t="s">
        <v>1254</v>
      </c>
      <c r="E163" s="17" t="s">
        <v>852</v>
      </c>
      <c r="F163" s="17" t="s">
        <v>864</v>
      </c>
      <c r="G163" s="17" t="s">
        <v>915</v>
      </c>
    </row>
    <row r="164" spans="1:7">
      <c r="A164" s="16" t="s">
        <v>1255</v>
      </c>
      <c r="B164" s="17" t="s">
        <v>1256</v>
      </c>
      <c r="C164" s="17">
        <v>570</v>
      </c>
      <c r="D164" s="17" t="s">
        <v>1257</v>
      </c>
      <c r="E164" s="17" t="s">
        <v>857</v>
      </c>
      <c r="F164" s="17" t="s">
        <v>858</v>
      </c>
      <c r="G164" s="18"/>
    </row>
    <row r="165" spans="1:7">
      <c r="A165" s="16" t="s">
        <v>1258</v>
      </c>
      <c r="B165" s="17" t="s">
        <v>1259</v>
      </c>
      <c r="C165" s="17">
        <v>574</v>
      </c>
      <c r="D165" s="17" t="s">
        <v>1260</v>
      </c>
      <c r="E165" s="17" t="s">
        <v>857</v>
      </c>
      <c r="F165" s="17" t="s">
        <v>889</v>
      </c>
      <c r="G165" s="18"/>
    </row>
    <row r="166" spans="1:7">
      <c r="A166" s="16" t="s">
        <v>156</v>
      </c>
      <c r="B166" s="17" t="s">
        <v>1261</v>
      </c>
      <c r="C166" s="17">
        <v>807</v>
      </c>
      <c r="D166" s="17" t="s">
        <v>1262</v>
      </c>
      <c r="E166" s="17" t="s">
        <v>845</v>
      </c>
      <c r="F166" s="17" t="s">
        <v>849</v>
      </c>
      <c r="G166" s="18"/>
    </row>
    <row r="167" spans="1:7">
      <c r="A167" s="16" t="s">
        <v>1263</v>
      </c>
      <c r="B167" s="17" t="s">
        <v>1264</v>
      </c>
      <c r="C167" s="17">
        <v>580</v>
      </c>
      <c r="D167" s="17" t="s">
        <v>1265</v>
      </c>
      <c r="E167" s="17" t="s">
        <v>857</v>
      </c>
      <c r="F167" s="17" t="s">
        <v>1086</v>
      </c>
      <c r="G167" s="18"/>
    </row>
    <row r="168" spans="1:7">
      <c r="A168" s="16" t="s">
        <v>35</v>
      </c>
      <c r="B168" s="17" t="s">
        <v>1266</v>
      </c>
      <c r="C168" s="17">
        <v>578</v>
      </c>
      <c r="D168" s="17" t="s">
        <v>1267</v>
      </c>
      <c r="E168" s="17" t="s">
        <v>845</v>
      </c>
      <c r="F168" s="17" t="s">
        <v>846</v>
      </c>
      <c r="G168" s="18"/>
    </row>
    <row r="169" spans="1:7">
      <c r="A169" s="16" t="s">
        <v>749</v>
      </c>
      <c r="B169" s="17" t="s">
        <v>1268</v>
      </c>
      <c r="C169" s="17">
        <v>512</v>
      </c>
      <c r="D169" s="17" t="s">
        <v>1269</v>
      </c>
      <c r="E169" s="17" t="s">
        <v>839</v>
      </c>
      <c r="F169" s="17" t="s">
        <v>883</v>
      </c>
      <c r="G169" s="18"/>
    </row>
    <row r="170" spans="1:7">
      <c r="A170" s="16" t="s">
        <v>152</v>
      </c>
      <c r="B170" s="17" t="s">
        <v>1270</v>
      </c>
      <c r="C170" s="17">
        <v>586</v>
      </c>
      <c r="D170" s="17" t="s">
        <v>1271</v>
      </c>
      <c r="E170" s="17" t="s">
        <v>839</v>
      </c>
      <c r="F170" s="17" t="s">
        <v>840</v>
      </c>
      <c r="G170" s="18"/>
    </row>
    <row r="171" spans="1:7">
      <c r="A171" s="16" t="s">
        <v>1272</v>
      </c>
      <c r="B171" s="17" t="s">
        <v>1273</v>
      </c>
      <c r="C171" s="17">
        <v>585</v>
      </c>
      <c r="D171" s="17" t="s">
        <v>1274</v>
      </c>
      <c r="E171" s="17" t="s">
        <v>857</v>
      </c>
      <c r="F171" s="17" t="s">
        <v>1086</v>
      </c>
      <c r="G171" s="18"/>
    </row>
    <row r="172" spans="1:7">
      <c r="A172" s="16" t="s">
        <v>1275</v>
      </c>
      <c r="B172" s="17" t="s">
        <v>1276</v>
      </c>
      <c r="C172" s="17">
        <v>275</v>
      </c>
      <c r="D172" s="17" t="s">
        <v>1277</v>
      </c>
      <c r="E172" s="17" t="s">
        <v>839</v>
      </c>
      <c r="F172" s="17" t="s">
        <v>883</v>
      </c>
      <c r="G172" s="18"/>
    </row>
    <row r="173" spans="1:7">
      <c r="A173" s="16" t="s">
        <v>67</v>
      </c>
      <c r="B173" s="17" t="s">
        <v>1278</v>
      </c>
      <c r="C173" s="17">
        <v>591</v>
      </c>
      <c r="D173" s="17" t="s">
        <v>1279</v>
      </c>
      <c r="E173" s="17" t="s">
        <v>869</v>
      </c>
      <c r="F173" s="17" t="s">
        <v>870</v>
      </c>
      <c r="G173" s="17" t="s">
        <v>912</v>
      </c>
    </row>
    <row r="174" spans="1:7">
      <c r="A174" s="16" t="s">
        <v>1280</v>
      </c>
      <c r="B174" s="17" t="s">
        <v>1281</v>
      </c>
      <c r="C174" s="17">
        <v>598</v>
      </c>
      <c r="D174" s="17" t="s">
        <v>1282</v>
      </c>
      <c r="E174" s="17" t="s">
        <v>857</v>
      </c>
      <c r="F174" s="17" t="s">
        <v>1045</v>
      </c>
      <c r="G174" s="18"/>
    </row>
    <row r="175" spans="1:7">
      <c r="A175" s="16" t="s">
        <v>126</v>
      </c>
      <c r="B175" s="17" t="s">
        <v>1283</v>
      </c>
      <c r="C175" s="17">
        <v>600</v>
      </c>
      <c r="D175" s="17" t="s">
        <v>1284</v>
      </c>
      <c r="E175" s="17" t="s">
        <v>869</v>
      </c>
      <c r="F175" s="17" t="s">
        <v>870</v>
      </c>
      <c r="G175" s="17" t="s">
        <v>880</v>
      </c>
    </row>
    <row r="176" spans="1:7">
      <c r="A176" s="16" t="s">
        <v>118</v>
      </c>
      <c r="B176" s="17" t="s">
        <v>1285</v>
      </c>
      <c r="C176" s="17">
        <v>604</v>
      </c>
      <c r="D176" s="17" t="s">
        <v>1286</v>
      </c>
      <c r="E176" s="17" t="s">
        <v>869</v>
      </c>
      <c r="F176" s="17" t="s">
        <v>870</v>
      </c>
      <c r="G176" s="17" t="s">
        <v>880</v>
      </c>
    </row>
    <row r="177" spans="1:7">
      <c r="A177" s="16" t="s">
        <v>141</v>
      </c>
      <c r="B177" s="17" t="s">
        <v>1287</v>
      </c>
      <c r="C177" s="17">
        <v>608</v>
      </c>
      <c r="D177" s="17" t="s">
        <v>1288</v>
      </c>
      <c r="E177" s="17" t="s">
        <v>839</v>
      </c>
      <c r="F177" s="17" t="s">
        <v>945</v>
      </c>
      <c r="G177" s="18"/>
    </row>
    <row r="178" spans="1:7">
      <c r="A178" s="16" t="s">
        <v>1289</v>
      </c>
      <c r="B178" s="17" t="s">
        <v>1290</v>
      </c>
      <c r="C178" s="17">
        <v>612</v>
      </c>
      <c r="D178" s="17" t="s">
        <v>1291</v>
      </c>
      <c r="E178" s="17" t="s">
        <v>857</v>
      </c>
      <c r="F178" s="17" t="s">
        <v>858</v>
      </c>
      <c r="G178" s="18"/>
    </row>
    <row r="179" spans="1:7">
      <c r="A179" s="16" t="s">
        <v>109</v>
      </c>
      <c r="B179" s="17" t="s">
        <v>1292</v>
      </c>
      <c r="C179" s="17">
        <v>616</v>
      </c>
      <c r="D179" s="17" t="s">
        <v>1293</v>
      </c>
      <c r="E179" s="17" t="s">
        <v>845</v>
      </c>
      <c r="F179" s="17" t="s">
        <v>907</v>
      </c>
      <c r="G179" s="18"/>
    </row>
    <row r="180" spans="1:7">
      <c r="A180" s="16" t="s">
        <v>155</v>
      </c>
      <c r="B180" s="17" t="s">
        <v>1294</v>
      </c>
      <c r="C180" s="17">
        <v>620</v>
      </c>
      <c r="D180" s="17" t="s">
        <v>1295</v>
      </c>
      <c r="E180" s="17" t="s">
        <v>845</v>
      </c>
      <c r="F180" s="17" t="s">
        <v>849</v>
      </c>
      <c r="G180" s="18"/>
    </row>
    <row r="181" spans="1:7">
      <c r="A181" s="16" t="s">
        <v>1296</v>
      </c>
      <c r="B181" s="17" t="s">
        <v>1297</v>
      </c>
      <c r="C181" s="17">
        <v>630</v>
      </c>
      <c r="D181" s="17" t="s">
        <v>1298</v>
      </c>
      <c r="E181" s="17" t="s">
        <v>869</v>
      </c>
      <c r="F181" s="17" t="s">
        <v>870</v>
      </c>
      <c r="G181" s="17" t="s">
        <v>871</v>
      </c>
    </row>
    <row r="182" spans="1:7">
      <c r="A182" s="16" t="s">
        <v>349</v>
      </c>
      <c r="B182" s="17" t="s">
        <v>1299</v>
      </c>
      <c r="C182" s="17">
        <v>634</v>
      </c>
      <c r="D182" s="17" t="s">
        <v>1300</v>
      </c>
      <c r="E182" s="17" t="s">
        <v>839</v>
      </c>
      <c r="F182" s="17" t="s">
        <v>883</v>
      </c>
      <c r="G182" s="18"/>
    </row>
    <row r="183" spans="1:7">
      <c r="A183" s="16" t="s">
        <v>1301</v>
      </c>
      <c r="B183" s="17" t="s">
        <v>1302</v>
      </c>
      <c r="C183" s="17">
        <v>638</v>
      </c>
      <c r="D183" s="17" t="s">
        <v>1303</v>
      </c>
      <c r="E183" s="17" t="s">
        <v>852</v>
      </c>
      <c r="F183" s="17" t="s">
        <v>864</v>
      </c>
      <c r="G183" s="17" t="s">
        <v>941</v>
      </c>
    </row>
    <row r="184" spans="1:7">
      <c r="A184" s="16" t="s">
        <v>128</v>
      </c>
      <c r="B184" s="17" t="s">
        <v>1304</v>
      </c>
      <c r="C184" s="17">
        <v>642</v>
      </c>
      <c r="D184" s="17" t="s">
        <v>1305</v>
      </c>
      <c r="E184" s="17" t="s">
        <v>845</v>
      </c>
      <c r="F184" s="17" t="s">
        <v>907</v>
      </c>
      <c r="G184" s="18"/>
    </row>
    <row r="185" spans="1:7">
      <c r="A185" s="16" t="s">
        <v>108</v>
      </c>
      <c r="B185" s="17" t="s">
        <v>1306</v>
      </c>
      <c r="C185" s="17">
        <v>643</v>
      </c>
      <c r="D185" s="17" t="s">
        <v>1307</v>
      </c>
      <c r="E185" s="17" t="s">
        <v>845</v>
      </c>
      <c r="F185" s="17" t="s">
        <v>907</v>
      </c>
      <c r="G185" s="18"/>
    </row>
    <row r="186" spans="1:7">
      <c r="A186" s="16" t="s">
        <v>242</v>
      </c>
      <c r="B186" s="17" t="s">
        <v>1308</v>
      </c>
      <c r="C186" s="17">
        <v>646</v>
      </c>
      <c r="D186" s="17" t="s">
        <v>1309</v>
      </c>
      <c r="E186" s="17" t="s">
        <v>852</v>
      </c>
      <c r="F186" s="17" t="s">
        <v>864</v>
      </c>
      <c r="G186" s="17" t="s">
        <v>941</v>
      </c>
    </row>
    <row r="187" spans="1:7">
      <c r="A187" s="16" t="s">
        <v>1310</v>
      </c>
      <c r="B187" s="17" t="s">
        <v>1311</v>
      </c>
      <c r="C187" s="17">
        <v>652</v>
      </c>
      <c r="D187" s="17" t="s">
        <v>1312</v>
      </c>
      <c r="E187" s="17" t="s">
        <v>869</v>
      </c>
      <c r="F187" s="17" t="s">
        <v>870</v>
      </c>
      <c r="G187" s="17" t="s">
        <v>871</v>
      </c>
    </row>
    <row r="188" spans="1:7">
      <c r="A188" s="16" t="s">
        <v>1313</v>
      </c>
      <c r="B188" s="17" t="s">
        <v>1314</v>
      </c>
      <c r="C188" s="17">
        <v>654</v>
      </c>
      <c r="D188" s="17" t="s">
        <v>1315</v>
      </c>
      <c r="E188" s="17" t="s">
        <v>852</v>
      </c>
      <c r="F188" s="17" t="s">
        <v>864</v>
      </c>
      <c r="G188" s="17" t="s">
        <v>915</v>
      </c>
    </row>
    <row r="189" spans="1:7">
      <c r="A189" s="16" t="s">
        <v>1316</v>
      </c>
      <c r="B189" s="17" t="s">
        <v>1317</v>
      </c>
      <c r="C189" s="17">
        <v>659</v>
      </c>
      <c r="D189" s="17" t="s">
        <v>1318</v>
      </c>
      <c r="E189" s="17" t="s">
        <v>869</v>
      </c>
      <c r="F189" s="17" t="s">
        <v>870</v>
      </c>
      <c r="G189" s="17" t="s">
        <v>871</v>
      </c>
    </row>
    <row r="190" spans="1:7">
      <c r="A190" s="16" t="s">
        <v>1319</v>
      </c>
      <c r="B190" s="17" t="s">
        <v>1320</v>
      </c>
      <c r="C190" s="17">
        <v>662</v>
      </c>
      <c r="D190" s="17" t="s">
        <v>1321</v>
      </c>
      <c r="E190" s="17" t="s">
        <v>869</v>
      </c>
      <c r="F190" s="17" t="s">
        <v>870</v>
      </c>
      <c r="G190" s="17" t="s">
        <v>871</v>
      </c>
    </row>
    <row r="191" spans="1:7">
      <c r="A191" s="16" t="s">
        <v>1322</v>
      </c>
      <c r="B191" s="17" t="s">
        <v>1323</v>
      </c>
      <c r="C191" s="17">
        <v>663</v>
      </c>
      <c r="D191" s="17" t="s">
        <v>1324</v>
      </c>
      <c r="E191" s="17" t="s">
        <v>869</v>
      </c>
      <c r="F191" s="17" t="s">
        <v>870</v>
      </c>
      <c r="G191" s="17" t="s">
        <v>871</v>
      </c>
    </row>
    <row r="192" spans="1:7">
      <c r="A192" s="16" t="s">
        <v>1325</v>
      </c>
      <c r="B192" s="17" t="s">
        <v>1326</v>
      </c>
      <c r="C192" s="17">
        <v>666</v>
      </c>
      <c r="D192" s="17" t="s">
        <v>1327</v>
      </c>
      <c r="E192" s="17" t="s">
        <v>869</v>
      </c>
      <c r="F192" s="17" t="s">
        <v>919</v>
      </c>
      <c r="G192" s="18"/>
    </row>
    <row r="193" spans="1:7">
      <c r="A193" s="16" t="s">
        <v>1328</v>
      </c>
      <c r="B193" s="17" t="s">
        <v>1329</v>
      </c>
      <c r="C193" s="17">
        <v>670</v>
      </c>
      <c r="D193" s="17" t="s">
        <v>1330</v>
      </c>
      <c r="E193" s="17" t="s">
        <v>869</v>
      </c>
      <c r="F193" s="17" t="s">
        <v>870</v>
      </c>
      <c r="G193" s="17" t="s">
        <v>871</v>
      </c>
    </row>
    <row r="194" spans="1:7">
      <c r="A194" s="16" t="s">
        <v>1331</v>
      </c>
      <c r="B194" s="17" t="s">
        <v>1332</v>
      </c>
      <c r="C194" s="17">
        <v>882</v>
      </c>
      <c r="D194" s="17" t="s">
        <v>1333</v>
      </c>
      <c r="E194" s="17" t="s">
        <v>857</v>
      </c>
      <c r="F194" s="17" t="s">
        <v>858</v>
      </c>
      <c r="G194" s="18"/>
    </row>
    <row r="195" spans="1:7">
      <c r="A195" s="16" t="s">
        <v>1334</v>
      </c>
      <c r="B195" s="17" t="s">
        <v>1335</v>
      </c>
      <c r="C195" s="17">
        <v>674</v>
      </c>
      <c r="D195" s="17" t="s">
        <v>1336</v>
      </c>
      <c r="E195" s="17" t="s">
        <v>845</v>
      </c>
      <c r="F195" s="17" t="s">
        <v>849</v>
      </c>
      <c r="G195" s="18"/>
    </row>
    <row r="196" spans="1:7">
      <c r="A196" s="16" t="s">
        <v>1337</v>
      </c>
      <c r="B196" s="17" t="s">
        <v>1338</v>
      </c>
      <c r="C196" s="17">
        <v>678</v>
      </c>
      <c r="D196" s="17" t="s">
        <v>1339</v>
      </c>
      <c r="E196" s="17" t="s">
        <v>852</v>
      </c>
      <c r="F196" s="17" t="s">
        <v>864</v>
      </c>
      <c r="G196" s="17" t="s">
        <v>865</v>
      </c>
    </row>
    <row r="197" spans="1:7">
      <c r="A197" s="16" t="s">
        <v>79</v>
      </c>
      <c r="B197" s="17" t="s">
        <v>1340</v>
      </c>
      <c r="C197" s="17">
        <v>682</v>
      </c>
      <c r="D197" s="17" t="s">
        <v>1341</v>
      </c>
      <c r="E197" s="17" t="s">
        <v>839</v>
      </c>
      <c r="F197" s="17" t="s">
        <v>883</v>
      </c>
      <c r="G197" s="18"/>
    </row>
    <row r="198" spans="1:7">
      <c r="A198" s="16" t="s">
        <v>204</v>
      </c>
      <c r="B198" s="17" t="s">
        <v>1342</v>
      </c>
      <c r="C198" s="17">
        <v>686</v>
      </c>
      <c r="D198" s="17" t="s">
        <v>1343</v>
      </c>
      <c r="E198" s="17" t="s">
        <v>852</v>
      </c>
      <c r="F198" s="17" t="s">
        <v>864</v>
      </c>
      <c r="G198" s="17" t="s">
        <v>915</v>
      </c>
    </row>
    <row r="199" spans="1:7">
      <c r="A199" s="16" t="s">
        <v>145</v>
      </c>
      <c r="B199" s="17" t="s">
        <v>1344</v>
      </c>
      <c r="C199" s="17">
        <v>688</v>
      </c>
      <c r="D199" s="17" t="s">
        <v>1345</v>
      </c>
      <c r="E199" s="17" t="s">
        <v>845</v>
      </c>
      <c r="F199" s="17" t="s">
        <v>849</v>
      </c>
      <c r="G199" s="18"/>
    </row>
    <row r="200" spans="1:7">
      <c r="A200" s="16" t="s">
        <v>1346</v>
      </c>
      <c r="B200" s="17" t="s">
        <v>1347</v>
      </c>
      <c r="C200" s="17">
        <v>690</v>
      </c>
      <c r="D200" s="17" t="s">
        <v>1348</v>
      </c>
      <c r="E200" s="17" t="s">
        <v>852</v>
      </c>
      <c r="F200" s="17" t="s">
        <v>864</v>
      </c>
      <c r="G200" s="17" t="s">
        <v>941</v>
      </c>
    </row>
    <row r="201" spans="1:7">
      <c r="A201" s="16" t="s">
        <v>178</v>
      </c>
      <c r="B201" s="17" t="s">
        <v>1349</v>
      </c>
      <c r="C201" s="17">
        <v>694</v>
      </c>
      <c r="D201" s="17" t="s">
        <v>1350</v>
      </c>
      <c r="E201" s="17" t="s">
        <v>852</v>
      </c>
      <c r="F201" s="17" t="s">
        <v>864</v>
      </c>
      <c r="G201" s="17" t="s">
        <v>915</v>
      </c>
    </row>
    <row r="202" spans="1:7">
      <c r="A202" s="16" t="s">
        <v>63</v>
      </c>
      <c r="B202" s="17" t="s">
        <v>1351</v>
      </c>
      <c r="C202" s="17">
        <v>702</v>
      </c>
      <c r="D202" s="17" t="s">
        <v>1352</v>
      </c>
      <c r="E202" s="17" t="s">
        <v>839</v>
      </c>
      <c r="F202" s="17" t="s">
        <v>945</v>
      </c>
      <c r="G202" s="18"/>
    </row>
    <row r="203" spans="1:7">
      <c r="A203" s="16" t="s">
        <v>1353</v>
      </c>
      <c r="B203" s="17" t="s">
        <v>1354</v>
      </c>
      <c r="C203" s="17">
        <v>534</v>
      </c>
      <c r="D203" s="17" t="s">
        <v>1355</v>
      </c>
      <c r="E203" s="17" t="s">
        <v>869</v>
      </c>
      <c r="F203" s="17" t="s">
        <v>870</v>
      </c>
      <c r="G203" s="17" t="s">
        <v>871</v>
      </c>
    </row>
    <row r="204" spans="1:7">
      <c r="A204" s="16" t="s">
        <v>95</v>
      </c>
      <c r="B204" s="17" t="s">
        <v>1356</v>
      </c>
      <c r="C204" s="17">
        <v>703</v>
      </c>
      <c r="D204" s="17" t="s">
        <v>1357</v>
      </c>
      <c r="E204" s="17" t="s">
        <v>845</v>
      </c>
      <c r="F204" s="17" t="s">
        <v>907</v>
      </c>
      <c r="G204" s="18"/>
    </row>
    <row r="205" spans="1:7">
      <c r="A205" s="16" t="s">
        <v>116</v>
      </c>
      <c r="B205" s="17" t="s">
        <v>1358</v>
      </c>
      <c r="C205" s="17">
        <v>705</v>
      </c>
      <c r="D205" s="17" t="s">
        <v>1359</v>
      </c>
      <c r="E205" s="17" t="s">
        <v>845</v>
      </c>
      <c r="F205" s="17" t="s">
        <v>849</v>
      </c>
      <c r="G205" s="18"/>
    </row>
    <row r="206" spans="1:7">
      <c r="A206" s="16" t="s">
        <v>1360</v>
      </c>
      <c r="B206" s="17" t="s">
        <v>1361</v>
      </c>
      <c r="C206" s="17">
        <v>90</v>
      </c>
      <c r="D206" s="17" t="s">
        <v>1362</v>
      </c>
      <c r="E206" s="17" t="s">
        <v>857</v>
      </c>
      <c r="F206" s="17" t="s">
        <v>1045</v>
      </c>
      <c r="G206" s="18"/>
    </row>
    <row r="207" spans="1:7">
      <c r="A207" s="16" t="s">
        <v>134</v>
      </c>
      <c r="B207" s="17" t="s">
        <v>1363</v>
      </c>
      <c r="C207" s="17">
        <v>706</v>
      </c>
      <c r="D207" s="17" t="s">
        <v>1364</v>
      </c>
      <c r="E207" s="17" t="s">
        <v>852</v>
      </c>
      <c r="F207" s="17" t="s">
        <v>864</v>
      </c>
      <c r="G207" s="17" t="s">
        <v>941</v>
      </c>
    </row>
    <row r="208" spans="1:7">
      <c r="A208" s="16" t="s">
        <v>185</v>
      </c>
      <c r="B208" s="17" t="s">
        <v>1365</v>
      </c>
      <c r="C208" s="17">
        <v>710</v>
      </c>
      <c r="D208" s="17" t="s">
        <v>1366</v>
      </c>
      <c r="E208" s="17" t="s">
        <v>852</v>
      </c>
      <c r="F208" s="17" t="s">
        <v>864</v>
      </c>
      <c r="G208" s="17" t="s">
        <v>932</v>
      </c>
    </row>
    <row r="209" spans="1:7">
      <c r="A209" s="16" t="s">
        <v>1367</v>
      </c>
      <c r="B209" s="17" t="s">
        <v>1368</v>
      </c>
      <c r="C209" s="17">
        <v>239</v>
      </c>
      <c r="D209" s="17" t="s">
        <v>1369</v>
      </c>
      <c r="E209" s="17" t="s">
        <v>869</v>
      </c>
      <c r="F209" s="17" t="s">
        <v>870</v>
      </c>
      <c r="G209" s="17" t="s">
        <v>880</v>
      </c>
    </row>
    <row r="210" spans="1:7">
      <c r="A210" s="16" t="s">
        <v>226</v>
      </c>
      <c r="B210" s="17" t="s">
        <v>1370</v>
      </c>
      <c r="C210" s="17">
        <v>728</v>
      </c>
      <c r="D210" s="17" t="s">
        <v>1371</v>
      </c>
      <c r="E210" s="17" t="s">
        <v>852</v>
      </c>
      <c r="F210" s="17" t="s">
        <v>864</v>
      </c>
      <c r="G210" s="17" t="s">
        <v>941</v>
      </c>
    </row>
    <row r="211" spans="1:7">
      <c r="A211" s="16" t="s">
        <v>274</v>
      </c>
      <c r="B211" s="17" t="s">
        <v>1372</v>
      </c>
      <c r="C211" s="17">
        <v>724</v>
      </c>
      <c r="D211" s="17" t="s">
        <v>1373</v>
      </c>
      <c r="E211" s="17" t="s">
        <v>845</v>
      </c>
      <c r="F211" s="17" t="s">
        <v>849</v>
      </c>
      <c r="G211" s="18"/>
    </row>
    <row r="212" spans="1:7">
      <c r="A212" s="16" t="s">
        <v>187</v>
      </c>
      <c r="B212" s="17" t="s">
        <v>1374</v>
      </c>
      <c r="C212" s="17">
        <v>144</v>
      </c>
      <c r="D212" s="17" t="s">
        <v>1375</v>
      </c>
      <c r="E212" s="17" t="s">
        <v>839</v>
      </c>
      <c r="F212" s="17" t="s">
        <v>840</v>
      </c>
      <c r="G212" s="18"/>
    </row>
    <row r="213" spans="1:7">
      <c r="A213" s="16" t="s">
        <v>211</v>
      </c>
      <c r="B213" s="17" t="s">
        <v>1376</v>
      </c>
      <c r="C213" s="17">
        <v>729</v>
      </c>
      <c r="D213" s="17" t="s">
        <v>1377</v>
      </c>
      <c r="E213" s="17" t="s">
        <v>852</v>
      </c>
      <c r="F213" s="17" t="s">
        <v>853</v>
      </c>
      <c r="G213" s="18"/>
    </row>
    <row r="214" spans="1:7">
      <c r="A214" s="16" t="s">
        <v>87</v>
      </c>
      <c r="B214" s="17" t="s">
        <v>1378</v>
      </c>
      <c r="C214" s="17">
        <v>740</v>
      </c>
      <c r="D214" s="17" t="s">
        <v>1379</v>
      </c>
      <c r="E214" s="17" t="s">
        <v>869</v>
      </c>
      <c r="F214" s="17" t="s">
        <v>870</v>
      </c>
      <c r="G214" s="17" t="s">
        <v>880</v>
      </c>
    </row>
    <row r="215" spans="1:7">
      <c r="A215" s="16" t="s">
        <v>1380</v>
      </c>
      <c r="B215" s="17" t="s">
        <v>1381</v>
      </c>
      <c r="C215" s="17">
        <v>744</v>
      </c>
      <c r="D215" s="17" t="s">
        <v>1382</v>
      </c>
      <c r="E215" s="17" t="s">
        <v>845</v>
      </c>
      <c r="F215" s="17" t="s">
        <v>846</v>
      </c>
      <c r="G215" s="18"/>
    </row>
    <row r="216" spans="1:7">
      <c r="A216" s="16" t="s">
        <v>45</v>
      </c>
      <c r="B216" s="17" t="s">
        <v>1383</v>
      </c>
      <c r="C216" s="17">
        <v>752</v>
      </c>
      <c r="D216" s="17" t="s">
        <v>1384</v>
      </c>
      <c r="E216" s="17" t="s">
        <v>845</v>
      </c>
      <c r="F216" s="17" t="s">
        <v>846</v>
      </c>
      <c r="G216" s="18"/>
    </row>
    <row r="217" spans="1:7">
      <c r="A217" s="16" t="s">
        <v>32</v>
      </c>
      <c r="B217" s="17" t="s">
        <v>1385</v>
      </c>
      <c r="C217" s="17">
        <v>756</v>
      </c>
      <c r="D217" s="17" t="s">
        <v>1386</v>
      </c>
      <c r="E217" s="17" t="s">
        <v>845</v>
      </c>
      <c r="F217" s="17" t="s">
        <v>892</v>
      </c>
      <c r="G217" s="18"/>
    </row>
    <row r="218" spans="1:7">
      <c r="A218" s="16" t="s">
        <v>1387</v>
      </c>
      <c r="B218" s="17" t="s">
        <v>1388</v>
      </c>
      <c r="C218" s="17">
        <v>760</v>
      </c>
      <c r="D218" s="17" t="s">
        <v>1389</v>
      </c>
      <c r="E218" s="17" t="s">
        <v>839</v>
      </c>
      <c r="F218" s="17" t="s">
        <v>883</v>
      </c>
      <c r="G218" s="18"/>
    </row>
    <row r="219" spans="1:7">
      <c r="A219" s="16" t="s">
        <v>1390</v>
      </c>
      <c r="B219" s="17" t="s">
        <v>1391</v>
      </c>
      <c r="C219" s="17">
        <v>158</v>
      </c>
      <c r="D219" s="17" t="s">
        <v>1392</v>
      </c>
      <c r="E219" s="17" t="s">
        <v>839</v>
      </c>
      <c r="F219" s="17" t="s">
        <v>972</v>
      </c>
      <c r="G219" s="18"/>
    </row>
    <row r="220" spans="1:7">
      <c r="A220" s="16" t="s">
        <v>162</v>
      </c>
      <c r="B220" s="17" t="s">
        <v>1393</v>
      </c>
      <c r="C220" s="17">
        <v>762</v>
      </c>
      <c r="D220" s="17" t="s">
        <v>1394</v>
      </c>
      <c r="E220" s="17" t="s">
        <v>839</v>
      </c>
      <c r="F220" s="17" t="s">
        <v>1146</v>
      </c>
      <c r="G220" s="18"/>
    </row>
    <row r="221" spans="1:7">
      <c r="A221" s="16" t="s">
        <v>1395</v>
      </c>
      <c r="B221" s="17" t="s">
        <v>1396</v>
      </c>
      <c r="C221" s="17">
        <v>834</v>
      </c>
      <c r="D221" s="17" t="s">
        <v>1397</v>
      </c>
      <c r="E221" s="17" t="s">
        <v>852</v>
      </c>
      <c r="F221" s="17" t="s">
        <v>864</v>
      </c>
      <c r="G221" s="17" t="s">
        <v>941</v>
      </c>
    </row>
    <row r="222" spans="1:7">
      <c r="A222" s="16" t="s">
        <v>78</v>
      </c>
      <c r="B222" s="17" t="s">
        <v>1398</v>
      </c>
      <c r="C222" s="17">
        <v>764</v>
      </c>
      <c r="D222" s="17" t="s">
        <v>1399</v>
      </c>
      <c r="E222" s="17" t="s">
        <v>839</v>
      </c>
      <c r="F222" s="17" t="s">
        <v>945</v>
      </c>
      <c r="G222" s="18"/>
    </row>
    <row r="223" spans="1:7">
      <c r="A223" s="16" t="s">
        <v>1400</v>
      </c>
      <c r="B223" s="17" t="s">
        <v>1401</v>
      </c>
      <c r="C223" s="17">
        <v>626</v>
      </c>
      <c r="D223" s="17" t="s">
        <v>1402</v>
      </c>
      <c r="E223" s="17" t="s">
        <v>839</v>
      </c>
      <c r="F223" s="17" t="s">
        <v>945</v>
      </c>
      <c r="G223" s="18"/>
    </row>
    <row r="224" spans="1:7">
      <c r="A224" s="16" t="s">
        <v>247</v>
      </c>
      <c r="B224" s="17" t="s">
        <v>1403</v>
      </c>
      <c r="C224" s="17">
        <v>768</v>
      </c>
      <c r="D224" s="17" t="s">
        <v>1404</v>
      </c>
      <c r="E224" s="17" t="s">
        <v>852</v>
      </c>
      <c r="F224" s="17" t="s">
        <v>864</v>
      </c>
      <c r="G224" s="17" t="s">
        <v>915</v>
      </c>
    </row>
    <row r="225" spans="1:7">
      <c r="A225" s="16" t="s">
        <v>1405</v>
      </c>
      <c r="B225" s="17" t="s">
        <v>1406</v>
      </c>
      <c r="C225" s="17">
        <v>772</v>
      </c>
      <c r="D225" s="17" t="s">
        <v>1407</v>
      </c>
      <c r="E225" s="17" t="s">
        <v>857</v>
      </c>
      <c r="F225" s="17" t="s">
        <v>858</v>
      </c>
      <c r="G225" s="18"/>
    </row>
    <row r="226" spans="1:7">
      <c r="A226" s="16" t="s">
        <v>1408</v>
      </c>
      <c r="B226" s="17" t="s">
        <v>1409</v>
      </c>
      <c r="C226" s="17">
        <v>776</v>
      </c>
      <c r="D226" s="17" t="s">
        <v>1410</v>
      </c>
      <c r="E226" s="17" t="s">
        <v>857</v>
      </c>
      <c r="F226" s="17" t="s">
        <v>858</v>
      </c>
      <c r="G226" s="18"/>
    </row>
    <row r="227" spans="1:7">
      <c r="A227" s="16" t="s">
        <v>91</v>
      </c>
      <c r="B227" s="17" t="s">
        <v>1411</v>
      </c>
      <c r="C227" s="17">
        <v>780</v>
      </c>
      <c r="D227" s="17" t="s">
        <v>1412</v>
      </c>
      <c r="E227" s="17" t="s">
        <v>869</v>
      </c>
      <c r="F227" s="17" t="s">
        <v>870</v>
      </c>
      <c r="G227" s="17" t="s">
        <v>871</v>
      </c>
    </row>
    <row r="228" spans="1:7">
      <c r="A228" s="16" t="s">
        <v>159</v>
      </c>
      <c r="B228" s="17" t="s">
        <v>1413</v>
      </c>
      <c r="C228" s="17">
        <v>788</v>
      </c>
      <c r="D228" s="17" t="s">
        <v>1414</v>
      </c>
      <c r="E228" s="17" t="s">
        <v>852</v>
      </c>
      <c r="F228" s="17" t="s">
        <v>853</v>
      </c>
      <c r="G228" s="18"/>
    </row>
    <row r="229" spans="1:7">
      <c r="A229" s="16" t="s">
        <v>136</v>
      </c>
      <c r="B229" s="17" t="s">
        <v>1415</v>
      </c>
      <c r="C229" s="17">
        <v>792</v>
      </c>
      <c r="D229" s="17" t="s">
        <v>1416</v>
      </c>
      <c r="E229" s="17" t="s">
        <v>839</v>
      </c>
      <c r="F229" s="17" t="s">
        <v>883</v>
      </c>
      <c r="G229" s="18"/>
    </row>
    <row r="230" spans="1:7">
      <c r="A230" s="16" t="s">
        <v>120</v>
      </c>
      <c r="B230" s="17" t="s">
        <v>1417</v>
      </c>
      <c r="C230" s="17">
        <v>795</v>
      </c>
      <c r="D230" s="17" t="s">
        <v>1418</v>
      </c>
      <c r="E230" s="17" t="s">
        <v>839</v>
      </c>
      <c r="F230" s="17" t="s">
        <v>1146</v>
      </c>
      <c r="G230" s="18"/>
    </row>
    <row r="231" spans="1:7">
      <c r="A231" s="16" t="s">
        <v>1419</v>
      </c>
      <c r="B231" s="17" t="s">
        <v>1420</v>
      </c>
      <c r="C231" s="17">
        <v>796</v>
      </c>
      <c r="D231" s="17" t="s">
        <v>1421</v>
      </c>
      <c r="E231" s="17" t="s">
        <v>869</v>
      </c>
      <c r="F231" s="17" t="s">
        <v>870</v>
      </c>
      <c r="G231" s="17" t="s">
        <v>871</v>
      </c>
    </row>
    <row r="232" spans="1:7">
      <c r="A232" s="16" t="s">
        <v>1422</v>
      </c>
      <c r="B232" s="17" t="s">
        <v>1423</v>
      </c>
      <c r="C232" s="17">
        <v>798</v>
      </c>
      <c r="D232" s="17" t="s">
        <v>1424</v>
      </c>
      <c r="E232" s="17" t="s">
        <v>857</v>
      </c>
      <c r="F232" s="17" t="s">
        <v>858</v>
      </c>
      <c r="G232" s="18"/>
    </row>
    <row r="233" spans="1:7">
      <c r="A233" s="16" t="s">
        <v>231</v>
      </c>
      <c r="B233" s="17" t="s">
        <v>1425</v>
      </c>
      <c r="C233" s="17">
        <v>800</v>
      </c>
      <c r="D233" s="17" t="s">
        <v>1426</v>
      </c>
      <c r="E233" s="17" t="s">
        <v>852</v>
      </c>
      <c r="F233" s="17" t="s">
        <v>864</v>
      </c>
      <c r="G233" s="17" t="s">
        <v>941</v>
      </c>
    </row>
    <row r="234" spans="1:7">
      <c r="A234" s="16" t="s">
        <v>195</v>
      </c>
      <c r="B234" s="17" t="s">
        <v>1427</v>
      </c>
      <c r="C234" s="17">
        <v>804</v>
      </c>
      <c r="D234" s="17" t="s">
        <v>1428</v>
      </c>
      <c r="E234" s="17" t="s">
        <v>845</v>
      </c>
      <c r="F234" s="17" t="s">
        <v>907</v>
      </c>
      <c r="G234" s="18"/>
    </row>
    <row r="235" spans="1:7">
      <c r="A235" s="16" t="s">
        <v>71</v>
      </c>
      <c r="B235" s="17" t="s">
        <v>1429</v>
      </c>
      <c r="C235" s="17">
        <v>784</v>
      </c>
      <c r="D235" s="17" t="s">
        <v>1430</v>
      </c>
      <c r="E235" s="17" t="s">
        <v>839</v>
      </c>
      <c r="F235" s="17" t="s">
        <v>883</v>
      </c>
      <c r="G235" s="18"/>
    </row>
    <row r="236" spans="1:7">
      <c r="A236" s="16" t="s">
        <v>1431</v>
      </c>
      <c r="B236" s="17" t="s">
        <v>1432</v>
      </c>
      <c r="C236" s="17">
        <v>826</v>
      </c>
      <c r="D236" s="17" t="s">
        <v>1433</v>
      </c>
      <c r="E236" s="17" t="s">
        <v>845</v>
      </c>
      <c r="F236" s="17" t="s">
        <v>846</v>
      </c>
      <c r="G236" s="18"/>
    </row>
    <row r="237" spans="1:7">
      <c r="A237" s="16" t="s">
        <v>1434</v>
      </c>
      <c r="B237" s="17" t="s">
        <v>1435</v>
      </c>
      <c r="C237" s="17">
        <v>840</v>
      </c>
      <c r="D237" s="17" t="s">
        <v>1436</v>
      </c>
      <c r="E237" s="17" t="s">
        <v>869</v>
      </c>
      <c r="F237" s="17" t="s">
        <v>919</v>
      </c>
      <c r="G237" s="18"/>
    </row>
    <row r="238" spans="1:7">
      <c r="A238" s="16" t="s">
        <v>1437</v>
      </c>
      <c r="B238" s="17" t="s">
        <v>1438</v>
      </c>
      <c r="C238" s="17">
        <v>581</v>
      </c>
      <c r="D238" s="17" t="s">
        <v>1439</v>
      </c>
      <c r="E238" s="17" t="s">
        <v>857</v>
      </c>
      <c r="F238" s="17" t="s">
        <v>1086</v>
      </c>
      <c r="G238" s="18"/>
    </row>
    <row r="239" spans="1:7">
      <c r="A239" s="16" t="s">
        <v>73</v>
      </c>
      <c r="B239" s="17" t="s">
        <v>1440</v>
      </c>
      <c r="C239" s="17">
        <v>858</v>
      </c>
      <c r="D239" s="17" t="s">
        <v>1441</v>
      </c>
      <c r="E239" s="17" t="s">
        <v>869</v>
      </c>
      <c r="F239" s="17" t="s">
        <v>870</v>
      </c>
      <c r="G239" s="17" t="s">
        <v>880</v>
      </c>
    </row>
    <row r="240" spans="1:7">
      <c r="A240" s="16" t="s">
        <v>99</v>
      </c>
      <c r="B240" s="17" t="s">
        <v>1442</v>
      </c>
      <c r="C240" s="17">
        <v>860</v>
      </c>
      <c r="D240" s="17" t="s">
        <v>1443</v>
      </c>
      <c r="E240" s="17" t="s">
        <v>839</v>
      </c>
      <c r="F240" s="17" t="s">
        <v>1146</v>
      </c>
      <c r="G240" s="18"/>
    </row>
    <row r="241" spans="1:7">
      <c r="A241" s="16" t="s">
        <v>1444</v>
      </c>
      <c r="B241" s="17" t="s">
        <v>1445</v>
      </c>
      <c r="C241" s="17">
        <v>548</v>
      </c>
      <c r="D241" s="17" t="s">
        <v>1446</v>
      </c>
      <c r="E241" s="17" t="s">
        <v>857</v>
      </c>
      <c r="F241" s="17" t="s">
        <v>1045</v>
      </c>
      <c r="G241" s="18"/>
    </row>
    <row r="242" spans="1:7">
      <c r="A242" s="16" t="s">
        <v>1447</v>
      </c>
      <c r="B242" s="17" t="s">
        <v>1448</v>
      </c>
      <c r="C242" s="17">
        <v>862</v>
      </c>
      <c r="D242" s="17" t="s">
        <v>1449</v>
      </c>
      <c r="E242" s="17" t="s">
        <v>869</v>
      </c>
      <c r="F242" s="17" t="s">
        <v>870</v>
      </c>
      <c r="G242" s="17" t="s">
        <v>880</v>
      </c>
    </row>
    <row r="243" spans="1:7">
      <c r="A243" s="16" t="s">
        <v>157</v>
      </c>
      <c r="B243" s="17" t="s">
        <v>1450</v>
      </c>
      <c r="C243" s="17">
        <v>704</v>
      </c>
      <c r="D243" s="17" t="s">
        <v>1451</v>
      </c>
      <c r="E243" s="17" t="s">
        <v>839</v>
      </c>
      <c r="F243" s="17" t="s">
        <v>945</v>
      </c>
      <c r="G243" s="18"/>
    </row>
    <row r="244" spans="1:7">
      <c r="A244" s="16" t="s">
        <v>1452</v>
      </c>
      <c r="B244" s="17" t="s">
        <v>1453</v>
      </c>
      <c r="C244" s="17">
        <v>92</v>
      </c>
      <c r="D244" s="17" t="s">
        <v>1454</v>
      </c>
      <c r="E244" s="17" t="s">
        <v>869</v>
      </c>
      <c r="F244" s="17" t="s">
        <v>870</v>
      </c>
      <c r="G244" s="17" t="s">
        <v>871</v>
      </c>
    </row>
    <row r="245" spans="1:7">
      <c r="A245" s="16" t="s">
        <v>1455</v>
      </c>
      <c r="B245" s="17" t="s">
        <v>1456</v>
      </c>
      <c r="C245" s="17">
        <v>850</v>
      </c>
      <c r="D245" s="17" t="s">
        <v>1457</v>
      </c>
      <c r="E245" s="17" t="s">
        <v>869</v>
      </c>
      <c r="F245" s="17" t="s">
        <v>870</v>
      </c>
      <c r="G245" s="17" t="s">
        <v>871</v>
      </c>
    </row>
    <row r="246" spans="1:7">
      <c r="A246" s="16" t="s">
        <v>1458</v>
      </c>
      <c r="B246" s="17" t="s">
        <v>1459</v>
      </c>
      <c r="C246" s="17">
        <v>876</v>
      </c>
      <c r="D246" s="17" t="s">
        <v>1460</v>
      </c>
      <c r="E246" s="17" t="s">
        <v>857</v>
      </c>
      <c r="F246" s="17" t="s">
        <v>858</v>
      </c>
      <c r="G246" s="18"/>
    </row>
    <row r="247" spans="1:7">
      <c r="A247" s="16" t="s">
        <v>1461</v>
      </c>
      <c r="B247" s="17" t="s">
        <v>1462</v>
      </c>
      <c r="C247" s="17">
        <v>732</v>
      </c>
      <c r="D247" s="17" t="s">
        <v>1463</v>
      </c>
      <c r="E247" s="17" t="s">
        <v>852</v>
      </c>
      <c r="F247" s="17" t="s">
        <v>853</v>
      </c>
      <c r="G247" s="18"/>
    </row>
    <row r="248" spans="1:7">
      <c r="A248" s="16" t="s">
        <v>233</v>
      </c>
      <c r="B248" s="17" t="s">
        <v>1464</v>
      </c>
      <c r="C248" s="17">
        <v>887</v>
      </c>
      <c r="D248" s="17" t="s">
        <v>1465</v>
      </c>
      <c r="E248" s="17" t="s">
        <v>839</v>
      </c>
      <c r="F248" s="17" t="s">
        <v>883</v>
      </c>
      <c r="G248" s="18"/>
    </row>
    <row r="249" spans="1:7">
      <c r="A249" s="16" t="s">
        <v>170</v>
      </c>
      <c r="B249" s="17" t="s">
        <v>1466</v>
      </c>
      <c r="C249" s="17">
        <v>894</v>
      </c>
      <c r="D249" s="17" t="s">
        <v>1467</v>
      </c>
      <c r="E249" s="17" t="s">
        <v>852</v>
      </c>
      <c r="F249" s="17" t="s">
        <v>864</v>
      </c>
      <c r="G249" s="17" t="s">
        <v>941</v>
      </c>
    </row>
    <row r="250" spans="1:7">
      <c r="A250" s="16" t="s">
        <v>208</v>
      </c>
      <c r="B250" s="17" t="s">
        <v>1468</v>
      </c>
      <c r="C250" s="17">
        <v>716</v>
      </c>
      <c r="D250" s="17" t="s">
        <v>1469</v>
      </c>
      <c r="E250" s="17" t="s">
        <v>852</v>
      </c>
      <c r="F250" s="17" t="s">
        <v>864</v>
      </c>
      <c r="G250" s="17" t="s">
        <v>941</v>
      </c>
    </row>
    <row r="251" spans="1:7">
      <c r="A251" s="1" t="s">
        <v>40</v>
      </c>
      <c r="E251" s="17" t="s">
        <v>845</v>
      </c>
      <c r="F251" s="17" t="s">
        <v>892</v>
      </c>
    </row>
    <row r="252" spans="1:7">
      <c r="A252" s="1" t="s">
        <v>135</v>
      </c>
      <c r="E252" s="17" t="s">
        <v>845</v>
      </c>
    </row>
    <row r="253" spans="1:7">
      <c r="A253" s="1" t="s">
        <v>51</v>
      </c>
      <c r="E253" s="17" t="s">
        <v>869</v>
      </c>
      <c r="F253" s="17" t="s">
        <v>919</v>
      </c>
    </row>
    <row r="254" spans="1:7">
      <c r="A254" s="1" t="s">
        <v>81</v>
      </c>
      <c r="E254" s="17" t="s">
        <v>839</v>
      </c>
      <c r="F254" s="17" t="s">
        <v>972</v>
      </c>
    </row>
    <row r="255" spans="1:7">
      <c r="A255" s="1" t="s">
        <v>64</v>
      </c>
      <c r="E255" s="17" t="s">
        <v>845</v>
      </c>
      <c r="F255" s="17" t="s">
        <v>892</v>
      </c>
    </row>
    <row r="256" spans="1:7">
      <c r="A256" s="1" t="s">
        <v>110</v>
      </c>
      <c r="E256" s="17" t="s">
        <v>839</v>
      </c>
      <c r="F256" s="17" t="s">
        <v>972</v>
      </c>
    </row>
    <row r="257" spans="1:7">
      <c r="A257" s="1" t="s">
        <v>285</v>
      </c>
      <c r="E257" s="17" t="s">
        <v>845</v>
      </c>
      <c r="F257" s="17" t="s">
        <v>907</v>
      </c>
    </row>
    <row r="258" spans="1:7">
      <c r="A258" s="1" t="s">
        <v>112</v>
      </c>
      <c r="E258" s="17" t="s">
        <v>869</v>
      </c>
      <c r="F258" s="17" t="s">
        <v>870</v>
      </c>
      <c r="G258" s="17" t="s">
        <v>880</v>
      </c>
    </row>
    <row r="259" spans="1:7">
      <c r="A259" s="1" t="s">
        <v>93</v>
      </c>
      <c r="E259" s="17" t="s">
        <v>869</v>
      </c>
      <c r="F259" s="17" t="s">
        <v>870</v>
      </c>
      <c r="G259" s="17" t="s">
        <v>880</v>
      </c>
    </row>
    <row r="260" spans="1:7">
      <c r="A260" s="1" t="s">
        <v>132</v>
      </c>
      <c r="E260" s="17" t="s">
        <v>839</v>
      </c>
      <c r="F260" s="17" t="s">
        <v>972</v>
      </c>
    </row>
    <row r="261" spans="1:7">
      <c r="A261" s="1" t="s">
        <v>164</v>
      </c>
      <c r="E261" s="17" t="s">
        <v>839</v>
      </c>
      <c r="F261" s="17" t="s">
        <v>945</v>
      </c>
    </row>
    <row r="262" spans="1:7">
      <c r="A262" s="1" t="s">
        <v>169</v>
      </c>
      <c r="E262" s="17" t="s">
        <v>839</v>
      </c>
      <c r="F262" s="17" t="s">
        <v>840</v>
      </c>
    </row>
    <row r="263" spans="1:7">
      <c r="A263" s="1" t="s">
        <v>220</v>
      </c>
      <c r="E263" s="17" t="s">
        <v>852</v>
      </c>
      <c r="F263" s="17" t="s">
        <v>864</v>
      </c>
      <c r="G263" s="17" t="s">
        <v>915</v>
      </c>
    </row>
    <row r="264" spans="1:7">
      <c r="A264" s="1" t="s">
        <v>173</v>
      </c>
      <c r="E264" s="17" t="s">
        <v>839</v>
      </c>
      <c r="F264" s="17" t="s">
        <v>883</v>
      </c>
    </row>
    <row r="265" spans="1:7">
      <c r="A265" s="1" t="s">
        <v>236</v>
      </c>
      <c r="E265" s="17" t="s">
        <v>852</v>
      </c>
      <c r="F265" s="17" t="s">
        <v>864</v>
      </c>
      <c r="G265" s="17" t="s">
        <v>941</v>
      </c>
    </row>
    <row r="266" spans="1:7">
      <c r="A266" s="1" t="s">
        <v>199</v>
      </c>
      <c r="E266" s="17" t="s">
        <v>852</v>
      </c>
      <c r="F266" s="17" t="s">
        <v>864</v>
      </c>
      <c r="G266" s="17" t="s">
        <v>865</v>
      </c>
    </row>
    <row r="267" spans="1:7">
      <c r="A267" s="1" t="s">
        <v>248</v>
      </c>
      <c r="E267" s="17" t="s">
        <v>839</v>
      </c>
      <c r="F267" s="17" t="s">
        <v>883</v>
      </c>
    </row>
  </sheetData>
  <hyperlinks>
    <hyperlink ref="I2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261"/>
  <sheetViews>
    <sheetView workbookViewId="0"/>
  </sheetViews>
  <sheetFormatPr baseColWidth="10" defaultColWidth="11.1640625" defaultRowHeight="15" customHeight="1"/>
  <sheetData>
    <row r="1" spans="1:7">
      <c r="A1" s="19" t="s">
        <v>1470</v>
      </c>
      <c r="B1" s="19" t="s">
        <v>1471</v>
      </c>
      <c r="C1" s="19" t="s">
        <v>1472</v>
      </c>
      <c r="D1" s="19" t="s">
        <v>1473</v>
      </c>
      <c r="E1" s="19" t="s">
        <v>1474</v>
      </c>
      <c r="F1" s="19" t="s">
        <v>1475</v>
      </c>
      <c r="G1" s="19" t="s">
        <v>1476</v>
      </c>
    </row>
    <row r="2" spans="1:7">
      <c r="A2" s="20">
        <v>45842</v>
      </c>
      <c r="B2" s="21">
        <v>7</v>
      </c>
      <c r="C2" s="11" t="s">
        <v>1477</v>
      </c>
      <c r="D2" s="11" t="s">
        <v>1478</v>
      </c>
      <c r="E2" s="11" t="s">
        <v>1478</v>
      </c>
      <c r="F2" s="11" t="s">
        <v>1477</v>
      </c>
      <c r="G2" s="11" t="s">
        <v>1477</v>
      </c>
    </row>
    <row r="3" spans="1:7">
      <c r="A3" s="20">
        <v>45843</v>
      </c>
      <c r="B3" s="21">
        <v>7</v>
      </c>
      <c r="C3" s="11" t="s">
        <v>1478</v>
      </c>
      <c r="D3" s="11" t="s">
        <v>1477</v>
      </c>
      <c r="E3" s="11" t="s">
        <v>1477</v>
      </c>
      <c r="F3" s="11" t="s">
        <v>1478</v>
      </c>
      <c r="G3" s="11" t="s">
        <v>1478</v>
      </c>
    </row>
    <row r="4" spans="1:7">
      <c r="A4" s="20">
        <v>45844</v>
      </c>
      <c r="B4" s="21">
        <v>6.5</v>
      </c>
      <c r="C4" s="11" t="s">
        <v>1477</v>
      </c>
      <c r="D4" s="11" t="s">
        <v>1478</v>
      </c>
      <c r="E4" s="11" t="s">
        <v>1478</v>
      </c>
      <c r="F4" s="11" t="s">
        <v>1477</v>
      </c>
      <c r="G4" s="11" t="s">
        <v>1477</v>
      </c>
    </row>
    <row r="5" spans="1:7">
      <c r="A5" s="20">
        <v>45845</v>
      </c>
      <c r="B5" s="21">
        <v>7.5</v>
      </c>
      <c r="C5" s="11" t="s">
        <v>1477</v>
      </c>
      <c r="D5" s="11" t="s">
        <v>1477</v>
      </c>
      <c r="E5" s="11" t="s">
        <v>1478</v>
      </c>
      <c r="F5" s="11" t="s">
        <v>1478</v>
      </c>
      <c r="G5" s="11" t="s">
        <v>1478</v>
      </c>
    </row>
    <row r="6" spans="1:7">
      <c r="A6" s="20">
        <v>45846</v>
      </c>
      <c r="B6" s="21">
        <v>6</v>
      </c>
      <c r="C6" s="11" t="s">
        <v>1478</v>
      </c>
      <c r="D6" s="11" t="s">
        <v>1478</v>
      </c>
      <c r="E6" s="11" t="s">
        <v>1477</v>
      </c>
      <c r="F6" s="11" t="s">
        <v>1478</v>
      </c>
      <c r="G6" s="11" t="s">
        <v>1478</v>
      </c>
    </row>
    <row r="7" spans="1:7">
      <c r="A7" s="20">
        <v>45847</v>
      </c>
      <c r="B7" s="21">
        <v>7.5</v>
      </c>
      <c r="C7" s="11" t="s">
        <v>1478</v>
      </c>
      <c r="D7" s="11" t="s">
        <v>1477</v>
      </c>
      <c r="E7" s="11" t="s">
        <v>1478</v>
      </c>
      <c r="F7" s="11" t="s">
        <v>1478</v>
      </c>
      <c r="G7" s="11" t="s">
        <v>1478</v>
      </c>
    </row>
    <row r="8" spans="1:7">
      <c r="A8" s="20">
        <v>45848</v>
      </c>
      <c r="B8" s="21">
        <v>8</v>
      </c>
      <c r="C8" s="11" t="s">
        <v>1478</v>
      </c>
      <c r="D8" s="11" t="s">
        <v>1478</v>
      </c>
      <c r="E8" s="11" t="s">
        <v>1478</v>
      </c>
      <c r="F8" s="11" t="s">
        <v>1478</v>
      </c>
      <c r="G8" s="11" t="s">
        <v>1478</v>
      </c>
    </row>
    <row r="9" spans="1:7">
      <c r="A9" s="20">
        <v>45849</v>
      </c>
      <c r="B9" s="21">
        <v>8</v>
      </c>
      <c r="C9" s="11" t="s">
        <v>1478</v>
      </c>
      <c r="D9" s="11" t="s">
        <v>1477</v>
      </c>
      <c r="E9" s="11" t="s">
        <v>1478</v>
      </c>
      <c r="F9" s="11" t="s">
        <v>1478</v>
      </c>
      <c r="G9" s="11" t="s">
        <v>1478</v>
      </c>
    </row>
    <row r="10" spans="1:7">
      <c r="A10" s="20">
        <v>45850</v>
      </c>
      <c r="B10" s="21">
        <v>8</v>
      </c>
      <c r="C10" s="11" t="s">
        <v>1478</v>
      </c>
      <c r="D10" s="11" t="s">
        <v>1478</v>
      </c>
      <c r="E10" s="11" t="s">
        <v>1477</v>
      </c>
      <c r="F10" s="11" t="s">
        <v>1478</v>
      </c>
      <c r="G10" s="11" t="s">
        <v>1478</v>
      </c>
    </row>
    <row r="11" spans="1:7">
      <c r="A11" s="20">
        <v>45851</v>
      </c>
      <c r="B11" s="21">
        <v>8</v>
      </c>
      <c r="C11" s="11" t="s">
        <v>1478</v>
      </c>
      <c r="D11" s="11" t="s">
        <v>1478</v>
      </c>
      <c r="E11" s="11" t="s">
        <v>1477</v>
      </c>
      <c r="F11" s="11" t="s">
        <v>1478</v>
      </c>
      <c r="G11" s="11" t="s">
        <v>1478</v>
      </c>
    </row>
    <row r="12" spans="1:7">
      <c r="A12" s="20">
        <v>45852</v>
      </c>
      <c r="B12" s="21">
        <v>9</v>
      </c>
      <c r="C12" s="11" t="s">
        <v>1478</v>
      </c>
      <c r="D12" s="11" t="s">
        <v>1478</v>
      </c>
      <c r="E12" s="11" t="s">
        <v>1477</v>
      </c>
      <c r="F12" s="11" t="s">
        <v>1478</v>
      </c>
      <c r="G12" s="11" t="s">
        <v>1478</v>
      </c>
    </row>
    <row r="13" spans="1:7">
      <c r="A13" s="20">
        <v>45853</v>
      </c>
      <c r="B13" s="21">
        <v>9</v>
      </c>
      <c r="C13" s="11" t="s">
        <v>1478</v>
      </c>
      <c r="D13" s="11" t="s">
        <v>1478</v>
      </c>
      <c r="E13" s="11" t="s">
        <v>1477</v>
      </c>
      <c r="F13" s="11" t="s">
        <v>1478</v>
      </c>
      <c r="G13" s="11" t="s">
        <v>1478</v>
      </c>
    </row>
    <row r="14" spans="1:7">
      <c r="A14" s="20">
        <v>45854</v>
      </c>
      <c r="B14" s="21">
        <v>9</v>
      </c>
      <c r="C14" s="11" t="s">
        <v>1478</v>
      </c>
      <c r="D14" s="11" t="s">
        <v>1478</v>
      </c>
      <c r="E14" s="11" t="s">
        <v>1477</v>
      </c>
      <c r="F14" s="11" t="s">
        <v>1478</v>
      </c>
      <c r="G14" s="11" t="s">
        <v>1478</v>
      </c>
    </row>
    <row r="15" spans="1:7">
      <c r="A15" s="20">
        <v>45855</v>
      </c>
      <c r="B15" s="21">
        <v>9</v>
      </c>
      <c r="C15" s="11" t="s">
        <v>1478</v>
      </c>
      <c r="D15" s="11" t="s">
        <v>1478</v>
      </c>
      <c r="E15" s="11" t="s">
        <v>1478</v>
      </c>
      <c r="F15" s="11" t="s">
        <v>1478</v>
      </c>
      <c r="G15" s="11" t="s">
        <v>1478</v>
      </c>
    </row>
    <row r="16" spans="1:7">
      <c r="A16" s="20">
        <v>45856</v>
      </c>
      <c r="B16" s="21">
        <v>8</v>
      </c>
      <c r="C16" s="11" t="s">
        <v>1478</v>
      </c>
      <c r="D16" s="11" t="s">
        <v>1478</v>
      </c>
      <c r="E16" s="11" t="s">
        <v>1478</v>
      </c>
      <c r="F16" s="11" t="s">
        <v>1478</v>
      </c>
      <c r="G16" s="11" t="s">
        <v>1478</v>
      </c>
    </row>
    <row r="17" spans="1:7">
      <c r="A17" s="20">
        <v>45857</v>
      </c>
      <c r="B17" s="21">
        <v>8</v>
      </c>
      <c r="C17" s="11" t="s">
        <v>1478</v>
      </c>
      <c r="D17" s="11" t="s">
        <v>1478</v>
      </c>
      <c r="E17" s="11" t="s">
        <v>1478</v>
      </c>
      <c r="F17" s="11" t="s">
        <v>1478</v>
      </c>
      <c r="G17" s="11" t="s">
        <v>1478</v>
      </c>
    </row>
    <row r="18" spans="1:7">
      <c r="A18" s="20">
        <v>45858</v>
      </c>
      <c r="B18" s="21">
        <v>9</v>
      </c>
      <c r="C18" s="11" t="s">
        <v>1478</v>
      </c>
      <c r="D18" s="11" t="s">
        <v>1477</v>
      </c>
      <c r="E18" s="11" t="s">
        <v>1478</v>
      </c>
      <c r="F18" s="11" t="s">
        <v>1478</v>
      </c>
      <c r="G18" s="11" t="s">
        <v>1478</v>
      </c>
    </row>
    <row r="19" spans="1:7">
      <c r="A19" s="20">
        <v>45859</v>
      </c>
      <c r="B19" s="21">
        <v>7</v>
      </c>
      <c r="C19" s="11" t="s">
        <v>1478</v>
      </c>
      <c r="D19" s="11" t="s">
        <v>1478</v>
      </c>
      <c r="E19" s="11" t="s">
        <v>1478</v>
      </c>
      <c r="F19" s="11" t="s">
        <v>1478</v>
      </c>
      <c r="G19" s="11" t="s">
        <v>1478</v>
      </c>
    </row>
    <row r="20" spans="1:7">
      <c r="A20" s="20">
        <v>45860</v>
      </c>
      <c r="B20" s="21">
        <v>5</v>
      </c>
      <c r="C20" s="11" t="s">
        <v>1478</v>
      </c>
      <c r="D20" s="11" t="s">
        <v>1478</v>
      </c>
      <c r="E20" s="11" t="s">
        <v>1478</v>
      </c>
      <c r="F20" s="11" t="s">
        <v>1478</v>
      </c>
      <c r="G20" s="11" t="s">
        <v>1478</v>
      </c>
    </row>
    <row r="21" spans="1:7">
      <c r="A21" s="20">
        <v>45861</v>
      </c>
      <c r="B21" s="21">
        <v>5</v>
      </c>
      <c r="C21" s="11" t="s">
        <v>1478</v>
      </c>
      <c r="D21" s="11" t="s">
        <v>1478</v>
      </c>
      <c r="E21" s="11" t="s">
        <v>1478</v>
      </c>
      <c r="F21" s="11" t="s">
        <v>1478</v>
      </c>
      <c r="G21" s="11" t="s">
        <v>1478</v>
      </c>
    </row>
    <row r="22" spans="1:7">
      <c r="A22" s="20">
        <v>45862</v>
      </c>
      <c r="B22" s="21">
        <v>5</v>
      </c>
      <c r="C22" s="11" t="s">
        <v>1478</v>
      </c>
      <c r="D22" s="11" t="s">
        <v>1478</v>
      </c>
      <c r="E22" s="11" t="s">
        <v>1478</v>
      </c>
      <c r="F22" s="11" t="s">
        <v>1478</v>
      </c>
      <c r="G22" s="11" t="s">
        <v>1478</v>
      </c>
    </row>
    <row r="23" spans="1:7">
      <c r="A23" s="20">
        <v>45863</v>
      </c>
      <c r="B23" s="21">
        <v>5</v>
      </c>
      <c r="C23" s="11" t="s">
        <v>1478</v>
      </c>
      <c r="D23" s="11" t="s">
        <v>1478</v>
      </c>
      <c r="E23" s="11" t="s">
        <v>1478</v>
      </c>
      <c r="F23" s="11" t="s">
        <v>1478</v>
      </c>
      <c r="G23" s="11" t="s">
        <v>1478</v>
      </c>
    </row>
    <row r="24" spans="1:7">
      <c r="A24" s="20">
        <v>45864</v>
      </c>
      <c r="B24" s="21">
        <v>7</v>
      </c>
      <c r="C24" s="11" t="s">
        <v>1478</v>
      </c>
      <c r="D24" s="11" t="s">
        <v>1478</v>
      </c>
      <c r="E24" s="11" t="s">
        <v>1478</v>
      </c>
      <c r="F24" s="11" t="s">
        <v>1478</v>
      </c>
      <c r="G24" s="11" t="s">
        <v>1478</v>
      </c>
    </row>
    <row r="25" spans="1:7">
      <c r="A25" s="20">
        <v>45865</v>
      </c>
      <c r="B25" s="21">
        <v>9</v>
      </c>
      <c r="C25" s="11" t="s">
        <v>1478</v>
      </c>
      <c r="D25" s="11" t="s">
        <v>1478</v>
      </c>
      <c r="E25" s="11" t="s">
        <v>1478</v>
      </c>
      <c r="F25" s="11" t="s">
        <v>1478</v>
      </c>
      <c r="G25" s="11" t="s">
        <v>1478</v>
      </c>
    </row>
    <row r="26" spans="1:7">
      <c r="A26" s="20">
        <v>45866</v>
      </c>
      <c r="B26" s="21">
        <v>8</v>
      </c>
      <c r="C26" s="11" t="s">
        <v>1478</v>
      </c>
      <c r="D26" s="11" t="s">
        <v>1478</v>
      </c>
      <c r="E26" s="11" t="s">
        <v>1478</v>
      </c>
      <c r="F26" s="11" t="s">
        <v>1478</v>
      </c>
      <c r="G26" s="11" t="s">
        <v>1478</v>
      </c>
    </row>
    <row r="27" spans="1:7">
      <c r="A27" s="20">
        <v>45867</v>
      </c>
      <c r="B27" s="21">
        <v>8</v>
      </c>
      <c r="C27" s="11" t="s">
        <v>1478</v>
      </c>
      <c r="D27" s="11" t="s">
        <v>1478</v>
      </c>
      <c r="E27" s="11" t="s">
        <v>1478</v>
      </c>
      <c r="F27" s="11" t="s">
        <v>1478</v>
      </c>
      <c r="G27" s="11" t="s">
        <v>1478</v>
      </c>
    </row>
    <row r="28" spans="1:7">
      <c r="A28" s="20">
        <v>45868</v>
      </c>
      <c r="B28" s="21">
        <v>4</v>
      </c>
      <c r="C28" s="11" t="s">
        <v>1478</v>
      </c>
      <c r="D28" s="11" t="s">
        <v>1478</v>
      </c>
      <c r="E28" s="11" t="s">
        <v>1477</v>
      </c>
      <c r="F28" s="11" t="s">
        <v>1478</v>
      </c>
      <c r="G28" s="11" t="s">
        <v>1478</v>
      </c>
    </row>
    <row r="29" spans="1:7">
      <c r="A29" s="20">
        <v>45869</v>
      </c>
      <c r="B29" s="21">
        <v>6</v>
      </c>
      <c r="C29" s="11" t="s">
        <v>1477</v>
      </c>
      <c r="D29" s="11" t="s">
        <v>1478</v>
      </c>
      <c r="E29" s="11" t="s">
        <v>1477</v>
      </c>
      <c r="F29" s="11" t="s">
        <v>1478</v>
      </c>
      <c r="G29" s="11" t="s">
        <v>1478</v>
      </c>
    </row>
    <row r="30" spans="1:7">
      <c r="A30" s="20">
        <v>45870</v>
      </c>
      <c r="B30" s="21">
        <v>7</v>
      </c>
      <c r="C30" s="11" t="s">
        <v>1478</v>
      </c>
      <c r="D30" s="11" t="s">
        <v>1477</v>
      </c>
      <c r="E30" s="11" t="s">
        <v>1478</v>
      </c>
      <c r="F30" s="11" t="s">
        <v>1478</v>
      </c>
      <c r="G30" s="11" t="s">
        <v>1478</v>
      </c>
    </row>
    <row r="31" spans="1:7">
      <c r="A31" s="20">
        <v>45871</v>
      </c>
      <c r="B31" s="21">
        <v>6</v>
      </c>
      <c r="C31" s="11" t="s">
        <v>1477</v>
      </c>
      <c r="D31" s="11" t="s">
        <v>1478</v>
      </c>
      <c r="E31" s="11" t="s">
        <v>1477</v>
      </c>
      <c r="F31" s="11" t="s">
        <v>1478</v>
      </c>
      <c r="G31" s="11" t="s">
        <v>1478</v>
      </c>
    </row>
    <row r="32" spans="1:7">
      <c r="A32" s="20">
        <v>45872</v>
      </c>
      <c r="B32" s="21">
        <v>6</v>
      </c>
      <c r="C32" s="11" t="s">
        <v>1477</v>
      </c>
      <c r="D32" s="11" t="s">
        <v>1478</v>
      </c>
      <c r="E32" s="11" t="s">
        <v>1478</v>
      </c>
      <c r="F32" s="11" t="s">
        <v>1478</v>
      </c>
      <c r="G32" s="11" t="s">
        <v>1477</v>
      </c>
    </row>
    <row r="33" spans="1:7">
      <c r="A33" s="20">
        <v>45873</v>
      </c>
      <c r="B33" s="21">
        <v>7.5</v>
      </c>
      <c r="C33" s="11" t="s">
        <v>1477</v>
      </c>
      <c r="D33" s="11" t="s">
        <v>1477</v>
      </c>
      <c r="E33" s="11" t="s">
        <v>1477</v>
      </c>
      <c r="F33" s="11" t="s">
        <v>1478</v>
      </c>
      <c r="G33" s="11" t="s">
        <v>1478</v>
      </c>
    </row>
    <row r="34" spans="1:7">
      <c r="A34" s="20">
        <v>45874</v>
      </c>
      <c r="B34" s="21">
        <v>7</v>
      </c>
      <c r="C34" s="11" t="s">
        <v>1477</v>
      </c>
      <c r="D34" s="11" t="s">
        <v>1477</v>
      </c>
      <c r="E34" s="11" t="s">
        <v>1477</v>
      </c>
      <c r="F34" s="11" t="s">
        <v>1478</v>
      </c>
      <c r="G34" s="11" t="s">
        <v>1478</v>
      </c>
    </row>
    <row r="35" spans="1:7">
      <c r="A35" s="20">
        <v>45875</v>
      </c>
      <c r="B35" s="21">
        <v>6.5</v>
      </c>
      <c r="C35" s="11" t="s">
        <v>1478</v>
      </c>
      <c r="D35" s="11" t="s">
        <v>1477</v>
      </c>
      <c r="E35" s="11" t="s">
        <v>1478</v>
      </c>
      <c r="F35" s="11" t="s">
        <v>1478</v>
      </c>
      <c r="G35" s="11" t="s">
        <v>1478</v>
      </c>
    </row>
    <row r="36" spans="1:7">
      <c r="A36" s="20">
        <v>45876</v>
      </c>
      <c r="B36" s="21">
        <v>7</v>
      </c>
      <c r="C36" s="11" t="s">
        <v>1478</v>
      </c>
      <c r="D36" s="11" t="s">
        <v>1478</v>
      </c>
      <c r="E36" s="11" t="s">
        <v>1477</v>
      </c>
      <c r="F36" s="11" t="s">
        <v>1478</v>
      </c>
      <c r="G36" s="11" t="s">
        <v>1478</v>
      </c>
    </row>
    <row r="37" spans="1:7">
      <c r="A37" s="20">
        <v>45877</v>
      </c>
      <c r="B37" s="21">
        <v>7.5</v>
      </c>
      <c r="C37" s="11" t="s">
        <v>1478</v>
      </c>
      <c r="D37" s="11" t="s">
        <v>1478</v>
      </c>
      <c r="E37" s="11" t="s">
        <v>1477</v>
      </c>
      <c r="F37" s="11" t="s">
        <v>1478</v>
      </c>
      <c r="G37" s="11" t="s">
        <v>1478</v>
      </c>
    </row>
    <row r="38" spans="1:7">
      <c r="A38" s="20">
        <v>45878</v>
      </c>
      <c r="B38" s="21">
        <v>6</v>
      </c>
      <c r="C38" s="11" t="s">
        <v>1477</v>
      </c>
      <c r="D38" s="11" t="s">
        <v>1477</v>
      </c>
      <c r="E38" s="11" t="s">
        <v>1477</v>
      </c>
      <c r="F38" s="11" t="s">
        <v>1478</v>
      </c>
      <c r="G38" s="11" t="s">
        <v>1478</v>
      </c>
    </row>
    <row r="39" spans="1:7">
      <c r="A39" s="20">
        <v>45879</v>
      </c>
      <c r="B39" s="21">
        <v>8</v>
      </c>
      <c r="C39" s="11" t="s">
        <v>1477</v>
      </c>
      <c r="D39" s="11" t="s">
        <v>1478</v>
      </c>
      <c r="E39" s="11" t="s">
        <v>1478</v>
      </c>
      <c r="F39" s="11" t="s">
        <v>1478</v>
      </c>
      <c r="G39" s="11" t="s">
        <v>1478</v>
      </c>
    </row>
    <row r="40" spans="1:7">
      <c r="A40" s="20">
        <v>45880</v>
      </c>
      <c r="B40" s="21">
        <v>7</v>
      </c>
      <c r="C40" s="11" t="s">
        <v>1477</v>
      </c>
      <c r="D40" s="11" t="s">
        <v>1478</v>
      </c>
      <c r="E40" s="11" t="s">
        <v>1478</v>
      </c>
      <c r="F40" s="11" t="s">
        <v>1478</v>
      </c>
      <c r="G40" s="11" t="s">
        <v>1478</v>
      </c>
    </row>
    <row r="41" spans="1:7">
      <c r="A41" s="20">
        <v>45881</v>
      </c>
      <c r="B41" s="21">
        <v>8.5</v>
      </c>
      <c r="C41" s="11" t="s">
        <v>1478</v>
      </c>
      <c r="D41" s="11" t="s">
        <v>1477</v>
      </c>
      <c r="E41" s="11" t="s">
        <v>1477</v>
      </c>
      <c r="F41" s="11" t="s">
        <v>1478</v>
      </c>
      <c r="G41" s="11" t="s">
        <v>1478</v>
      </c>
    </row>
    <row r="42" spans="1:7">
      <c r="A42" s="20">
        <v>45882</v>
      </c>
      <c r="B42" s="21">
        <v>7.5</v>
      </c>
      <c r="C42" s="11" t="s">
        <v>1478</v>
      </c>
      <c r="D42" s="11" t="s">
        <v>1477</v>
      </c>
      <c r="E42" s="11" t="s">
        <v>1478</v>
      </c>
      <c r="F42" s="11" t="s">
        <v>1478</v>
      </c>
      <c r="G42" s="11" t="s">
        <v>1478</v>
      </c>
    </row>
    <row r="43" spans="1:7">
      <c r="A43" s="20">
        <v>45883</v>
      </c>
      <c r="B43" s="21">
        <v>8</v>
      </c>
      <c r="C43" s="11" t="s">
        <v>1477</v>
      </c>
      <c r="D43" s="11" t="s">
        <v>1477</v>
      </c>
      <c r="E43" s="11" t="s">
        <v>1478</v>
      </c>
      <c r="F43" s="11" t="s">
        <v>1478</v>
      </c>
      <c r="G43" s="11" t="s">
        <v>1478</v>
      </c>
    </row>
    <row r="44" spans="1:7">
      <c r="A44" s="20">
        <v>45884</v>
      </c>
      <c r="B44" s="21">
        <v>8</v>
      </c>
      <c r="C44" s="11" t="s">
        <v>1478</v>
      </c>
      <c r="D44" s="11" t="s">
        <v>1478</v>
      </c>
      <c r="E44" s="11" t="s">
        <v>1478</v>
      </c>
      <c r="F44" s="11" t="s">
        <v>1478</v>
      </c>
      <c r="G44" s="11" t="s">
        <v>1478</v>
      </c>
    </row>
    <row r="45" spans="1:7">
      <c r="A45" s="20">
        <v>45885</v>
      </c>
      <c r="B45" s="21">
        <v>8</v>
      </c>
      <c r="C45" s="11" t="s">
        <v>1477</v>
      </c>
      <c r="D45" s="11" t="s">
        <v>1478</v>
      </c>
      <c r="E45" s="11" t="s">
        <v>1477</v>
      </c>
      <c r="F45" s="11" t="s">
        <v>1478</v>
      </c>
      <c r="G45" s="11" t="s">
        <v>1478</v>
      </c>
    </row>
    <row r="46" spans="1:7">
      <c r="A46" s="20">
        <v>45886</v>
      </c>
      <c r="B46" s="21">
        <v>8.5</v>
      </c>
      <c r="C46" s="11" t="s">
        <v>1477</v>
      </c>
      <c r="D46" s="11" t="s">
        <v>1477</v>
      </c>
      <c r="E46" s="11" t="s">
        <v>1477</v>
      </c>
      <c r="F46" s="11" t="s">
        <v>1478</v>
      </c>
      <c r="G46" s="11" t="s">
        <v>1478</v>
      </c>
    </row>
    <row r="47" spans="1:7">
      <c r="A47" s="20">
        <v>45887</v>
      </c>
      <c r="B47" s="21">
        <v>6</v>
      </c>
      <c r="C47" s="11" t="s">
        <v>1478</v>
      </c>
      <c r="D47" s="11" t="s">
        <v>1478</v>
      </c>
      <c r="E47" s="11" t="s">
        <v>1477</v>
      </c>
      <c r="F47" s="11" t="s">
        <v>1478</v>
      </c>
      <c r="G47" s="11" t="s">
        <v>1478</v>
      </c>
    </row>
    <row r="48" spans="1:7">
      <c r="A48" s="20">
        <v>45888</v>
      </c>
      <c r="B48" s="21">
        <v>7.5</v>
      </c>
      <c r="C48" s="11" t="s">
        <v>1478</v>
      </c>
      <c r="D48" s="11" t="s">
        <v>1478</v>
      </c>
      <c r="E48" s="11" t="s">
        <v>1478</v>
      </c>
      <c r="F48" s="11" t="s">
        <v>1477</v>
      </c>
      <c r="G48" s="11" t="s">
        <v>1478</v>
      </c>
    </row>
    <row r="49" spans="1:7">
      <c r="A49" s="20">
        <v>45889</v>
      </c>
      <c r="B49" s="21">
        <v>5</v>
      </c>
      <c r="C49" s="11" t="s">
        <v>1477</v>
      </c>
      <c r="D49" s="11" t="s">
        <v>1478</v>
      </c>
      <c r="E49" s="11" t="s">
        <v>1477</v>
      </c>
      <c r="F49" s="11" t="s">
        <v>1477</v>
      </c>
      <c r="G49" s="11" t="s">
        <v>1478</v>
      </c>
    </row>
    <row r="50" spans="1:7">
      <c r="A50" s="20">
        <v>45890</v>
      </c>
      <c r="B50" s="21">
        <v>5</v>
      </c>
      <c r="C50" s="11" t="s">
        <v>1477</v>
      </c>
      <c r="D50" s="11" t="s">
        <v>1478</v>
      </c>
      <c r="E50" s="11" t="s">
        <v>1477</v>
      </c>
      <c r="F50" s="11" t="s">
        <v>1477</v>
      </c>
      <c r="G50" s="11" t="s">
        <v>1478</v>
      </c>
    </row>
    <row r="51" spans="1:7">
      <c r="A51" s="20">
        <v>45891</v>
      </c>
      <c r="B51" s="21">
        <v>3</v>
      </c>
      <c r="C51" s="11" t="s">
        <v>1478</v>
      </c>
      <c r="D51" s="11" t="s">
        <v>1478</v>
      </c>
      <c r="E51" s="11" t="s">
        <v>1477</v>
      </c>
      <c r="F51" s="11" t="s">
        <v>1478</v>
      </c>
      <c r="G51" s="11" t="s">
        <v>1478</v>
      </c>
    </row>
    <row r="52" spans="1:7">
      <c r="A52" s="20">
        <v>45892</v>
      </c>
      <c r="B52" s="21">
        <v>5.5</v>
      </c>
      <c r="C52" s="11" t="s">
        <v>1477</v>
      </c>
      <c r="D52" s="11" t="s">
        <v>1478</v>
      </c>
      <c r="E52" s="11" t="s">
        <v>1477</v>
      </c>
      <c r="F52" s="11" t="s">
        <v>1478</v>
      </c>
      <c r="G52" s="11" t="s">
        <v>1478</v>
      </c>
    </row>
    <row r="53" spans="1:7">
      <c r="A53" s="20">
        <v>45893</v>
      </c>
      <c r="B53" s="21">
        <v>5</v>
      </c>
      <c r="C53" s="11" t="s">
        <v>1477</v>
      </c>
      <c r="D53" s="11" t="s">
        <v>1477</v>
      </c>
      <c r="E53" s="11" t="s">
        <v>1478</v>
      </c>
      <c r="F53" s="11" t="s">
        <v>1478</v>
      </c>
      <c r="G53" s="11" t="s">
        <v>1478</v>
      </c>
    </row>
    <row r="54" spans="1:7">
      <c r="A54" s="20">
        <v>45894</v>
      </c>
      <c r="B54" s="21">
        <v>6</v>
      </c>
      <c r="C54" s="11" t="s">
        <v>1478</v>
      </c>
      <c r="D54" s="11" t="s">
        <v>1477</v>
      </c>
      <c r="E54" s="11" t="s">
        <v>1478</v>
      </c>
      <c r="F54" s="11" t="s">
        <v>1478</v>
      </c>
      <c r="G54" s="11" t="s">
        <v>1478</v>
      </c>
    </row>
    <row r="55" spans="1:7">
      <c r="A55" s="20">
        <v>45895</v>
      </c>
      <c r="B55" s="21">
        <v>5</v>
      </c>
      <c r="C55" s="11" t="s">
        <v>1477</v>
      </c>
      <c r="D55" s="11" t="s">
        <v>1477</v>
      </c>
      <c r="E55" s="11" t="s">
        <v>1477</v>
      </c>
      <c r="F55" s="11" t="s">
        <v>1478</v>
      </c>
      <c r="G55" s="11" t="s">
        <v>1478</v>
      </c>
    </row>
    <row r="56" spans="1:7">
      <c r="A56" s="20">
        <v>45896</v>
      </c>
      <c r="B56" s="21">
        <v>7.7</v>
      </c>
      <c r="C56" s="11" t="s">
        <v>1477</v>
      </c>
      <c r="D56" s="11" t="s">
        <v>1477</v>
      </c>
      <c r="E56" s="11" t="s">
        <v>1477</v>
      </c>
      <c r="F56" s="11" t="s">
        <v>1478</v>
      </c>
      <c r="G56" s="11" t="s">
        <v>1478</v>
      </c>
    </row>
    <row r="57" spans="1:7">
      <c r="A57" s="20">
        <v>45897</v>
      </c>
      <c r="B57" s="21">
        <v>3</v>
      </c>
      <c r="C57" s="11" t="s">
        <v>1478</v>
      </c>
      <c r="D57" s="11" t="s">
        <v>1478</v>
      </c>
      <c r="E57" s="11" t="s">
        <v>1477</v>
      </c>
      <c r="F57" s="11" t="s">
        <v>1478</v>
      </c>
      <c r="G57" s="11" t="s">
        <v>1478</v>
      </c>
    </row>
    <row r="58" spans="1:7">
      <c r="A58" s="20">
        <v>45898</v>
      </c>
      <c r="B58" s="21">
        <v>7</v>
      </c>
      <c r="C58" s="11" t="s">
        <v>1477</v>
      </c>
      <c r="D58" s="11" t="s">
        <v>1478</v>
      </c>
      <c r="E58" s="11" t="s">
        <v>1477</v>
      </c>
      <c r="F58" s="11" t="s">
        <v>1478</v>
      </c>
      <c r="G58" s="11" t="s">
        <v>1478</v>
      </c>
    </row>
    <row r="59" spans="1:7">
      <c r="A59" s="20">
        <v>45899</v>
      </c>
      <c r="B59" s="21">
        <v>7</v>
      </c>
      <c r="C59" s="11" t="s">
        <v>1478</v>
      </c>
      <c r="D59" s="11" t="s">
        <v>1478</v>
      </c>
      <c r="E59" s="11" t="s">
        <v>1478</v>
      </c>
      <c r="F59" s="11" t="s">
        <v>1478</v>
      </c>
      <c r="G59" s="11" t="s">
        <v>1478</v>
      </c>
    </row>
    <row r="60" spans="1:7">
      <c r="A60" s="20">
        <v>45900</v>
      </c>
      <c r="B60" s="21">
        <v>6</v>
      </c>
      <c r="C60" s="11" t="s">
        <v>1478</v>
      </c>
      <c r="D60" s="11" t="s">
        <v>1478</v>
      </c>
      <c r="E60" s="11" t="s">
        <v>1478</v>
      </c>
      <c r="F60" s="11" t="s">
        <v>1478</v>
      </c>
      <c r="G60" s="11" t="s">
        <v>1478</v>
      </c>
    </row>
    <row r="61" spans="1:7">
      <c r="A61" s="20">
        <v>45901</v>
      </c>
      <c r="B61" s="21">
        <v>5</v>
      </c>
      <c r="C61" s="11" t="s">
        <v>1477</v>
      </c>
      <c r="D61" s="11" t="s">
        <v>1477</v>
      </c>
      <c r="E61" s="11" t="s">
        <v>1477</v>
      </c>
      <c r="F61" s="11" t="s">
        <v>1478</v>
      </c>
      <c r="G61" s="11" t="s">
        <v>1478</v>
      </c>
    </row>
    <row r="62" spans="1:7">
      <c r="A62" s="20">
        <v>45902</v>
      </c>
      <c r="B62" s="21">
        <v>6</v>
      </c>
      <c r="C62" s="11" t="s">
        <v>1478</v>
      </c>
      <c r="D62" s="11" t="s">
        <v>1478</v>
      </c>
      <c r="E62" s="11" t="s">
        <v>1478</v>
      </c>
      <c r="F62" s="11" t="s">
        <v>1478</v>
      </c>
      <c r="G62" s="11" t="s">
        <v>1478</v>
      </c>
    </row>
    <row r="63" spans="1:7">
      <c r="A63" s="20">
        <v>45903</v>
      </c>
      <c r="B63" s="21">
        <v>8.5</v>
      </c>
      <c r="C63" s="11" t="s">
        <v>1477</v>
      </c>
      <c r="D63" s="11" t="s">
        <v>1478</v>
      </c>
      <c r="E63" s="11" t="s">
        <v>1478</v>
      </c>
      <c r="F63" s="11" t="s">
        <v>1478</v>
      </c>
      <c r="G63" s="11" t="s">
        <v>1478</v>
      </c>
    </row>
    <row r="64" spans="1:7">
      <c r="A64" s="20">
        <v>45904</v>
      </c>
      <c r="B64" s="21">
        <v>6</v>
      </c>
      <c r="C64" s="11" t="s">
        <v>1478</v>
      </c>
      <c r="D64" s="11" t="s">
        <v>1477</v>
      </c>
      <c r="E64" s="11" t="s">
        <v>1478</v>
      </c>
      <c r="F64" s="11" t="s">
        <v>1478</v>
      </c>
      <c r="G64" s="11" t="s">
        <v>1478</v>
      </c>
    </row>
    <row r="65" spans="1:7">
      <c r="A65" s="20">
        <v>45905</v>
      </c>
      <c r="B65" s="21">
        <v>7</v>
      </c>
      <c r="C65" s="11" t="s">
        <v>1477</v>
      </c>
      <c r="D65" s="11" t="s">
        <v>1478</v>
      </c>
      <c r="E65" s="11" t="s">
        <v>1478</v>
      </c>
      <c r="F65" s="11" t="s">
        <v>1478</v>
      </c>
      <c r="G65" s="11" t="s">
        <v>1478</v>
      </c>
    </row>
    <row r="66" spans="1:7">
      <c r="A66" s="20">
        <v>45906</v>
      </c>
      <c r="B66" s="21">
        <v>7</v>
      </c>
      <c r="C66" s="11" t="s">
        <v>1477</v>
      </c>
      <c r="D66" s="11" t="s">
        <v>1477</v>
      </c>
      <c r="E66" s="11" t="s">
        <v>1478</v>
      </c>
      <c r="F66" s="11" t="s">
        <v>1478</v>
      </c>
      <c r="G66" s="11" t="s">
        <v>1478</v>
      </c>
    </row>
    <row r="67" spans="1:7">
      <c r="A67" s="20">
        <v>45907</v>
      </c>
      <c r="B67" s="21">
        <v>6</v>
      </c>
      <c r="C67" s="11" t="s">
        <v>1477</v>
      </c>
      <c r="D67" s="11" t="s">
        <v>1477</v>
      </c>
      <c r="E67" s="11" t="s">
        <v>1478</v>
      </c>
      <c r="F67" s="11" t="s">
        <v>1478</v>
      </c>
      <c r="G67" s="11" t="s">
        <v>1478</v>
      </c>
    </row>
    <row r="68" spans="1:7">
      <c r="A68" s="20">
        <v>45908</v>
      </c>
      <c r="B68" s="21">
        <v>5</v>
      </c>
      <c r="C68" s="11" t="s">
        <v>1478</v>
      </c>
      <c r="D68" s="11" t="s">
        <v>1478</v>
      </c>
      <c r="E68" s="11" t="s">
        <v>1478</v>
      </c>
      <c r="F68" s="11" t="s">
        <v>1478</v>
      </c>
      <c r="G68" s="11" t="s">
        <v>1478</v>
      </c>
    </row>
    <row r="69" spans="1:7">
      <c r="A69" s="20">
        <v>45909</v>
      </c>
      <c r="B69" s="21">
        <v>5.5</v>
      </c>
      <c r="C69" s="11" t="s">
        <v>1478</v>
      </c>
      <c r="D69" s="11" t="s">
        <v>1478</v>
      </c>
      <c r="E69" s="11" t="s">
        <v>1478</v>
      </c>
      <c r="F69" s="11" t="s">
        <v>1478</v>
      </c>
      <c r="G69" s="11" t="s">
        <v>1478</v>
      </c>
    </row>
    <row r="70" spans="1:7">
      <c r="A70" s="20">
        <v>45910</v>
      </c>
      <c r="B70" s="21">
        <v>7</v>
      </c>
      <c r="C70" s="11" t="s">
        <v>1478</v>
      </c>
      <c r="D70" s="11" t="s">
        <v>1477</v>
      </c>
      <c r="E70" s="11" t="s">
        <v>1478</v>
      </c>
      <c r="F70" s="11" t="s">
        <v>1478</v>
      </c>
      <c r="G70" s="11" t="s">
        <v>1477</v>
      </c>
    </row>
    <row r="71" spans="1:7">
      <c r="A71" s="20">
        <v>45911</v>
      </c>
      <c r="B71" s="21">
        <v>7</v>
      </c>
      <c r="C71" s="11" t="s">
        <v>1477</v>
      </c>
      <c r="D71" s="11" t="s">
        <v>1478</v>
      </c>
      <c r="E71" s="11" t="s">
        <v>1477</v>
      </c>
      <c r="F71" s="11" t="s">
        <v>1478</v>
      </c>
      <c r="G71" s="11" t="s">
        <v>1478</v>
      </c>
    </row>
    <row r="72" spans="1:7">
      <c r="A72" s="20">
        <v>45912</v>
      </c>
      <c r="B72" s="21">
        <v>6</v>
      </c>
      <c r="C72" s="11" t="s">
        <v>1478</v>
      </c>
      <c r="D72" s="11" t="s">
        <v>1478</v>
      </c>
      <c r="E72" s="11" t="s">
        <v>1478</v>
      </c>
      <c r="F72" s="11" t="s">
        <v>1478</v>
      </c>
      <c r="G72" s="11" t="s">
        <v>1478</v>
      </c>
    </row>
    <row r="73" spans="1:7">
      <c r="A73" s="20">
        <v>45913</v>
      </c>
      <c r="B73" s="21">
        <v>7</v>
      </c>
      <c r="C73" s="11" t="s">
        <v>1478</v>
      </c>
      <c r="D73" s="11" t="s">
        <v>1477</v>
      </c>
      <c r="E73" s="11" t="s">
        <v>1478</v>
      </c>
      <c r="F73" s="11" t="s">
        <v>1478</v>
      </c>
      <c r="G73" s="11" t="s">
        <v>1477</v>
      </c>
    </row>
    <row r="74" spans="1:7">
      <c r="A74" s="20">
        <v>45914</v>
      </c>
      <c r="B74" s="21">
        <v>8</v>
      </c>
      <c r="C74" s="11" t="s">
        <v>1478</v>
      </c>
      <c r="D74" s="11" t="s">
        <v>1477</v>
      </c>
      <c r="E74" s="11" t="s">
        <v>1478</v>
      </c>
      <c r="F74" s="11" t="s">
        <v>1478</v>
      </c>
      <c r="G74" s="11" t="s">
        <v>1477</v>
      </c>
    </row>
    <row r="75" spans="1:7">
      <c r="A75" s="20">
        <v>45915</v>
      </c>
      <c r="B75" s="21">
        <v>7</v>
      </c>
      <c r="C75" s="11" t="s">
        <v>1478</v>
      </c>
      <c r="D75" s="11" t="s">
        <v>1477</v>
      </c>
      <c r="E75" s="11" t="s">
        <v>1477</v>
      </c>
      <c r="F75" s="11" t="s">
        <v>1478</v>
      </c>
      <c r="G75" s="11" t="s">
        <v>1477</v>
      </c>
    </row>
    <row r="76" spans="1:7">
      <c r="A76" s="20">
        <v>45916</v>
      </c>
      <c r="B76" s="21">
        <v>6</v>
      </c>
      <c r="C76" s="11" t="s">
        <v>1478</v>
      </c>
      <c r="D76" s="11" t="s">
        <v>1477</v>
      </c>
      <c r="E76" s="11" t="s">
        <v>1478</v>
      </c>
      <c r="F76" s="11" t="s">
        <v>1478</v>
      </c>
      <c r="G76" s="11" t="s">
        <v>1478</v>
      </c>
    </row>
    <row r="77" spans="1:7">
      <c r="A77" s="20">
        <v>45917</v>
      </c>
      <c r="B77" s="21">
        <v>4.5</v>
      </c>
      <c r="C77" s="11" t="s">
        <v>1477</v>
      </c>
      <c r="D77" s="11" t="s">
        <v>1478</v>
      </c>
      <c r="E77" s="11" t="s">
        <v>1478</v>
      </c>
      <c r="F77" s="11" t="s">
        <v>1478</v>
      </c>
      <c r="G77" s="11" t="s">
        <v>1477</v>
      </c>
    </row>
    <row r="78" spans="1:7">
      <c r="A78" s="20">
        <v>45918</v>
      </c>
      <c r="B78" s="21">
        <v>6</v>
      </c>
      <c r="C78" s="11" t="s">
        <v>1478</v>
      </c>
      <c r="D78" s="11" t="s">
        <v>1478</v>
      </c>
      <c r="E78" s="11" t="s">
        <v>1477</v>
      </c>
      <c r="F78" s="11" t="s">
        <v>1478</v>
      </c>
      <c r="G78" s="11" t="s">
        <v>1477</v>
      </c>
    </row>
    <row r="79" spans="1:7">
      <c r="A79" s="20">
        <v>45919</v>
      </c>
      <c r="B79" s="21">
        <v>7.5</v>
      </c>
      <c r="C79" s="11" t="s">
        <v>1477</v>
      </c>
      <c r="D79" s="11" t="s">
        <v>1477</v>
      </c>
      <c r="E79" s="11" t="s">
        <v>1477</v>
      </c>
      <c r="F79" s="11" t="s">
        <v>1478</v>
      </c>
      <c r="G79" s="11" t="s">
        <v>1478</v>
      </c>
    </row>
    <row r="80" spans="1:7">
      <c r="A80" s="20">
        <v>45920</v>
      </c>
      <c r="B80" s="21">
        <v>6</v>
      </c>
      <c r="C80" s="11" t="s">
        <v>1477</v>
      </c>
      <c r="D80" s="11" t="s">
        <v>1478</v>
      </c>
      <c r="E80" s="11" t="s">
        <v>1477</v>
      </c>
      <c r="F80" s="11" t="s">
        <v>1478</v>
      </c>
      <c r="G80" s="11" t="s">
        <v>1478</v>
      </c>
    </row>
    <row r="81" spans="1:7">
      <c r="A81" s="20">
        <v>45921</v>
      </c>
      <c r="B81" s="21">
        <v>6</v>
      </c>
      <c r="C81" s="11" t="s">
        <v>1478</v>
      </c>
      <c r="D81" s="11" t="s">
        <v>1478</v>
      </c>
      <c r="E81" s="11" t="s">
        <v>1477</v>
      </c>
      <c r="F81" s="11" t="s">
        <v>1478</v>
      </c>
      <c r="G81" s="11" t="s">
        <v>1478</v>
      </c>
    </row>
    <row r="82" spans="1:7">
      <c r="A82" s="20">
        <v>45922</v>
      </c>
      <c r="B82" s="21">
        <v>5</v>
      </c>
      <c r="C82" s="11" t="s">
        <v>1477</v>
      </c>
      <c r="D82" s="11" t="s">
        <v>1478</v>
      </c>
      <c r="E82" s="11" t="s">
        <v>1477</v>
      </c>
      <c r="F82" s="11" t="s">
        <v>1478</v>
      </c>
      <c r="G82" s="11" t="s">
        <v>1478</v>
      </c>
    </row>
    <row r="83" spans="1:7">
      <c r="A83" s="20">
        <v>45923</v>
      </c>
      <c r="B83" s="21">
        <v>7</v>
      </c>
      <c r="C83" s="11" t="s">
        <v>1478</v>
      </c>
      <c r="D83" s="11" t="s">
        <v>1478</v>
      </c>
      <c r="E83" s="11" t="s">
        <v>1478</v>
      </c>
      <c r="F83" s="11" t="s">
        <v>1478</v>
      </c>
      <c r="G83" s="11" t="s">
        <v>1478</v>
      </c>
    </row>
    <row r="84" spans="1:7">
      <c r="A84" s="20">
        <v>45924</v>
      </c>
      <c r="B84" s="21">
        <v>6</v>
      </c>
      <c r="C84" s="11" t="s">
        <v>1477</v>
      </c>
      <c r="D84" s="11" t="s">
        <v>1478</v>
      </c>
      <c r="E84" s="11" t="s">
        <v>1477</v>
      </c>
      <c r="F84" s="11" t="s">
        <v>1478</v>
      </c>
      <c r="G84" s="11" t="s">
        <v>1478</v>
      </c>
    </row>
    <row r="85" spans="1:7">
      <c r="A85" s="20">
        <v>45925</v>
      </c>
      <c r="B85" s="21">
        <v>6</v>
      </c>
      <c r="C85" s="11" t="s">
        <v>1478</v>
      </c>
      <c r="D85" s="11" t="s">
        <v>1478</v>
      </c>
      <c r="E85" s="11" t="s">
        <v>1477</v>
      </c>
      <c r="F85" s="11" t="s">
        <v>1478</v>
      </c>
      <c r="G85" s="11" t="s">
        <v>1478</v>
      </c>
    </row>
    <row r="86" spans="1:7">
      <c r="A86" s="20">
        <v>45926</v>
      </c>
      <c r="B86" s="21">
        <v>8</v>
      </c>
      <c r="C86" s="11" t="s">
        <v>1478</v>
      </c>
      <c r="D86" s="11" t="s">
        <v>1478</v>
      </c>
      <c r="E86" s="11" t="s">
        <v>1477</v>
      </c>
      <c r="F86" s="11" t="s">
        <v>1478</v>
      </c>
      <c r="G86" s="11" t="s">
        <v>1478</v>
      </c>
    </row>
    <row r="87" spans="1:7">
      <c r="A87" s="20">
        <v>45927</v>
      </c>
      <c r="B87" s="21">
        <v>7</v>
      </c>
      <c r="C87" s="11" t="s">
        <v>1477</v>
      </c>
      <c r="D87" s="11" t="s">
        <v>1478</v>
      </c>
      <c r="E87" s="11" t="s">
        <v>1478</v>
      </c>
      <c r="F87" s="11" t="s">
        <v>1478</v>
      </c>
      <c r="G87" s="11" t="s">
        <v>1478</v>
      </c>
    </row>
    <row r="88" spans="1:7">
      <c r="A88" s="20">
        <v>45928</v>
      </c>
      <c r="B88" s="21">
        <v>6</v>
      </c>
      <c r="C88" s="11" t="s">
        <v>1478</v>
      </c>
      <c r="D88" s="11" t="s">
        <v>1478</v>
      </c>
      <c r="E88" s="11" t="s">
        <v>1478</v>
      </c>
      <c r="F88" s="11" t="s">
        <v>1478</v>
      </c>
      <c r="G88" s="11" t="s">
        <v>1477</v>
      </c>
    </row>
    <row r="89" spans="1:7">
      <c r="A89" s="20">
        <v>45929</v>
      </c>
      <c r="B89" s="21">
        <v>5</v>
      </c>
      <c r="C89" s="11" t="s">
        <v>1478</v>
      </c>
      <c r="D89" s="11" t="s">
        <v>1478</v>
      </c>
      <c r="E89" s="11" t="s">
        <v>1477</v>
      </c>
      <c r="F89" s="11" t="s">
        <v>1478</v>
      </c>
      <c r="G89" s="11" t="s">
        <v>1478</v>
      </c>
    </row>
    <row r="90" spans="1:7">
      <c r="A90" s="20">
        <v>45930</v>
      </c>
      <c r="B90" s="21">
        <v>4</v>
      </c>
      <c r="C90" s="11" t="s">
        <v>1478</v>
      </c>
      <c r="D90" s="11" t="s">
        <v>1478</v>
      </c>
      <c r="E90" s="11" t="s">
        <v>1477</v>
      </c>
      <c r="F90" s="11" t="s">
        <v>1478</v>
      </c>
      <c r="G90" s="11" t="s">
        <v>1478</v>
      </c>
    </row>
    <row r="91" spans="1:7">
      <c r="A91" s="20">
        <v>45931</v>
      </c>
      <c r="B91" s="21">
        <v>4</v>
      </c>
      <c r="C91" s="11" t="s">
        <v>1477</v>
      </c>
      <c r="D91" s="11" t="s">
        <v>1478</v>
      </c>
      <c r="E91" s="11" t="s">
        <v>1478</v>
      </c>
      <c r="F91" s="11" t="s">
        <v>1478</v>
      </c>
      <c r="G91" s="11" t="s">
        <v>1477</v>
      </c>
    </row>
    <row r="92" spans="1:7">
      <c r="A92" s="20">
        <v>45932</v>
      </c>
      <c r="B92" s="21">
        <v>5</v>
      </c>
      <c r="C92" s="11" t="s">
        <v>1478</v>
      </c>
      <c r="D92" s="11" t="s">
        <v>1478</v>
      </c>
      <c r="E92" s="11" t="s">
        <v>1477</v>
      </c>
      <c r="F92" s="11" t="s">
        <v>1478</v>
      </c>
      <c r="G92" s="11" t="s">
        <v>1477</v>
      </c>
    </row>
    <row r="93" spans="1:7">
      <c r="A93" s="20">
        <v>45933</v>
      </c>
      <c r="B93" s="21">
        <v>6.5</v>
      </c>
      <c r="C93" s="11" t="s">
        <v>1477</v>
      </c>
      <c r="D93" s="11" t="s">
        <v>1478</v>
      </c>
      <c r="E93" s="11" t="s">
        <v>1477</v>
      </c>
      <c r="F93" s="11" t="s">
        <v>1478</v>
      </c>
      <c r="G93" s="11" t="s">
        <v>1478</v>
      </c>
    </row>
    <row r="94" spans="1:7">
      <c r="A94" s="20">
        <v>45934</v>
      </c>
      <c r="B94" s="21">
        <v>6.5</v>
      </c>
      <c r="C94" s="11" t="s">
        <v>1477</v>
      </c>
      <c r="D94" s="11" t="s">
        <v>1478</v>
      </c>
      <c r="E94" s="11" t="s">
        <v>1478</v>
      </c>
      <c r="F94" s="11" t="s">
        <v>1478</v>
      </c>
      <c r="G94" s="11" t="s">
        <v>1477</v>
      </c>
    </row>
    <row r="95" spans="1:7">
      <c r="A95" s="20">
        <v>45935</v>
      </c>
      <c r="B95" s="21">
        <v>5</v>
      </c>
      <c r="C95" s="11" t="s">
        <v>1477</v>
      </c>
      <c r="D95" s="11" t="s">
        <v>1478</v>
      </c>
      <c r="E95" s="11" t="s">
        <v>1477</v>
      </c>
      <c r="F95" s="11" t="s">
        <v>1478</v>
      </c>
      <c r="G95" s="11" t="s">
        <v>1477</v>
      </c>
    </row>
    <row r="96" spans="1:7">
      <c r="A96" s="20">
        <v>45936</v>
      </c>
      <c r="B96" s="21">
        <v>7</v>
      </c>
      <c r="C96" s="11" t="s">
        <v>1477</v>
      </c>
      <c r="D96" s="11" t="s">
        <v>1478</v>
      </c>
      <c r="E96" s="11" t="s">
        <v>1477</v>
      </c>
      <c r="F96" s="11" t="s">
        <v>1478</v>
      </c>
      <c r="G96" s="11" t="s">
        <v>1478</v>
      </c>
    </row>
    <row r="97" spans="1:7">
      <c r="A97" s="20">
        <v>45937</v>
      </c>
      <c r="B97" s="21">
        <v>7</v>
      </c>
      <c r="C97" s="11" t="s">
        <v>1478</v>
      </c>
      <c r="D97" s="11" t="s">
        <v>1478</v>
      </c>
      <c r="E97" s="11" t="s">
        <v>1478</v>
      </c>
      <c r="F97" s="11" t="s">
        <v>1478</v>
      </c>
      <c r="G97" s="11" t="s">
        <v>1478</v>
      </c>
    </row>
    <row r="98" spans="1:7">
      <c r="A98" s="20">
        <v>45938</v>
      </c>
      <c r="B98" s="21">
        <v>6</v>
      </c>
      <c r="C98" s="11" t="s">
        <v>1478</v>
      </c>
      <c r="D98" s="11" t="s">
        <v>1477</v>
      </c>
      <c r="E98" s="11" t="s">
        <v>1478</v>
      </c>
      <c r="F98" s="11" t="s">
        <v>1478</v>
      </c>
      <c r="G98" s="11" t="s">
        <v>1478</v>
      </c>
    </row>
    <row r="99" spans="1:7">
      <c r="A99" s="20">
        <v>45939</v>
      </c>
      <c r="B99" s="21">
        <v>5</v>
      </c>
      <c r="C99" s="11" t="s">
        <v>1477</v>
      </c>
      <c r="D99" s="11" t="s">
        <v>1478</v>
      </c>
      <c r="E99" s="11" t="s">
        <v>1478</v>
      </c>
      <c r="F99" s="11" t="s">
        <v>1478</v>
      </c>
      <c r="G99" s="11" t="s">
        <v>1478</v>
      </c>
    </row>
    <row r="100" spans="1:7">
      <c r="A100" s="20">
        <v>45940</v>
      </c>
      <c r="B100" s="21">
        <v>4</v>
      </c>
      <c r="C100" s="11" t="s">
        <v>1478</v>
      </c>
      <c r="D100" s="11" t="s">
        <v>1478</v>
      </c>
      <c r="E100" s="11" t="s">
        <v>1478</v>
      </c>
      <c r="F100" s="11" t="s">
        <v>1478</v>
      </c>
      <c r="G100" s="11" t="s">
        <v>1478</v>
      </c>
    </row>
    <row r="101" spans="1:7">
      <c r="A101" s="20">
        <v>45941</v>
      </c>
      <c r="B101" s="21">
        <v>5</v>
      </c>
      <c r="C101" s="11" t="s">
        <v>1477</v>
      </c>
      <c r="D101" s="11" t="s">
        <v>1478</v>
      </c>
      <c r="E101" s="11" t="s">
        <v>1478</v>
      </c>
      <c r="F101" s="11" t="s">
        <v>1478</v>
      </c>
      <c r="G101" s="11" t="s">
        <v>1478</v>
      </c>
    </row>
    <row r="102" spans="1:7">
      <c r="A102" s="20">
        <v>45942</v>
      </c>
      <c r="B102" s="21">
        <v>2</v>
      </c>
      <c r="C102" s="11" t="s">
        <v>1477</v>
      </c>
      <c r="D102" s="11" t="s">
        <v>1478</v>
      </c>
      <c r="E102" s="11" t="s">
        <v>1477</v>
      </c>
      <c r="F102" s="11" t="s">
        <v>1478</v>
      </c>
      <c r="G102" s="11" t="s">
        <v>1478</v>
      </c>
    </row>
    <row r="103" spans="1:7">
      <c r="A103" s="20">
        <v>45943</v>
      </c>
      <c r="B103" s="21">
        <v>2</v>
      </c>
      <c r="C103" s="11" t="s">
        <v>1477</v>
      </c>
      <c r="D103" s="11" t="s">
        <v>1478</v>
      </c>
      <c r="E103" s="11" t="s">
        <v>1477</v>
      </c>
      <c r="F103" s="11" t="s">
        <v>1478</v>
      </c>
      <c r="G103" s="11" t="s">
        <v>1478</v>
      </c>
    </row>
    <row r="104" spans="1:7">
      <c r="A104" s="20">
        <v>45944</v>
      </c>
      <c r="B104" s="21">
        <v>3</v>
      </c>
      <c r="C104" s="11" t="s">
        <v>1478</v>
      </c>
      <c r="D104" s="11" t="s">
        <v>1477</v>
      </c>
      <c r="E104" s="11" t="s">
        <v>1477</v>
      </c>
      <c r="F104" s="11" t="s">
        <v>1478</v>
      </c>
      <c r="G104" s="11" t="s">
        <v>1478</v>
      </c>
    </row>
    <row r="105" spans="1:7">
      <c r="A105" s="20">
        <v>45945</v>
      </c>
      <c r="B105" s="21">
        <v>4</v>
      </c>
      <c r="C105" s="11" t="s">
        <v>1478</v>
      </c>
      <c r="D105" s="11" t="s">
        <v>1478</v>
      </c>
      <c r="E105" s="11" t="s">
        <v>1478</v>
      </c>
      <c r="F105" s="11" t="s">
        <v>1478</v>
      </c>
      <c r="G105" s="11" t="s">
        <v>1477</v>
      </c>
    </row>
    <row r="106" spans="1:7">
      <c r="A106" s="20">
        <v>45946</v>
      </c>
      <c r="B106" s="21">
        <v>6</v>
      </c>
      <c r="C106" s="11" t="s">
        <v>1478</v>
      </c>
      <c r="D106" s="11" t="s">
        <v>1478</v>
      </c>
      <c r="E106" s="11" t="s">
        <v>1478</v>
      </c>
      <c r="F106" s="11" t="s">
        <v>1478</v>
      </c>
      <c r="G106" s="11" t="s">
        <v>1477</v>
      </c>
    </row>
    <row r="107" spans="1:7">
      <c r="A107" s="20">
        <v>45947</v>
      </c>
      <c r="B107" s="21">
        <v>5</v>
      </c>
      <c r="C107" s="11" t="s">
        <v>1478</v>
      </c>
      <c r="D107" s="11" t="s">
        <v>1478</v>
      </c>
      <c r="E107" s="11" t="s">
        <v>1477</v>
      </c>
      <c r="F107" s="11" t="s">
        <v>1478</v>
      </c>
      <c r="G107" s="11" t="s">
        <v>1478</v>
      </c>
    </row>
    <row r="108" spans="1:7">
      <c r="A108" s="20">
        <v>45948</v>
      </c>
      <c r="B108" s="21">
        <v>6</v>
      </c>
      <c r="C108" s="11" t="s">
        <v>1478</v>
      </c>
      <c r="D108" s="11" t="s">
        <v>1478</v>
      </c>
      <c r="E108" s="11" t="s">
        <v>1477</v>
      </c>
      <c r="F108" s="11" t="s">
        <v>1478</v>
      </c>
      <c r="G108" s="11" t="s">
        <v>1478</v>
      </c>
    </row>
    <row r="109" spans="1:7">
      <c r="A109" s="20">
        <v>45949</v>
      </c>
      <c r="B109" s="21">
        <v>6</v>
      </c>
      <c r="C109" s="11" t="s">
        <v>1477</v>
      </c>
      <c r="D109" s="11" t="s">
        <v>1478</v>
      </c>
      <c r="E109" s="11" t="s">
        <v>1478</v>
      </c>
      <c r="F109" s="11" t="s">
        <v>1478</v>
      </c>
      <c r="G109" s="11" t="s">
        <v>1478</v>
      </c>
    </row>
    <row r="110" spans="1:7">
      <c r="A110" s="20">
        <v>45950</v>
      </c>
      <c r="B110" s="21">
        <v>8</v>
      </c>
      <c r="C110" s="11" t="s">
        <v>1478</v>
      </c>
      <c r="D110" s="11" t="s">
        <v>1478</v>
      </c>
      <c r="E110" s="11" t="s">
        <v>1478</v>
      </c>
      <c r="F110" s="11" t="s">
        <v>1478</v>
      </c>
      <c r="G110" s="11" t="s">
        <v>1478</v>
      </c>
    </row>
    <row r="111" spans="1:7">
      <c r="A111" s="20">
        <v>45951</v>
      </c>
      <c r="B111" s="21">
        <v>5</v>
      </c>
      <c r="C111" s="11" t="s">
        <v>1478</v>
      </c>
      <c r="D111" s="11" t="s">
        <v>1478</v>
      </c>
      <c r="E111" s="11" t="s">
        <v>1477</v>
      </c>
      <c r="F111" s="11" t="s">
        <v>1478</v>
      </c>
      <c r="G111" s="11" t="s">
        <v>1478</v>
      </c>
    </row>
    <row r="112" spans="1:7">
      <c r="A112" s="20">
        <v>45952</v>
      </c>
      <c r="B112" s="21">
        <v>4.5</v>
      </c>
      <c r="C112" s="11" t="s">
        <v>1478</v>
      </c>
      <c r="D112" s="11" t="s">
        <v>1478</v>
      </c>
      <c r="E112" s="11" t="s">
        <v>1477</v>
      </c>
      <c r="F112" s="11" t="s">
        <v>1478</v>
      </c>
      <c r="G112" s="11" t="s">
        <v>1478</v>
      </c>
    </row>
    <row r="113" spans="1:7">
      <c r="A113" s="20">
        <v>45953</v>
      </c>
      <c r="B113" s="21">
        <v>5</v>
      </c>
      <c r="C113" s="11" t="s">
        <v>1478</v>
      </c>
      <c r="D113" s="11" t="s">
        <v>1478</v>
      </c>
      <c r="E113" s="11" t="s">
        <v>1478</v>
      </c>
      <c r="F113" s="11" t="s">
        <v>1478</v>
      </c>
      <c r="G113" s="11" t="s">
        <v>1478</v>
      </c>
    </row>
    <row r="114" spans="1:7">
      <c r="A114" s="20">
        <v>45954</v>
      </c>
      <c r="B114" s="21">
        <v>5</v>
      </c>
      <c r="C114" s="11" t="s">
        <v>1478</v>
      </c>
      <c r="D114" s="11" t="s">
        <v>1478</v>
      </c>
      <c r="E114" s="11" t="s">
        <v>1478</v>
      </c>
      <c r="F114" s="11" t="s">
        <v>1478</v>
      </c>
      <c r="G114" s="11" t="s">
        <v>1478</v>
      </c>
    </row>
    <row r="115" spans="1:7">
      <c r="A115" s="20">
        <v>45955</v>
      </c>
      <c r="B115" s="21">
        <v>7.5</v>
      </c>
      <c r="C115" s="11" t="s">
        <v>1478</v>
      </c>
      <c r="D115" s="11" t="s">
        <v>1478</v>
      </c>
      <c r="E115" s="11" t="s">
        <v>1478</v>
      </c>
      <c r="F115" s="11" t="s">
        <v>1478</v>
      </c>
      <c r="G115" s="11" t="s">
        <v>1478</v>
      </c>
    </row>
    <row r="116" spans="1:7">
      <c r="A116" s="20">
        <v>45956</v>
      </c>
      <c r="B116" s="21">
        <v>6.5</v>
      </c>
      <c r="C116" s="11" t="s">
        <v>1477</v>
      </c>
      <c r="D116" s="11" t="s">
        <v>1478</v>
      </c>
      <c r="E116" s="11" t="s">
        <v>1477</v>
      </c>
      <c r="F116" s="11" t="s">
        <v>1478</v>
      </c>
      <c r="G116" s="11" t="s">
        <v>1478</v>
      </c>
    </row>
    <row r="117" spans="1:7">
      <c r="A117" s="20">
        <v>45957</v>
      </c>
      <c r="B117" s="21">
        <v>7</v>
      </c>
      <c r="C117" s="11" t="s">
        <v>1477</v>
      </c>
      <c r="D117" s="11" t="s">
        <v>1478</v>
      </c>
      <c r="E117" s="11" t="s">
        <v>1478</v>
      </c>
      <c r="F117" s="11" t="s">
        <v>1477</v>
      </c>
      <c r="G117" s="11" t="s">
        <v>1478</v>
      </c>
    </row>
    <row r="118" spans="1:7">
      <c r="A118" s="20">
        <v>45958</v>
      </c>
      <c r="B118" s="21">
        <v>6.5</v>
      </c>
      <c r="C118" s="11" t="s">
        <v>1477</v>
      </c>
      <c r="D118" s="11" t="s">
        <v>1478</v>
      </c>
      <c r="E118" s="11" t="s">
        <v>1478</v>
      </c>
      <c r="F118" s="11" t="s">
        <v>1477</v>
      </c>
      <c r="G118" s="11" t="s">
        <v>1478</v>
      </c>
    </row>
    <row r="119" spans="1:7">
      <c r="A119" s="20">
        <v>45959</v>
      </c>
      <c r="B119" s="21">
        <v>7.5</v>
      </c>
      <c r="C119" s="11" t="s">
        <v>1477</v>
      </c>
      <c r="D119" s="11" t="s">
        <v>1478</v>
      </c>
      <c r="E119" s="11" t="s">
        <v>1477</v>
      </c>
      <c r="F119" s="11" t="s">
        <v>1477</v>
      </c>
      <c r="G119" s="11" t="s">
        <v>1478</v>
      </c>
    </row>
    <row r="120" spans="1:7">
      <c r="A120" s="20">
        <v>45960</v>
      </c>
      <c r="B120" s="21">
        <v>7</v>
      </c>
      <c r="C120" s="11" t="s">
        <v>1477</v>
      </c>
      <c r="D120" s="11" t="s">
        <v>1478</v>
      </c>
      <c r="E120" s="11" t="s">
        <v>1478</v>
      </c>
      <c r="F120" s="11" t="s">
        <v>1478</v>
      </c>
      <c r="G120" s="11" t="s">
        <v>1477</v>
      </c>
    </row>
    <row r="121" spans="1:7">
      <c r="A121" s="20">
        <v>45961</v>
      </c>
      <c r="B121" s="21">
        <v>6</v>
      </c>
      <c r="C121" s="11" t="s">
        <v>1478</v>
      </c>
      <c r="D121" s="11" t="s">
        <v>1478</v>
      </c>
      <c r="E121" s="11" t="s">
        <v>1478</v>
      </c>
      <c r="F121" s="11" t="s">
        <v>1478</v>
      </c>
      <c r="G121" s="11" t="s">
        <v>1478</v>
      </c>
    </row>
    <row r="122" spans="1:7">
      <c r="A122" s="20">
        <v>45962</v>
      </c>
      <c r="B122" s="21">
        <v>5.5</v>
      </c>
      <c r="C122" s="11" t="s">
        <v>1478</v>
      </c>
      <c r="D122" s="11" t="s">
        <v>1478</v>
      </c>
      <c r="E122" s="11" t="s">
        <v>1477</v>
      </c>
      <c r="F122" s="11" t="s">
        <v>1478</v>
      </c>
      <c r="G122" s="11" t="s">
        <v>1478</v>
      </c>
    </row>
    <row r="123" spans="1:7">
      <c r="A123" s="20">
        <v>45963</v>
      </c>
      <c r="B123" s="21">
        <v>6</v>
      </c>
      <c r="C123" s="11" t="s">
        <v>1477</v>
      </c>
      <c r="D123" s="11" t="s">
        <v>1478</v>
      </c>
      <c r="E123" s="11" t="s">
        <v>1478</v>
      </c>
      <c r="F123" s="11" t="s">
        <v>1478</v>
      </c>
      <c r="G123" s="11" t="s">
        <v>1478</v>
      </c>
    </row>
    <row r="124" spans="1:7">
      <c r="A124" s="20">
        <v>45964</v>
      </c>
      <c r="B124" s="21">
        <v>4</v>
      </c>
      <c r="C124" s="11" t="s">
        <v>1478</v>
      </c>
      <c r="D124" s="11" t="s">
        <v>1478</v>
      </c>
      <c r="E124" s="11" t="s">
        <v>1477</v>
      </c>
      <c r="F124" s="11" t="s">
        <v>1478</v>
      </c>
      <c r="G124" s="11" t="s">
        <v>1478</v>
      </c>
    </row>
    <row r="125" spans="1:7">
      <c r="A125" s="20">
        <v>45965</v>
      </c>
      <c r="B125" s="21">
        <v>5</v>
      </c>
      <c r="C125" s="11" t="s">
        <v>1477</v>
      </c>
      <c r="D125" s="11" t="s">
        <v>1478</v>
      </c>
      <c r="E125" s="11" t="s">
        <v>1477</v>
      </c>
      <c r="F125" s="11" t="s">
        <v>1477</v>
      </c>
      <c r="G125" s="11" t="s">
        <v>1478</v>
      </c>
    </row>
    <row r="126" spans="1:7">
      <c r="A126" s="20">
        <v>45966</v>
      </c>
      <c r="B126" s="21">
        <v>6.5</v>
      </c>
      <c r="C126" s="11" t="s">
        <v>1478</v>
      </c>
      <c r="D126" s="11" t="s">
        <v>1478</v>
      </c>
      <c r="E126" s="11" t="s">
        <v>1477</v>
      </c>
      <c r="F126" s="11" t="s">
        <v>1477</v>
      </c>
      <c r="G126" s="11" t="s">
        <v>1478</v>
      </c>
    </row>
    <row r="127" spans="1:7">
      <c r="A127" s="20">
        <v>45967</v>
      </c>
      <c r="B127" s="21">
        <v>4</v>
      </c>
      <c r="C127" s="11" t="s">
        <v>1477</v>
      </c>
      <c r="D127" s="11" t="s">
        <v>1478</v>
      </c>
      <c r="E127" s="11" t="s">
        <v>1478</v>
      </c>
      <c r="F127" s="11" t="s">
        <v>1477</v>
      </c>
      <c r="G127" s="11" t="s">
        <v>1478</v>
      </c>
    </row>
    <row r="128" spans="1:7">
      <c r="A128" s="20">
        <v>45968</v>
      </c>
      <c r="B128" s="21">
        <v>7</v>
      </c>
      <c r="C128" s="11" t="s">
        <v>1477</v>
      </c>
      <c r="D128" s="11" t="s">
        <v>1478</v>
      </c>
      <c r="E128" s="11" t="s">
        <v>1477</v>
      </c>
      <c r="F128" s="11" t="s">
        <v>1477</v>
      </c>
      <c r="G128" s="11" t="s">
        <v>1478</v>
      </c>
    </row>
    <row r="129" spans="1:7">
      <c r="A129" s="20">
        <v>45969</v>
      </c>
      <c r="B129" s="21">
        <v>6</v>
      </c>
      <c r="C129" s="11" t="s">
        <v>1477</v>
      </c>
      <c r="D129" s="11" t="s">
        <v>1478</v>
      </c>
      <c r="E129" s="11" t="s">
        <v>1478</v>
      </c>
      <c r="F129" s="11" t="s">
        <v>1478</v>
      </c>
      <c r="G129" s="11" t="s">
        <v>1478</v>
      </c>
    </row>
    <row r="130" spans="1:7">
      <c r="A130" s="20">
        <v>45970</v>
      </c>
      <c r="B130" s="21">
        <v>7</v>
      </c>
      <c r="C130" s="11" t="s">
        <v>1478</v>
      </c>
      <c r="D130" s="11" t="s">
        <v>1478</v>
      </c>
      <c r="E130" s="11" t="s">
        <v>1478</v>
      </c>
      <c r="F130" s="11" t="s">
        <v>1478</v>
      </c>
      <c r="G130" s="11" t="s">
        <v>1478</v>
      </c>
    </row>
    <row r="131" spans="1:7">
      <c r="A131" s="20">
        <v>45971</v>
      </c>
      <c r="B131" s="21">
        <v>7</v>
      </c>
      <c r="C131" s="11" t="s">
        <v>1477</v>
      </c>
      <c r="D131" s="11" t="s">
        <v>1478</v>
      </c>
      <c r="E131" s="11" t="s">
        <v>1478</v>
      </c>
      <c r="F131" s="11" t="s">
        <v>1477</v>
      </c>
      <c r="G131" s="11" t="s">
        <v>1478</v>
      </c>
    </row>
    <row r="132" spans="1:7">
      <c r="A132" s="20">
        <v>45972</v>
      </c>
      <c r="B132" s="21">
        <v>8</v>
      </c>
      <c r="C132" s="11" t="s">
        <v>1478</v>
      </c>
      <c r="D132" s="11" t="s">
        <v>1478</v>
      </c>
      <c r="E132" s="11" t="s">
        <v>1478</v>
      </c>
      <c r="F132" s="11" t="s">
        <v>1478</v>
      </c>
      <c r="G132" s="11" t="s">
        <v>1478</v>
      </c>
    </row>
    <row r="133" spans="1:7">
      <c r="A133" s="20">
        <v>45973</v>
      </c>
      <c r="B133" s="21">
        <v>7</v>
      </c>
      <c r="C133" s="11" t="s">
        <v>1478</v>
      </c>
      <c r="D133" s="11" t="s">
        <v>1478</v>
      </c>
      <c r="E133" s="11" t="s">
        <v>1477</v>
      </c>
      <c r="F133" s="11" t="s">
        <v>1478</v>
      </c>
      <c r="G133" s="11" t="s">
        <v>1478</v>
      </c>
    </row>
    <row r="134" spans="1:7">
      <c r="A134" s="20">
        <v>45974</v>
      </c>
      <c r="B134" s="21">
        <v>7</v>
      </c>
      <c r="C134" s="11" t="s">
        <v>1478</v>
      </c>
      <c r="D134" s="11" t="s">
        <v>1478</v>
      </c>
      <c r="E134" s="11" t="s">
        <v>1478</v>
      </c>
      <c r="F134" s="11" t="s">
        <v>1478</v>
      </c>
      <c r="G134" s="11" t="s">
        <v>1478</v>
      </c>
    </row>
    <row r="135" spans="1:7">
      <c r="A135" s="20">
        <v>45975</v>
      </c>
      <c r="B135" s="21">
        <v>7</v>
      </c>
      <c r="C135" s="11" t="s">
        <v>1478</v>
      </c>
      <c r="D135" s="11" t="s">
        <v>1478</v>
      </c>
      <c r="E135" s="11" t="s">
        <v>1478</v>
      </c>
      <c r="F135" s="11" t="s">
        <v>1478</v>
      </c>
      <c r="G135" s="11" t="s">
        <v>1478</v>
      </c>
    </row>
    <row r="136" spans="1:7">
      <c r="A136" s="20">
        <v>45976</v>
      </c>
      <c r="B136" s="21">
        <v>6.5</v>
      </c>
      <c r="C136" s="11" t="s">
        <v>1478</v>
      </c>
      <c r="D136" s="11" t="s">
        <v>1478</v>
      </c>
      <c r="E136" s="11" t="s">
        <v>1478</v>
      </c>
      <c r="F136" s="11" t="s">
        <v>1478</v>
      </c>
      <c r="G136" s="11" t="s">
        <v>1478</v>
      </c>
    </row>
    <row r="137" spans="1:7">
      <c r="A137" s="20">
        <v>45977</v>
      </c>
      <c r="B137" s="21">
        <v>7</v>
      </c>
      <c r="C137" s="11" t="s">
        <v>1478</v>
      </c>
      <c r="D137" s="11" t="s">
        <v>1478</v>
      </c>
      <c r="E137" s="11" t="s">
        <v>1478</v>
      </c>
      <c r="F137" s="11" t="s">
        <v>1478</v>
      </c>
      <c r="G137" s="11" t="s">
        <v>1478</v>
      </c>
    </row>
    <row r="138" spans="1:7">
      <c r="A138" s="20">
        <v>45978</v>
      </c>
      <c r="B138" s="21">
        <v>6</v>
      </c>
      <c r="C138" s="11" t="s">
        <v>1478</v>
      </c>
      <c r="D138" s="11" t="s">
        <v>1478</v>
      </c>
      <c r="E138" s="11" t="s">
        <v>1478</v>
      </c>
      <c r="F138" s="11" t="s">
        <v>1478</v>
      </c>
      <c r="G138" s="11" t="s">
        <v>1478</v>
      </c>
    </row>
    <row r="139" spans="1:7">
      <c r="A139" s="20">
        <v>45979</v>
      </c>
      <c r="B139" s="21">
        <v>6</v>
      </c>
      <c r="C139" s="11" t="s">
        <v>1478</v>
      </c>
      <c r="D139" s="11" t="s">
        <v>1478</v>
      </c>
      <c r="E139" s="11" t="s">
        <v>1478</v>
      </c>
      <c r="F139" s="11" t="s">
        <v>1478</v>
      </c>
      <c r="G139" s="11" t="s">
        <v>1478</v>
      </c>
    </row>
    <row r="140" spans="1:7">
      <c r="A140" s="20">
        <v>45980</v>
      </c>
      <c r="B140" s="21">
        <v>7</v>
      </c>
      <c r="C140" s="11" t="s">
        <v>1478</v>
      </c>
      <c r="D140" s="11" t="s">
        <v>1478</v>
      </c>
      <c r="E140" s="11" t="s">
        <v>1478</v>
      </c>
      <c r="F140" s="11" t="s">
        <v>1478</v>
      </c>
      <c r="G140" s="11" t="s">
        <v>1478</v>
      </c>
    </row>
    <row r="141" spans="1:7">
      <c r="A141" s="20">
        <v>45981</v>
      </c>
      <c r="B141" s="21">
        <v>6</v>
      </c>
      <c r="C141" s="11" t="s">
        <v>1478</v>
      </c>
      <c r="D141" s="11" t="s">
        <v>1478</v>
      </c>
      <c r="E141" s="11" t="s">
        <v>1478</v>
      </c>
      <c r="F141" s="11" t="s">
        <v>1478</v>
      </c>
      <c r="G141" s="11" t="s">
        <v>1477</v>
      </c>
    </row>
    <row r="142" spans="1:7">
      <c r="A142" s="20">
        <v>45982</v>
      </c>
      <c r="B142" s="21">
        <v>5</v>
      </c>
      <c r="C142" s="11" t="s">
        <v>1478</v>
      </c>
      <c r="D142" s="11" t="s">
        <v>1478</v>
      </c>
      <c r="E142" s="11" t="s">
        <v>1477</v>
      </c>
      <c r="F142" s="11" t="s">
        <v>1478</v>
      </c>
      <c r="G142" s="11" t="s">
        <v>1478</v>
      </c>
    </row>
    <row r="143" spans="1:7">
      <c r="A143" s="20">
        <v>45983</v>
      </c>
      <c r="B143" s="21">
        <v>7</v>
      </c>
      <c r="C143" s="11" t="s">
        <v>1478</v>
      </c>
      <c r="D143" s="11" t="s">
        <v>1478</v>
      </c>
      <c r="E143" s="11" t="s">
        <v>1477</v>
      </c>
      <c r="F143" s="11" t="s">
        <v>1478</v>
      </c>
      <c r="G143" s="11" t="s">
        <v>1478</v>
      </c>
    </row>
    <row r="144" spans="1:7">
      <c r="A144" s="20">
        <v>45984</v>
      </c>
      <c r="B144" s="21">
        <v>7</v>
      </c>
      <c r="C144" s="11" t="s">
        <v>1478</v>
      </c>
      <c r="D144" s="11" t="s">
        <v>1478</v>
      </c>
      <c r="E144" s="11" t="s">
        <v>1478</v>
      </c>
      <c r="F144" s="11" t="s">
        <v>1478</v>
      </c>
      <c r="G144" s="11" t="s">
        <v>1478</v>
      </c>
    </row>
    <row r="145" spans="1:7">
      <c r="A145" s="20">
        <v>45985</v>
      </c>
      <c r="B145" s="21">
        <v>8</v>
      </c>
      <c r="C145" s="11" t="s">
        <v>1478</v>
      </c>
      <c r="D145" s="11" t="s">
        <v>1478</v>
      </c>
      <c r="E145" s="11" t="s">
        <v>1478</v>
      </c>
      <c r="F145" s="11" t="s">
        <v>1478</v>
      </c>
      <c r="G145" s="11" t="s">
        <v>1478</v>
      </c>
    </row>
    <row r="146" spans="1:7">
      <c r="A146" s="20">
        <v>45986</v>
      </c>
      <c r="B146" s="21">
        <v>7</v>
      </c>
      <c r="C146" s="11" t="s">
        <v>1478</v>
      </c>
      <c r="D146" s="11" t="s">
        <v>1478</v>
      </c>
      <c r="E146" s="11" t="s">
        <v>1478</v>
      </c>
      <c r="F146" s="11" t="s">
        <v>1478</v>
      </c>
      <c r="G146" s="11" t="s">
        <v>1478</v>
      </c>
    </row>
    <row r="147" spans="1:7">
      <c r="A147" s="20">
        <v>45987</v>
      </c>
      <c r="B147" s="21">
        <v>8</v>
      </c>
      <c r="C147" s="11" t="s">
        <v>1478</v>
      </c>
      <c r="D147" s="11" t="s">
        <v>1478</v>
      </c>
      <c r="E147" s="11" t="s">
        <v>1478</v>
      </c>
      <c r="F147" s="11" t="s">
        <v>1478</v>
      </c>
      <c r="G147" s="11" t="s">
        <v>1478</v>
      </c>
    </row>
    <row r="148" spans="1:7">
      <c r="A148" s="20">
        <v>45988</v>
      </c>
      <c r="B148" s="21">
        <v>6.5</v>
      </c>
      <c r="C148" s="11" t="s">
        <v>1478</v>
      </c>
      <c r="D148" s="11" t="s">
        <v>1478</v>
      </c>
      <c r="E148" s="11" t="s">
        <v>1478</v>
      </c>
      <c r="F148" s="11" t="s">
        <v>1478</v>
      </c>
      <c r="G148" s="11" t="s">
        <v>1478</v>
      </c>
    </row>
    <row r="149" spans="1:7">
      <c r="A149" s="20">
        <v>45989</v>
      </c>
      <c r="B149" s="21">
        <v>7</v>
      </c>
      <c r="C149" s="11" t="s">
        <v>1478</v>
      </c>
      <c r="D149" s="11" t="s">
        <v>1478</v>
      </c>
      <c r="E149" s="11" t="s">
        <v>1478</v>
      </c>
      <c r="F149" s="11" t="s">
        <v>1478</v>
      </c>
      <c r="G149" s="11" t="s">
        <v>1478</v>
      </c>
    </row>
    <row r="150" spans="1:7">
      <c r="A150" s="20">
        <v>45990</v>
      </c>
      <c r="B150" s="21">
        <v>7</v>
      </c>
      <c r="C150" s="11" t="s">
        <v>1478</v>
      </c>
      <c r="D150" s="11" t="s">
        <v>1478</v>
      </c>
      <c r="E150" s="11" t="s">
        <v>1478</v>
      </c>
      <c r="F150" s="11" t="s">
        <v>1478</v>
      </c>
      <c r="G150" s="11" t="s">
        <v>1478</v>
      </c>
    </row>
    <row r="151" spans="1:7">
      <c r="A151" s="20">
        <v>45991</v>
      </c>
      <c r="B151" s="21">
        <v>8</v>
      </c>
      <c r="C151" s="11" t="s">
        <v>1478</v>
      </c>
      <c r="D151" s="11" t="s">
        <v>1478</v>
      </c>
      <c r="E151" s="11" t="s">
        <v>1478</v>
      </c>
      <c r="F151" s="11" t="s">
        <v>1478</v>
      </c>
      <c r="G151" s="11" t="s">
        <v>1477</v>
      </c>
    </row>
    <row r="152" spans="1:7">
      <c r="A152" s="20">
        <v>45992</v>
      </c>
      <c r="B152" s="21">
        <v>8</v>
      </c>
      <c r="C152" s="11" t="s">
        <v>1478</v>
      </c>
      <c r="D152" s="11" t="s">
        <v>1478</v>
      </c>
      <c r="E152" s="11" t="s">
        <v>1477</v>
      </c>
      <c r="F152" s="11" t="s">
        <v>1478</v>
      </c>
      <c r="G152" s="11" t="s">
        <v>1478</v>
      </c>
    </row>
    <row r="153" spans="1:7">
      <c r="A153" s="20">
        <v>45993</v>
      </c>
      <c r="B153" s="21">
        <v>7</v>
      </c>
      <c r="C153" s="11" t="s">
        <v>1477</v>
      </c>
      <c r="D153" s="11" t="s">
        <v>1478</v>
      </c>
      <c r="E153" s="11" t="s">
        <v>1478</v>
      </c>
      <c r="F153" s="11" t="s">
        <v>1478</v>
      </c>
      <c r="G153" s="11" t="s">
        <v>1478</v>
      </c>
    </row>
    <row r="154" spans="1:7">
      <c r="A154" s="20">
        <v>45994</v>
      </c>
      <c r="B154" s="21">
        <v>6</v>
      </c>
      <c r="C154" s="11" t="s">
        <v>1478</v>
      </c>
      <c r="D154" s="11" t="s">
        <v>1478</v>
      </c>
      <c r="E154" s="11" t="s">
        <v>1478</v>
      </c>
      <c r="F154" s="11" t="s">
        <v>1478</v>
      </c>
      <c r="G154" s="11" t="s">
        <v>1478</v>
      </c>
    </row>
    <row r="155" spans="1:7">
      <c r="A155" s="20">
        <v>45995</v>
      </c>
      <c r="B155" s="21">
        <v>6</v>
      </c>
      <c r="C155" s="11" t="s">
        <v>1477</v>
      </c>
      <c r="D155" s="11" t="s">
        <v>1478</v>
      </c>
      <c r="E155" s="11" t="s">
        <v>1478</v>
      </c>
      <c r="F155" s="11" t="s">
        <v>1477</v>
      </c>
      <c r="G155" s="11" t="s">
        <v>1478</v>
      </c>
    </row>
    <row r="156" spans="1:7">
      <c r="A156" s="20">
        <v>45996</v>
      </c>
      <c r="B156" s="21">
        <v>5</v>
      </c>
      <c r="C156" s="11" t="s">
        <v>1478</v>
      </c>
      <c r="D156" s="11" t="s">
        <v>1478</v>
      </c>
      <c r="E156" s="11" t="s">
        <v>1478</v>
      </c>
      <c r="F156" s="11" t="s">
        <v>1478</v>
      </c>
      <c r="G156" s="11" t="s">
        <v>1477</v>
      </c>
    </row>
    <row r="157" spans="1:7">
      <c r="A157" s="20">
        <v>45997</v>
      </c>
      <c r="B157" s="21">
        <v>6</v>
      </c>
      <c r="C157" s="11" t="s">
        <v>1478</v>
      </c>
      <c r="D157" s="11" t="s">
        <v>1478</v>
      </c>
      <c r="E157" s="11" t="s">
        <v>1478</v>
      </c>
      <c r="F157" s="11" t="s">
        <v>1478</v>
      </c>
      <c r="G157" s="11" t="s">
        <v>1478</v>
      </c>
    </row>
    <row r="158" spans="1:7">
      <c r="A158" s="20">
        <v>45998</v>
      </c>
      <c r="B158" s="21">
        <v>6</v>
      </c>
      <c r="C158" s="11" t="s">
        <v>1477</v>
      </c>
      <c r="D158" s="11" t="s">
        <v>1478</v>
      </c>
      <c r="E158" s="11" t="s">
        <v>1477</v>
      </c>
      <c r="F158" s="11" t="s">
        <v>1478</v>
      </c>
      <c r="G158" s="11" t="s">
        <v>1478</v>
      </c>
    </row>
    <row r="159" spans="1:7">
      <c r="A159" s="20">
        <v>45999</v>
      </c>
      <c r="B159" s="21">
        <v>5</v>
      </c>
      <c r="C159" s="11" t="s">
        <v>1478</v>
      </c>
      <c r="D159" s="11" t="s">
        <v>1478</v>
      </c>
      <c r="E159" s="11" t="s">
        <v>1478</v>
      </c>
      <c r="F159" s="11" t="s">
        <v>1478</v>
      </c>
      <c r="G159" s="11" t="s">
        <v>1477</v>
      </c>
    </row>
    <row r="160" spans="1:7">
      <c r="A160" s="20">
        <v>46000</v>
      </c>
      <c r="B160" s="21">
        <v>6</v>
      </c>
      <c r="C160" s="11" t="s">
        <v>1478</v>
      </c>
      <c r="D160" s="11" t="s">
        <v>1478</v>
      </c>
      <c r="E160" s="11" t="s">
        <v>1478</v>
      </c>
      <c r="F160" s="11" t="s">
        <v>1478</v>
      </c>
      <c r="G160" s="11" t="s">
        <v>1478</v>
      </c>
    </row>
    <row r="161" spans="1:7">
      <c r="A161" s="20">
        <v>46001</v>
      </c>
      <c r="B161" s="21">
        <v>4</v>
      </c>
      <c r="C161" s="11" t="s">
        <v>1478</v>
      </c>
      <c r="D161" s="11" t="s">
        <v>1478</v>
      </c>
      <c r="E161" s="11" t="s">
        <v>1478</v>
      </c>
      <c r="F161" s="11" t="s">
        <v>1478</v>
      </c>
      <c r="G161" s="11" t="s">
        <v>1477</v>
      </c>
    </row>
    <row r="162" spans="1:7">
      <c r="A162" s="20">
        <v>46002</v>
      </c>
      <c r="B162" s="21">
        <v>5</v>
      </c>
      <c r="C162" s="11" t="s">
        <v>1478</v>
      </c>
      <c r="D162" s="11" t="s">
        <v>1478</v>
      </c>
      <c r="E162" s="11" t="s">
        <v>1478</v>
      </c>
      <c r="F162" s="11" t="s">
        <v>1477</v>
      </c>
      <c r="G162" s="11" t="s">
        <v>1478</v>
      </c>
    </row>
    <row r="163" spans="1:7">
      <c r="A163" s="20">
        <v>46003</v>
      </c>
      <c r="B163" s="21">
        <v>7</v>
      </c>
      <c r="C163" s="11" t="s">
        <v>1477</v>
      </c>
      <c r="D163" s="11" t="s">
        <v>1478</v>
      </c>
      <c r="E163" s="11" t="s">
        <v>1478</v>
      </c>
      <c r="F163" s="11" t="s">
        <v>1477</v>
      </c>
      <c r="G163" s="11" t="s">
        <v>1478</v>
      </c>
    </row>
    <row r="164" spans="1:7">
      <c r="A164" s="20">
        <v>46004</v>
      </c>
      <c r="B164" s="21">
        <v>7.5</v>
      </c>
      <c r="C164" s="11" t="s">
        <v>1477</v>
      </c>
      <c r="D164" s="11" t="s">
        <v>1478</v>
      </c>
      <c r="E164" s="11" t="s">
        <v>1477</v>
      </c>
      <c r="F164" s="11" t="s">
        <v>1478</v>
      </c>
      <c r="G164" s="11" t="s">
        <v>1477</v>
      </c>
    </row>
    <row r="165" spans="1:7">
      <c r="A165" s="20">
        <v>46005</v>
      </c>
      <c r="B165" s="21">
        <v>8</v>
      </c>
      <c r="C165" s="11" t="s">
        <v>1477</v>
      </c>
      <c r="D165" s="11" t="s">
        <v>1478</v>
      </c>
      <c r="E165" s="11" t="s">
        <v>1477</v>
      </c>
      <c r="F165" s="11" t="s">
        <v>1478</v>
      </c>
      <c r="G165" s="11" t="s">
        <v>1478</v>
      </c>
    </row>
    <row r="166" spans="1:7">
      <c r="A166" s="20">
        <v>46006</v>
      </c>
      <c r="B166" s="21">
        <v>5</v>
      </c>
      <c r="C166" s="11" t="s">
        <v>1478</v>
      </c>
      <c r="D166" s="11" t="s">
        <v>1478</v>
      </c>
      <c r="E166" s="11" t="s">
        <v>1478</v>
      </c>
      <c r="F166" s="11" t="s">
        <v>1477</v>
      </c>
      <c r="G166" s="11" t="s">
        <v>1478</v>
      </c>
    </row>
    <row r="167" spans="1:7">
      <c r="A167" s="20">
        <v>46007</v>
      </c>
      <c r="B167" s="21">
        <v>6</v>
      </c>
      <c r="C167" s="11" t="s">
        <v>1478</v>
      </c>
      <c r="D167" s="11" t="s">
        <v>1478</v>
      </c>
      <c r="E167" s="11" t="s">
        <v>1478</v>
      </c>
      <c r="F167" s="11" t="s">
        <v>1477</v>
      </c>
      <c r="G167" s="11" t="s">
        <v>1478</v>
      </c>
    </row>
    <row r="168" spans="1:7">
      <c r="A168" s="20">
        <v>46008</v>
      </c>
      <c r="B168" s="21">
        <v>6</v>
      </c>
      <c r="C168" s="11" t="s">
        <v>1478</v>
      </c>
      <c r="D168" s="11" t="s">
        <v>1478</v>
      </c>
      <c r="E168" s="11" t="s">
        <v>1478</v>
      </c>
      <c r="F168" s="11" t="s">
        <v>1477</v>
      </c>
      <c r="G168" s="11" t="s">
        <v>1477</v>
      </c>
    </row>
    <row r="169" spans="1:7">
      <c r="A169" s="20">
        <v>46009</v>
      </c>
      <c r="B169" s="21">
        <v>8</v>
      </c>
      <c r="C169" s="11" t="s">
        <v>1478</v>
      </c>
      <c r="D169" s="11" t="s">
        <v>1478</v>
      </c>
      <c r="E169" s="11" t="s">
        <v>1478</v>
      </c>
      <c r="F169" s="11" t="s">
        <v>1478</v>
      </c>
      <c r="G169" s="11" t="s">
        <v>1477</v>
      </c>
    </row>
    <row r="170" spans="1:7">
      <c r="A170" s="20">
        <v>46010</v>
      </c>
      <c r="B170" s="21">
        <v>7.5</v>
      </c>
      <c r="C170" s="11" t="s">
        <v>1478</v>
      </c>
      <c r="D170" s="11" t="s">
        <v>1478</v>
      </c>
      <c r="E170" s="11" t="s">
        <v>1477</v>
      </c>
      <c r="F170" s="11" t="s">
        <v>1478</v>
      </c>
      <c r="G170" s="11" t="s">
        <v>1477</v>
      </c>
    </row>
    <row r="171" spans="1:7">
      <c r="A171" s="20">
        <v>46011</v>
      </c>
      <c r="B171" s="21">
        <v>8</v>
      </c>
      <c r="C171" s="11" t="s">
        <v>1478</v>
      </c>
      <c r="D171" s="11" t="s">
        <v>1478</v>
      </c>
      <c r="E171" s="11" t="s">
        <v>1477</v>
      </c>
      <c r="F171" s="11" t="s">
        <v>1478</v>
      </c>
      <c r="G171" s="11" t="s">
        <v>1477</v>
      </c>
    </row>
    <row r="172" spans="1:7">
      <c r="A172" s="20">
        <v>46012</v>
      </c>
      <c r="B172" s="21">
        <v>7</v>
      </c>
      <c r="C172" s="11" t="s">
        <v>1478</v>
      </c>
      <c r="D172" s="11" t="s">
        <v>1478</v>
      </c>
      <c r="E172" s="11" t="s">
        <v>1477</v>
      </c>
      <c r="F172" s="11" t="s">
        <v>1478</v>
      </c>
      <c r="G172" s="11" t="s">
        <v>1477</v>
      </c>
    </row>
    <row r="173" spans="1:7">
      <c r="A173" s="20">
        <v>46013</v>
      </c>
      <c r="B173" s="21">
        <v>6</v>
      </c>
      <c r="C173" s="11" t="s">
        <v>1478</v>
      </c>
      <c r="D173" s="11" t="s">
        <v>1478</v>
      </c>
      <c r="E173" s="11" t="s">
        <v>1478</v>
      </c>
      <c r="F173" s="11" t="s">
        <v>1478</v>
      </c>
      <c r="G173" s="11" t="s">
        <v>1478</v>
      </c>
    </row>
    <row r="174" spans="1:7">
      <c r="A174" s="20">
        <v>46014</v>
      </c>
      <c r="B174" s="21">
        <v>5</v>
      </c>
      <c r="C174" s="11" t="s">
        <v>1478</v>
      </c>
      <c r="D174" s="11" t="s">
        <v>1478</v>
      </c>
      <c r="E174" s="11" t="s">
        <v>1477</v>
      </c>
      <c r="F174" s="11" t="s">
        <v>1478</v>
      </c>
      <c r="G174" s="11" t="s">
        <v>1478</v>
      </c>
    </row>
    <row r="175" spans="1:7">
      <c r="A175" s="20">
        <v>46015</v>
      </c>
      <c r="B175" s="21">
        <v>4</v>
      </c>
      <c r="C175" s="11" t="s">
        <v>1478</v>
      </c>
      <c r="D175" s="11" t="s">
        <v>1477</v>
      </c>
      <c r="E175" s="11" t="s">
        <v>1477</v>
      </c>
      <c r="F175" s="11" t="s">
        <v>1478</v>
      </c>
      <c r="G175" s="11" t="s">
        <v>1478</v>
      </c>
    </row>
    <row r="176" spans="1:7">
      <c r="A176" s="20">
        <v>46016</v>
      </c>
      <c r="B176" s="21">
        <v>5</v>
      </c>
      <c r="C176" s="11" t="s">
        <v>1478</v>
      </c>
      <c r="D176" s="11" t="s">
        <v>1478</v>
      </c>
      <c r="E176" s="11" t="s">
        <v>1477</v>
      </c>
      <c r="F176" s="11" t="s">
        <v>1478</v>
      </c>
      <c r="G176" s="11" t="s">
        <v>1478</v>
      </c>
    </row>
    <row r="177" spans="1:7">
      <c r="A177" s="20">
        <v>46017</v>
      </c>
      <c r="B177" s="21">
        <v>7</v>
      </c>
      <c r="C177" s="11" t="s">
        <v>1478</v>
      </c>
      <c r="D177" s="11" t="s">
        <v>1478</v>
      </c>
      <c r="E177" s="11" t="s">
        <v>1477</v>
      </c>
      <c r="F177" s="11" t="s">
        <v>1478</v>
      </c>
      <c r="G177" s="11" t="s">
        <v>1478</v>
      </c>
    </row>
    <row r="178" spans="1:7">
      <c r="A178" s="20">
        <v>46018</v>
      </c>
      <c r="B178" s="21">
        <v>6</v>
      </c>
      <c r="C178" s="11" t="s">
        <v>1478</v>
      </c>
      <c r="D178" s="11" t="s">
        <v>1477</v>
      </c>
      <c r="E178" s="11" t="s">
        <v>1478</v>
      </c>
      <c r="F178" s="11" t="s">
        <v>1478</v>
      </c>
      <c r="G178" s="11" t="s">
        <v>1478</v>
      </c>
    </row>
    <row r="179" spans="1:7">
      <c r="A179" s="20">
        <v>46019</v>
      </c>
      <c r="B179" s="21">
        <v>4</v>
      </c>
      <c r="C179" s="11" t="s">
        <v>1478</v>
      </c>
      <c r="D179" s="11" t="s">
        <v>1477</v>
      </c>
      <c r="E179" s="11" t="s">
        <v>1478</v>
      </c>
      <c r="F179" s="11" t="s">
        <v>1478</v>
      </c>
      <c r="G179" s="11" t="s">
        <v>1478</v>
      </c>
    </row>
    <row r="180" spans="1:7">
      <c r="A180" s="20">
        <v>46020</v>
      </c>
      <c r="B180" s="21">
        <v>8</v>
      </c>
      <c r="C180" s="11" t="s">
        <v>1477</v>
      </c>
      <c r="D180" s="11" t="s">
        <v>1478</v>
      </c>
      <c r="E180" s="11" t="s">
        <v>1477</v>
      </c>
      <c r="F180" s="11" t="s">
        <v>1478</v>
      </c>
      <c r="G180" s="11" t="s">
        <v>1478</v>
      </c>
    </row>
    <row r="181" spans="1:7">
      <c r="A181" s="20">
        <v>46021</v>
      </c>
      <c r="B181" s="21">
        <v>5</v>
      </c>
      <c r="C181" s="11" t="s">
        <v>1477</v>
      </c>
      <c r="D181" s="11" t="s">
        <v>1478</v>
      </c>
      <c r="E181" s="11" t="s">
        <v>1478</v>
      </c>
      <c r="F181" s="11" t="s">
        <v>1477</v>
      </c>
      <c r="G181" s="11" t="s">
        <v>1478</v>
      </c>
    </row>
    <row r="182" spans="1:7">
      <c r="A182" s="20">
        <v>46022</v>
      </c>
      <c r="B182" s="21">
        <v>4</v>
      </c>
      <c r="C182" s="11" t="s">
        <v>1478</v>
      </c>
      <c r="D182" s="11" t="s">
        <v>1478</v>
      </c>
      <c r="E182" s="11" t="s">
        <v>1477</v>
      </c>
      <c r="F182" s="11" t="s">
        <v>1478</v>
      </c>
      <c r="G182" s="11" t="s">
        <v>1478</v>
      </c>
    </row>
    <row r="183" spans="1:7">
      <c r="A183" s="20">
        <v>46023</v>
      </c>
      <c r="B183" s="21">
        <v>3</v>
      </c>
      <c r="C183" s="11" t="s">
        <v>1478</v>
      </c>
      <c r="D183" s="11" t="s">
        <v>1478</v>
      </c>
      <c r="E183" s="11" t="s">
        <v>1478</v>
      </c>
      <c r="F183" s="11" t="s">
        <v>1478</v>
      </c>
      <c r="G183" s="11" t="s">
        <v>1478</v>
      </c>
    </row>
    <row r="184" spans="1:7">
      <c r="A184" s="20">
        <v>46024</v>
      </c>
      <c r="B184" s="21">
        <v>2</v>
      </c>
      <c r="C184" s="11" t="s">
        <v>1478</v>
      </c>
      <c r="D184" s="11" t="s">
        <v>1478</v>
      </c>
      <c r="E184" s="11" t="s">
        <v>1477</v>
      </c>
      <c r="F184" s="11" t="s">
        <v>1478</v>
      </c>
      <c r="G184" s="11" t="s">
        <v>1478</v>
      </c>
    </row>
    <row r="185" spans="1:7">
      <c r="A185" s="20">
        <v>46025</v>
      </c>
      <c r="B185" s="21">
        <v>4</v>
      </c>
      <c r="C185" s="11" t="s">
        <v>1477</v>
      </c>
      <c r="D185" s="11" t="s">
        <v>1478</v>
      </c>
      <c r="E185" s="11" t="s">
        <v>1477</v>
      </c>
      <c r="F185" s="11" t="s">
        <v>1478</v>
      </c>
      <c r="G185" s="11" t="s">
        <v>1478</v>
      </c>
    </row>
    <row r="186" spans="1:7">
      <c r="A186" s="20">
        <v>46026</v>
      </c>
      <c r="B186" s="21">
        <v>4</v>
      </c>
      <c r="C186" s="11" t="s">
        <v>1477</v>
      </c>
      <c r="D186" s="11" t="s">
        <v>1478</v>
      </c>
      <c r="E186" s="11" t="s">
        <v>1478</v>
      </c>
      <c r="F186" s="11" t="s">
        <v>1478</v>
      </c>
      <c r="G186" s="11" t="s">
        <v>1477</v>
      </c>
    </row>
    <row r="187" spans="1:7">
      <c r="A187" s="20">
        <v>46038</v>
      </c>
      <c r="B187" s="21">
        <v>6</v>
      </c>
      <c r="C187" s="11" t="s">
        <v>1477</v>
      </c>
      <c r="D187" s="11" t="s">
        <v>1478</v>
      </c>
      <c r="E187" s="11" t="s">
        <v>1478</v>
      </c>
      <c r="F187" s="11" t="s">
        <v>1478</v>
      </c>
      <c r="G187" s="11" t="s">
        <v>1477</v>
      </c>
    </row>
    <row r="188" spans="1:7">
      <c r="A188" s="20">
        <v>46039</v>
      </c>
      <c r="B188" s="21">
        <v>8</v>
      </c>
      <c r="C188" s="11" t="s">
        <v>1477</v>
      </c>
      <c r="D188" s="11" t="s">
        <v>1478</v>
      </c>
      <c r="E188" s="11" t="s">
        <v>1478</v>
      </c>
      <c r="F188" s="11" t="s">
        <v>1478</v>
      </c>
      <c r="G188" s="11" t="s">
        <v>1477</v>
      </c>
    </row>
    <row r="189" spans="1:7">
      <c r="A189" s="20">
        <v>46040</v>
      </c>
      <c r="B189" s="21">
        <v>7</v>
      </c>
      <c r="C189" s="11" t="s">
        <v>1477</v>
      </c>
      <c r="D189" s="11" t="s">
        <v>1478</v>
      </c>
      <c r="E189" s="11" t="s">
        <v>1477</v>
      </c>
      <c r="F189" s="11" t="s">
        <v>1478</v>
      </c>
      <c r="G189" s="11" t="s">
        <v>1478</v>
      </c>
    </row>
    <row r="190" spans="1:7">
      <c r="A190" s="20">
        <v>46041</v>
      </c>
      <c r="B190" s="21">
        <v>6</v>
      </c>
      <c r="C190" s="11" t="s">
        <v>1477</v>
      </c>
      <c r="D190" s="11" t="s">
        <v>1478</v>
      </c>
      <c r="E190" s="11" t="s">
        <v>1477</v>
      </c>
      <c r="F190" s="11" t="s">
        <v>1478</v>
      </c>
      <c r="G190" s="11" t="s">
        <v>1477</v>
      </c>
    </row>
    <row r="191" spans="1:7">
      <c r="A191" s="20">
        <v>46042</v>
      </c>
      <c r="B191" s="21">
        <v>5</v>
      </c>
      <c r="C191" s="11" t="s">
        <v>1478</v>
      </c>
      <c r="D191" s="11" t="s">
        <v>1478</v>
      </c>
      <c r="E191" s="11" t="s">
        <v>1478</v>
      </c>
      <c r="F191" s="11" t="s">
        <v>1478</v>
      </c>
      <c r="G191" s="11" t="s">
        <v>1477</v>
      </c>
    </row>
    <row r="192" spans="1:7">
      <c r="A192" s="20">
        <v>46043</v>
      </c>
      <c r="B192" s="21">
        <v>7</v>
      </c>
      <c r="C192" s="11" t="s">
        <v>1477</v>
      </c>
      <c r="D192" s="11" t="s">
        <v>1478</v>
      </c>
      <c r="E192" s="11" t="s">
        <v>1477</v>
      </c>
      <c r="F192" s="11" t="s">
        <v>1477</v>
      </c>
      <c r="G192" s="11" t="s">
        <v>1477</v>
      </c>
    </row>
    <row r="193" spans="1:7">
      <c r="A193" s="20">
        <v>46044</v>
      </c>
      <c r="B193" s="21">
        <v>6</v>
      </c>
      <c r="C193" s="11" t="s">
        <v>1478</v>
      </c>
      <c r="D193" s="11" t="s">
        <v>1478</v>
      </c>
      <c r="E193" s="11" t="s">
        <v>1477</v>
      </c>
      <c r="F193" s="11" t="s">
        <v>1478</v>
      </c>
      <c r="G193" s="11" t="s">
        <v>1477</v>
      </c>
    </row>
    <row r="194" spans="1:7">
      <c r="A194" s="20">
        <v>46045</v>
      </c>
      <c r="B194" s="21">
        <v>3</v>
      </c>
      <c r="C194" s="11" t="s">
        <v>1478</v>
      </c>
      <c r="D194" s="11" t="s">
        <v>1478</v>
      </c>
      <c r="E194" s="11" t="s">
        <v>1477</v>
      </c>
      <c r="F194" s="11" t="s">
        <v>1478</v>
      </c>
      <c r="G194" s="11" t="s">
        <v>1478</v>
      </c>
    </row>
    <row r="195" spans="1:7">
      <c r="A195" s="20">
        <v>46046</v>
      </c>
      <c r="B195" s="21">
        <v>5</v>
      </c>
      <c r="C195" s="11" t="s">
        <v>1478</v>
      </c>
      <c r="D195" s="11" t="s">
        <v>1478</v>
      </c>
      <c r="E195" s="11" t="s">
        <v>1478</v>
      </c>
      <c r="F195" s="11" t="s">
        <v>1478</v>
      </c>
      <c r="G195" s="11" t="s">
        <v>1478</v>
      </c>
    </row>
    <row r="196" spans="1:7">
      <c r="A196" s="20">
        <v>46047</v>
      </c>
      <c r="B196" s="21">
        <v>6</v>
      </c>
      <c r="C196" s="11" t="s">
        <v>1478</v>
      </c>
      <c r="D196" s="11" t="s">
        <v>1478</v>
      </c>
      <c r="E196" s="11" t="s">
        <v>1478</v>
      </c>
      <c r="F196" s="11" t="s">
        <v>1478</v>
      </c>
      <c r="G196" s="11" t="s">
        <v>1478</v>
      </c>
    </row>
    <row r="197" spans="1:7">
      <c r="A197" s="20">
        <v>46048</v>
      </c>
      <c r="B197" s="21">
        <v>7.5</v>
      </c>
      <c r="C197" s="11" t="s">
        <v>1478</v>
      </c>
      <c r="D197" s="11" t="s">
        <v>1478</v>
      </c>
      <c r="E197" s="11" t="s">
        <v>1478</v>
      </c>
      <c r="F197" s="11" t="s">
        <v>1478</v>
      </c>
      <c r="G197" s="11" t="s">
        <v>1478</v>
      </c>
    </row>
    <row r="198" spans="1:7">
      <c r="A198" s="20">
        <v>46049</v>
      </c>
      <c r="B198" s="21">
        <v>7</v>
      </c>
      <c r="C198" s="11" t="s">
        <v>1478</v>
      </c>
      <c r="D198" s="11" t="s">
        <v>1478</v>
      </c>
      <c r="E198" s="11" t="s">
        <v>1478</v>
      </c>
      <c r="F198" s="11" t="s">
        <v>1478</v>
      </c>
      <c r="G198" s="11" t="s">
        <v>1478</v>
      </c>
    </row>
    <row r="199" spans="1:7">
      <c r="A199" s="20">
        <v>46050</v>
      </c>
      <c r="B199" s="21">
        <v>7</v>
      </c>
      <c r="C199" s="11" t="s">
        <v>1477</v>
      </c>
      <c r="D199" s="11" t="s">
        <v>1478</v>
      </c>
      <c r="E199" s="11" t="s">
        <v>1478</v>
      </c>
      <c r="F199" s="11" t="s">
        <v>1478</v>
      </c>
      <c r="G199" s="11" t="s">
        <v>1477</v>
      </c>
    </row>
    <row r="200" spans="1:7">
      <c r="A200" s="20">
        <v>46051</v>
      </c>
      <c r="B200" s="21">
        <v>6.5</v>
      </c>
      <c r="C200" s="11" t="s">
        <v>1478</v>
      </c>
      <c r="D200" s="11" t="s">
        <v>1478</v>
      </c>
      <c r="E200" s="11" t="s">
        <v>1478</v>
      </c>
      <c r="F200" s="11" t="s">
        <v>1478</v>
      </c>
      <c r="G200" s="11" t="s">
        <v>1478</v>
      </c>
    </row>
    <row r="201" spans="1:7">
      <c r="A201" s="20">
        <v>46052</v>
      </c>
      <c r="B201" s="21">
        <v>6</v>
      </c>
      <c r="C201" s="11" t="s">
        <v>1478</v>
      </c>
      <c r="D201" s="11" t="s">
        <v>1478</v>
      </c>
      <c r="E201" s="11" t="s">
        <v>1477</v>
      </c>
      <c r="F201" s="11" t="s">
        <v>1478</v>
      </c>
      <c r="G201" s="11" t="s">
        <v>1478</v>
      </c>
    </row>
    <row r="202" spans="1:7">
      <c r="A202" s="20">
        <v>46053</v>
      </c>
      <c r="B202" s="21">
        <v>5</v>
      </c>
      <c r="C202" s="11" t="s">
        <v>1477</v>
      </c>
      <c r="D202" s="11" t="s">
        <v>1478</v>
      </c>
      <c r="E202" s="11" t="s">
        <v>1478</v>
      </c>
      <c r="F202" s="11" t="s">
        <v>1478</v>
      </c>
      <c r="G202" s="11" t="s">
        <v>1478</v>
      </c>
    </row>
    <row r="203" spans="1:7">
      <c r="A203" s="20">
        <v>46054</v>
      </c>
      <c r="B203" s="21">
        <v>6</v>
      </c>
      <c r="C203" s="11" t="s">
        <v>1478</v>
      </c>
      <c r="D203" s="11" t="s">
        <v>1478</v>
      </c>
      <c r="E203" s="11" t="s">
        <v>1478</v>
      </c>
      <c r="F203" s="11" t="s">
        <v>1478</v>
      </c>
      <c r="G203" s="11" t="s">
        <v>1478</v>
      </c>
    </row>
    <row r="204" spans="1:7">
      <c r="A204" s="20">
        <v>46055</v>
      </c>
      <c r="B204" s="21">
        <v>6</v>
      </c>
      <c r="C204" s="11" t="s">
        <v>1477</v>
      </c>
      <c r="D204" s="11" t="s">
        <v>1478</v>
      </c>
      <c r="E204" s="11" t="s">
        <v>1478</v>
      </c>
      <c r="F204" s="11" t="s">
        <v>1478</v>
      </c>
      <c r="G204" s="11" t="s">
        <v>1478</v>
      </c>
    </row>
    <row r="205" spans="1:7">
      <c r="A205" s="20">
        <v>46056</v>
      </c>
      <c r="B205" s="21">
        <v>7</v>
      </c>
      <c r="C205" s="11" t="s">
        <v>1477</v>
      </c>
      <c r="D205" s="11" t="s">
        <v>1478</v>
      </c>
      <c r="E205" s="11" t="s">
        <v>1478</v>
      </c>
      <c r="F205" s="11" t="s">
        <v>1478</v>
      </c>
      <c r="G205" s="11" t="s">
        <v>1477</v>
      </c>
    </row>
    <row r="206" spans="1:7">
      <c r="A206" s="20">
        <v>46057</v>
      </c>
      <c r="B206" s="21">
        <v>6</v>
      </c>
      <c r="C206" s="11" t="s">
        <v>1478</v>
      </c>
      <c r="D206" s="11" t="s">
        <v>1478</v>
      </c>
      <c r="E206" s="11" t="s">
        <v>1477</v>
      </c>
      <c r="F206" s="11" t="s">
        <v>1478</v>
      </c>
      <c r="G206" s="11" t="s">
        <v>1478</v>
      </c>
    </row>
    <row r="207" spans="1:7">
      <c r="A207" s="20">
        <v>46058</v>
      </c>
      <c r="B207" s="21">
        <v>7.5</v>
      </c>
      <c r="C207" s="11" t="s">
        <v>1477</v>
      </c>
      <c r="D207" s="11" t="s">
        <v>1478</v>
      </c>
      <c r="E207" s="11" t="s">
        <v>1478</v>
      </c>
      <c r="F207" s="11" t="s">
        <v>1478</v>
      </c>
      <c r="G207" s="11" t="s">
        <v>1477</v>
      </c>
    </row>
    <row r="208" spans="1:7">
      <c r="A208" s="20">
        <v>46059</v>
      </c>
      <c r="B208" s="21">
        <v>7</v>
      </c>
      <c r="C208" s="11" t="s">
        <v>1478</v>
      </c>
      <c r="D208" s="11" t="s">
        <v>1478</v>
      </c>
      <c r="E208" s="11" t="s">
        <v>1478</v>
      </c>
      <c r="F208" s="11" t="s">
        <v>1478</v>
      </c>
      <c r="G208" s="11" t="s">
        <v>1478</v>
      </c>
    </row>
    <row r="209" spans="1:7">
      <c r="A209" s="20">
        <v>46060</v>
      </c>
      <c r="B209" s="21">
        <v>7</v>
      </c>
      <c r="C209" s="11" t="s">
        <v>1478</v>
      </c>
      <c r="D209" s="11" t="s">
        <v>1478</v>
      </c>
      <c r="E209" s="11" t="s">
        <v>1477</v>
      </c>
      <c r="F209" s="11" t="s">
        <v>1478</v>
      </c>
      <c r="G209" s="11" t="s">
        <v>1478</v>
      </c>
    </row>
    <row r="210" spans="1:7">
      <c r="A210" s="20">
        <v>46061</v>
      </c>
      <c r="B210" s="21">
        <v>8</v>
      </c>
      <c r="C210" s="11" t="s">
        <v>1478</v>
      </c>
      <c r="D210" s="11" t="s">
        <v>1477</v>
      </c>
      <c r="E210" s="11" t="s">
        <v>1478</v>
      </c>
      <c r="F210" s="11" t="s">
        <v>1478</v>
      </c>
      <c r="G210" s="11" t="s">
        <v>1478</v>
      </c>
    </row>
    <row r="211" spans="1:7">
      <c r="A211" s="20">
        <v>46062</v>
      </c>
      <c r="B211" s="21">
        <v>6</v>
      </c>
      <c r="C211" s="11" t="s">
        <v>1477</v>
      </c>
      <c r="D211" s="11" t="s">
        <v>1477</v>
      </c>
      <c r="E211" s="11" t="s">
        <v>1477</v>
      </c>
      <c r="F211" s="11" t="s">
        <v>1478</v>
      </c>
      <c r="G211" s="11" t="s">
        <v>1478</v>
      </c>
    </row>
    <row r="212" spans="1:7">
      <c r="A212" s="20">
        <v>46063</v>
      </c>
      <c r="B212" s="21">
        <v>8</v>
      </c>
      <c r="C212" s="11" t="s">
        <v>1478</v>
      </c>
      <c r="D212" s="11" t="s">
        <v>1478</v>
      </c>
      <c r="E212" s="11" t="s">
        <v>1477</v>
      </c>
      <c r="F212" s="11" t="s">
        <v>1477</v>
      </c>
      <c r="G212" s="11" t="s">
        <v>1478</v>
      </c>
    </row>
    <row r="213" spans="1:7">
      <c r="A213" s="20">
        <v>46064</v>
      </c>
      <c r="B213" s="21">
        <v>8</v>
      </c>
      <c r="C213" s="11" t="s">
        <v>1478</v>
      </c>
      <c r="D213" s="11" t="s">
        <v>1478</v>
      </c>
      <c r="E213" s="11" t="s">
        <v>1477</v>
      </c>
      <c r="F213" s="11" t="s">
        <v>1477</v>
      </c>
      <c r="G213" s="11" t="s">
        <v>1478</v>
      </c>
    </row>
    <row r="214" spans="1:7">
      <c r="A214" s="20">
        <v>46065</v>
      </c>
      <c r="B214" s="21">
        <v>8</v>
      </c>
      <c r="C214" s="11" t="s">
        <v>1478</v>
      </c>
      <c r="D214" s="11" t="s">
        <v>1478</v>
      </c>
      <c r="E214" s="11" t="s">
        <v>1478</v>
      </c>
      <c r="F214" s="11" t="s">
        <v>1478</v>
      </c>
      <c r="G214" s="11" t="s">
        <v>1478</v>
      </c>
    </row>
    <row r="215" spans="1:7">
      <c r="A215" s="20">
        <v>46066</v>
      </c>
      <c r="B215" s="21">
        <v>8</v>
      </c>
      <c r="C215" s="11" t="s">
        <v>1478</v>
      </c>
      <c r="D215" s="11" t="s">
        <v>1478</v>
      </c>
      <c r="E215" s="11" t="s">
        <v>1477</v>
      </c>
      <c r="F215" s="11" t="s">
        <v>1478</v>
      </c>
      <c r="G215" s="11" t="s">
        <v>1478</v>
      </c>
    </row>
    <row r="216" spans="1:7">
      <c r="A216" s="20">
        <v>46067</v>
      </c>
      <c r="B216" s="21">
        <v>7</v>
      </c>
      <c r="C216" s="11" t="s">
        <v>1478</v>
      </c>
      <c r="D216" s="11" t="s">
        <v>1478</v>
      </c>
      <c r="E216" s="11" t="s">
        <v>1477</v>
      </c>
      <c r="F216" s="11" t="s">
        <v>1478</v>
      </c>
      <c r="G216" s="11" t="s">
        <v>1477</v>
      </c>
    </row>
    <row r="217" spans="1:7">
      <c r="A217" s="20">
        <v>46068</v>
      </c>
      <c r="B217" s="21">
        <v>7</v>
      </c>
      <c r="C217" s="11" t="s">
        <v>1478</v>
      </c>
      <c r="D217" s="11" t="s">
        <v>1478</v>
      </c>
      <c r="E217" s="11" t="s">
        <v>1477</v>
      </c>
      <c r="F217" s="11" t="s">
        <v>1478</v>
      </c>
      <c r="G217" s="11" t="s">
        <v>1478</v>
      </c>
    </row>
    <row r="218" spans="1:7">
      <c r="A218" s="20">
        <v>46069</v>
      </c>
      <c r="B218" s="21">
        <v>5</v>
      </c>
      <c r="C218" s="11" t="s">
        <v>1477</v>
      </c>
      <c r="D218" s="11" t="s">
        <v>1478</v>
      </c>
      <c r="E218" s="11" t="s">
        <v>1477</v>
      </c>
      <c r="F218" s="11" t="s">
        <v>1478</v>
      </c>
      <c r="G218" s="11" t="s">
        <v>1478</v>
      </c>
    </row>
    <row r="219" spans="1:7">
      <c r="A219" s="20">
        <v>46070</v>
      </c>
      <c r="B219" s="21">
        <v>8</v>
      </c>
      <c r="C219" s="11" t="s">
        <v>1478</v>
      </c>
      <c r="D219" s="11" t="s">
        <v>1478</v>
      </c>
      <c r="E219" s="11" t="s">
        <v>1477</v>
      </c>
      <c r="F219" s="11" t="s">
        <v>1478</v>
      </c>
      <c r="G219" s="11" t="s">
        <v>1477</v>
      </c>
    </row>
    <row r="220" spans="1:7">
      <c r="A220" s="20">
        <v>46071</v>
      </c>
      <c r="B220" s="21">
        <v>7.5</v>
      </c>
      <c r="C220" s="11" t="s">
        <v>1477</v>
      </c>
      <c r="D220" s="11" t="s">
        <v>1478</v>
      </c>
      <c r="E220" s="11" t="s">
        <v>1478</v>
      </c>
      <c r="F220" s="11" t="s">
        <v>1478</v>
      </c>
      <c r="G220" s="11" t="s">
        <v>1478</v>
      </c>
    </row>
    <row r="221" spans="1:7">
      <c r="A221" s="20">
        <v>46072</v>
      </c>
      <c r="B221" s="21">
        <v>7</v>
      </c>
      <c r="C221" s="11" t="s">
        <v>1477</v>
      </c>
      <c r="D221" s="11" t="s">
        <v>1478</v>
      </c>
      <c r="E221" s="11" t="s">
        <v>1478</v>
      </c>
      <c r="F221" s="11" t="s">
        <v>1477</v>
      </c>
      <c r="G221" s="11" t="s">
        <v>1478</v>
      </c>
    </row>
    <row r="222" spans="1:7">
      <c r="A222" s="20">
        <v>46073</v>
      </c>
      <c r="B222" s="21">
        <v>5</v>
      </c>
      <c r="C222" s="11" t="s">
        <v>1478</v>
      </c>
      <c r="D222" s="11" t="s">
        <v>1478</v>
      </c>
      <c r="E222" s="11" t="s">
        <v>1478</v>
      </c>
      <c r="F222" s="11" t="s">
        <v>1477</v>
      </c>
      <c r="G222" s="11" t="s">
        <v>1478</v>
      </c>
    </row>
    <row r="223" spans="1:7">
      <c r="A223" s="20">
        <v>46074</v>
      </c>
      <c r="B223" s="21">
        <v>8</v>
      </c>
      <c r="C223" s="11" t="s">
        <v>1478</v>
      </c>
      <c r="D223" s="11" t="s">
        <v>1478</v>
      </c>
      <c r="E223" s="11" t="s">
        <v>1477</v>
      </c>
      <c r="F223" s="11" t="s">
        <v>1478</v>
      </c>
      <c r="G223" s="11" t="s">
        <v>1478</v>
      </c>
    </row>
    <row r="224" spans="1:7">
      <c r="A224" s="20">
        <v>46075</v>
      </c>
      <c r="B224" s="21">
        <v>7</v>
      </c>
      <c r="C224" s="11" t="s">
        <v>1478</v>
      </c>
      <c r="D224" s="11" t="s">
        <v>1478</v>
      </c>
      <c r="E224" s="11" t="s">
        <v>1477</v>
      </c>
      <c r="F224" s="11" t="s">
        <v>1477</v>
      </c>
      <c r="G224" s="11" t="s">
        <v>1478</v>
      </c>
    </row>
    <row r="225" spans="1:7">
      <c r="A225" s="20">
        <v>46076</v>
      </c>
      <c r="B225" s="21">
        <v>7</v>
      </c>
      <c r="C225" s="11" t="s">
        <v>1478</v>
      </c>
      <c r="D225" s="11" t="s">
        <v>1478</v>
      </c>
      <c r="E225" s="11" t="s">
        <v>1478</v>
      </c>
      <c r="F225" s="11" t="s">
        <v>1477</v>
      </c>
      <c r="G225" s="11" t="s">
        <v>1478</v>
      </c>
    </row>
    <row r="226" spans="1:7">
      <c r="A226" s="20">
        <v>46077</v>
      </c>
      <c r="B226" s="21">
        <v>8</v>
      </c>
      <c r="C226" s="11" t="s">
        <v>1478</v>
      </c>
      <c r="D226" s="11" t="s">
        <v>1478</v>
      </c>
      <c r="E226" s="11" t="s">
        <v>1478</v>
      </c>
      <c r="F226" s="11" t="s">
        <v>1477</v>
      </c>
      <c r="G226" s="11" t="s">
        <v>1478</v>
      </c>
    </row>
    <row r="227" spans="1:7">
      <c r="A227" s="20">
        <v>46078</v>
      </c>
      <c r="B227" s="21">
        <v>7</v>
      </c>
      <c r="C227" s="11" t="s">
        <v>1478</v>
      </c>
      <c r="D227" s="11" t="s">
        <v>1478</v>
      </c>
      <c r="E227" s="11" t="s">
        <v>1478</v>
      </c>
      <c r="F227" s="11" t="s">
        <v>1478</v>
      </c>
      <c r="G227" s="11" t="s">
        <v>1478</v>
      </c>
    </row>
    <row r="228" spans="1:7">
      <c r="A228" s="20">
        <v>46079</v>
      </c>
      <c r="B228" s="21">
        <v>8</v>
      </c>
      <c r="C228" s="11" t="s">
        <v>1477</v>
      </c>
      <c r="D228" s="11" t="s">
        <v>1478</v>
      </c>
      <c r="E228" s="11" t="s">
        <v>1478</v>
      </c>
      <c r="F228" s="11" t="s">
        <v>1478</v>
      </c>
      <c r="G228" s="11" t="s">
        <v>1478</v>
      </c>
    </row>
    <row r="229" spans="1:7">
      <c r="A229" s="20">
        <v>46080</v>
      </c>
      <c r="B229" s="21">
        <v>7</v>
      </c>
      <c r="C229" s="11" t="s">
        <v>1477</v>
      </c>
      <c r="D229" s="11" t="s">
        <v>1478</v>
      </c>
      <c r="E229" s="11" t="s">
        <v>1477</v>
      </c>
      <c r="F229" s="11" t="s">
        <v>1478</v>
      </c>
      <c r="G229" s="11" t="s">
        <v>1478</v>
      </c>
    </row>
    <row r="230" spans="1:7">
      <c r="A230" s="20">
        <v>46081</v>
      </c>
      <c r="B230" s="21">
        <v>8.5</v>
      </c>
      <c r="C230" s="11" t="s">
        <v>1478</v>
      </c>
      <c r="D230" s="11" t="s">
        <v>1478</v>
      </c>
      <c r="E230" s="11" t="s">
        <v>1478</v>
      </c>
      <c r="F230" s="11" t="s">
        <v>1478</v>
      </c>
      <c r="G230" s="11" t="s">
        <v>1477</v>
      </c>
    </row>
    <row r="231" spans="1:7">
      <c r="A231" s="20">
        <v>46082</v>
      </c>
      <c r="B231" s="21">
        <v>6</v>
      </c>
      <c r="C231" s="11" t="s">
        <v>1478</v>
      </c>
      <c r="D231" s="11" t="s">
        <v>1478</v>
      </c>
      <c r="E231" s="11" t="s">
        <v>1478</v>
      </c>
      <c r="F231" s="11" t="s">
        <v>1478</v>
      </c>
      <c r="G231" s="11" t="s">
        <v>1478</v>
      </c>
    </row>
    <row r="232" spans="1:7">
      <c r="A232" s="20">
        <v>46083</v>
      </c>
      <c r="B232" s="21">
        <v>5</v>
      </c>
      <c r="C232" s="11" t="s">
        <v>1478</v>
      </c>
      <c r="D232" s="11" t="s">
        <v>1478</v>
      </c>
      <c r="E232" s="11" t="s">
        <v>1477</v>
      </c>
      <c r="F232" s="11" t="s">
        <v>1478</v>
      </c>
      <c r="G232" s="11" t="s">
        <v>1478</v>
      </c>
    </row>
    <row r="233" spans="1:7">
      <c r="A233" s="20">
        <v>46084</v>
      </c>
      <c r="B233" s="21">
        <v>4</v>
      </c>
      <c r="C233" s="11" t="s">
        <v>1477</v>
      </c>
      <c r="D233" s="11" t="s">
        <v>1477</v>
      </c>
      <c r="E233" s="11" t="s">
        <v>1478</v>
      </c>
      <c r="F233" s="11" t="s">
        <v>1478</v>
      </c>
      <c r="G233" s="11" t="s">
        <v>1478</v>
      </c>
    </row>
    <row r="234" spans="1:7">
      <c r="A234" s="20">
        <v>46085</v>
      </c>
      <c r="B234" s="21">
        <v>6</v>
      </c>
      <c r="C234" s="11" t="s">
        <v>1477</v>
      </c>
      <c r="D234" s="11" t="s">
        <v>1478</v>
      </c>
      <c r="E234" s="11" t="s">
        <v>1477</v>
      </c>
      <c r="F234" s="11" t="s">
        <v>1478</v>
      </c>
      <c r="G234" s="11" t="s">
        <v>1478</v>
      </c>
    </row>
    <row r="235" spans="1:7">
      <c r="A235" s="20">
        <v>46086</v>
      </c>
      <c r="B235" s="21">
        <v>6</v>
      </c>
      <c r="C235" s="11" t="s">
        <v>1478</v>
      </c>
      <c r="D235" s="11" t="s">
        <v>1478</v>
      </c>
      <c r="E235" s="11" t="s">
        <v>1478</v>
      </c>
      <c r="F235" s="11" t="s">
        <v>1478</v>
      </c>
      <c r="G235" s="11" t="s">
        <v>1477</v>
      </c>
    </row>
    <row r="236" spans="1:7">
      <c r="A236" s="20">
        <v>46087</v>
      </c>
      <c r="B236" s="21">
        <v>6</v>
      </c>
      <c r="C236" s="11" t="s">
        <v>1478</v>
      </c>
      <c r="D236" s="11" t="s">
        <v>1478</v>
      </c>
      <c r="E236" s="11" t="s">
        <v>1478</v>
      </c>
      <c r="F236" s="11" t="s">
        <v>1478</v>
      </c>
      <c r="G236" s="11" t="s">
        <v>1478</v>
      </c>
    </row>
    <row r="237" spans="1:7">
      <c r="A237" s="20">
        <v>46088</v>
      </c>
      <c r="B237" s="21">
        <v>6.5</v>
      </c>
      <c r="C237" s="11" t="s">
        <v>1478</v>
      </c>
      <c r="D237" s="11" t="s">
        <v>1478</v>
      </c>
      <c r="E237" s="11" t="s">
        <v>1478</v>
      </c>
      <c r="F237" s="11" t="s">
        <v>1478</v>
      </c>
      <c r="G237" s="11" t="s">
        <v>1478</v>
      </c>
    </row>
    <row r="238" spans="1:7">
      <c r="A238" s="20">
        <v>46089</v>
      </c>
      <c r="B238" s="21">
        <v>7</v>
      </c>
      <c r="C238" s="11" t="s">
        <v>1478</v>
      </c>
      <c r="D238" s="11" t="s">
        <v>1478</v>
      </c>
      <c r="E238" s="11" t="s">
        <v>1478</v>
      </c>
      <c r="F238" s="11" t="s">
        <v>1478</v>
      </c>
      <c r="G238" s="11" t="s">
        <v>1478</v>
      </c>
    </row>
    <row r="239" spans="1:7">
      <c r="A239" s="20">
        <v>46090</v>
      </c>
      <c r="B239" s="21">
        <v>7</v>
      </c>
      <c r="C239" s="11" t="s">
        <v>1478</v>
      </c>
      <c r="D239" s="11" t="s">
        <v>1478</v>
      </c>
      <c r="E239" s="11" t="s">
        <v>1478</v>
      </c>
      <c r="F239" s="11" t="s">
        <v>1478</v>
      </c>
      <c r="G239" s="11" t="s">
        <v>1477</v>
      </c>
    </row>
    <row r="240" spans="1:7">
      <c r="A240" s="20">
        <v>46091</v>
      </c>
      <c r="B240" s="21">
        <v>6.5</v>
      </c>
      <c r="C240" s="11" t="s">
        <v>1478</v>
      </c>
      <c r="D240" s="11" t="s">
        <v>1477</v>
      </c>
      <c r="E240" s="11" t="s">
        <v>1477</v>
      </c>
      <c r="F240" s="11" t="s">
        <v>1478</v>
      </c>
      <c r="G240" s="11" t="s">
        <v>1477</v>
      </c>
    </row>
    <row r="241" spans="1:7">
      <c r="A241" s="20">
        <v>46092</v>
      </c>
      <c r="B241" s="21">
        <v>8</v>
      </c>
      <c r="C241" s="11" t="s">
        <v>1478</v>
      </c>
      <c r="D241" s="11" t="s">
        <v>1478</v>
      </c>
      <c r="E241" s="11" t="s">
        <v>1478</v>
      </c>
      <c r="F241" s="11" t="s">
        <v>1478</v>
      </c>
      <c r="G241" s="11" t="s">
        <v>1477</v>
      </c>
    </row>
    <row r="242" spans="1:7">
      <c r="A242" s="20">
        <v>46093</v>
      </c>
      <c r="B242" s="21">
        <v>8</v>
      </c>
      <c r="C242" s="11" t="s">
        <v>1478</v>
      </c>
      <c r="D242" s="11" t="s">
        <v>1477</v>
      </c>
      <c r="E242" s="11" t="s">
        <v>1478</v>
      </c>
      <c r="F242" s="11" t="s">
        <v>1478</v>
      </c>
      <c r="G242" s="11" t="s">
        <v>1477</v>
      </c>
    </row>
    <row r="243" spans="1:7">
      <c r="A243" s="20">
        <v>46094</v>
      </c>
      <c r="B243" s="21">
        <v>7</v>
      </c>
      <c r="C243" s="11" t="s">
        <v>1478</v>
      </c>
      <c r="D243" s="11" t="s">
        <v>1478</v>
      </c>
      <c r="E243" s="11" t="s">
        <v>1478</v>
      </c>
      <c r="F243" s="11" t="s">
        <v>1478</v>
      </c>
      <c r="G243" s="11" t="s">
        <v>1478</v>
      </c>
    </row>
    <row r="244" spans="1:7">
      <c r="A244" s="20">
        <v>46095</v>
      </c>
      <c r="B244" s="21">
        <v>8</v>
      </c>
      <c r="C244" s="11" t="s">
        <v>1478</v>
      </c>
      <c r="D244" s="11" t="s">
        <v>1478</v>
      </c>
      <c r="E244" s="11" t="s">
        <v>1477</v>
      </c>
      <c r="F244" s="11" t="s">
        <v>1478</v>
      </c>
      <c r="G244" s="11" t="s">
        <v>1477</v>
      </c>
    </row>
    <row r="245" spans="1:7">
      <c r="A245" s="20">
        <v>46096</v>
      </c>
      <c r="B245" s="21">
        <v>7</v>
      </c>
      <c r="C245" s="11" t="s">
        <v>1477</v>
      </c>
      <c r="D245" s="11" t="s">
        <v>1477</v>
      </c>
      <c r="E245" s="11" t="s">
        <v>1477</v>
      </c>
      <c r="F245" s="11" t="s">
        <v>1478</v>
      </c>
      <c r="G245" s="11" t="s">
        <v>1478</v>
      </c>
    </row>
    <row r="246" spans="1:7">
      <c r="A246" s="20">
        <v>46097</v>
      </c>
      <c r="B246" s="21">
        <v>6</v>
      </c>
      <c r="C246" s="11" t="s">
        <v>1477</v>
      </c>
      <c r="D246" s="11" t="s">
        <v>1478</v>
      </c>
      <c r="E246" s="11" t="s">
        <v>1477</v>
      </c>
      <c r="F246" s="11" t="s">
        <v>1478</v>
      </c>
      <c r="G246" s="11" t="s">
        <v>1477</v>
      </c>
    </row>
    <row r="247" spans="1:7">
      <c r="A247" s="20">
        <v>46098</v>
      </c>
      <c r="B247" s="21">
        <v>7</v>
      </c>
      <c r="C247" s="11" t="s">
        <v>1478</v>
      </c>
      <c r="D247" s="11" t="s">
        <v>1477</v>
      </c>
      <c r="E247" s="11" t="s">
        <v>1477</v>
      </c>
      <c r="F247" s="11" t="s">
        <v>1478</v>
      </c>
      <c r="G247" s="11" t="s">
        <v>1477</v>
      </c>
    </row>
    <row r="248" spans="1:7">
      <c r="A248" s="20">
        <v>46099</v>
      </c>
      <c r="B248" s="21">
        <v>6</v>
      </c>
      <c r="C248" s="11" t="s">
        <v>1478</v>
      </c>
      <c r="D248" s="11" t="s">
        <v>1477</v>
      </c>
      <c r="E248" s="11" t="s">
        <v>1478</v>
      </c>
      <c r="F248" s="11" t="s">
        <v>1478</v>
      </c>
      <c r="G248" s="11" t="s">
        <v>1478</v>
      </c>
    </row>
    <row r="249" spans="1:7">
      <c r="A249" s="20">
        <v>46100</v>
      </c>
      <c r="B249" s="21">
        <v>5</v>
      </c>
      <c r="C249" s="11" t="s">
        <v>1478</v>
      </c>
      <c r="D249" s="11" t="s">
        <v>1478</v>
      </c>
      <c r="E249" s="11" t="s">
        <v>1478</v>
      </c>
      <c r="F249" s="11" t="s">
        <v>1478</v>
      </c>
      <c r="G249" s="11" t="s">
        <v>1478</v>
      </c>
    </row>
    <row r="250" spans="1:7">
      <c r="A250" s="20">
        <v>46101</v>
      </c>
      <c r="B250" s="21">
        <v>6</v>
      </c>
      <c r="C250" s="11" t="s">
        <v>1477</v>
      </c>
      <c r="D250" s="11" t="s">
        <v>1478</v>
      </c>
      <c r="E250" s="11" t="s">
        <v>1477</v>
      </c>
      <c r="F250" s="11" t="s">
        <v>1478</v>
      </c>
      <c r="G250" s="11" t="s">
        <v>1478</v>
      </c>
    </row>
    <row r="251" spans="1:7">
      <c r="A251" s="20">
        <v>46102</v>
      </c>
      <c r="B251" s="21">
        <v>6</v>
      </c>
      <c r="C251" s="11" t="s">
        <v>1478</v>
      </c>
      <c r="D251" s="11" t="s">
        <v>1478</v>
      </c>
      <c r="E251" s="11" t="s">
        <v>1478</v>
      </c>
      <c r="F251" s="11" t="s">
        <v>1478</v>
      </c>
      <c r="G251" s="11" t="s">
        <v>1477</v>
      </c>
    </row>
    <row r="252" spans="1:7">
      <c r="A252" s="20">
        <v>46103</v>
      </c>
      <c r="B252" s="21">
        <v>7</v>
      </c>
      <c r="C252" s="11" t="s">
        <v>1477</v>
      </c>
      <c r="D252" s="11" t="s">
        <v>1478</v>
      </c>
      <c r="E252" s="11" t="s">
        <v>1477</v>
      </c>
      <c r="F252" s="11" t="s">
        <v>1478</v>
      </c>
      <c r="G252" s="11" t="s">
        <v>1478</v>
      </c>
    </row>
    <row r="253" spans="1:7">
      <c r="A253" s="20">
        <v>46104</v>
      </c>
      <c r="B253" s="21">
        <v>5</v>
      </c>
      <c r="C253" s="11" t="s">
        <v>1478</v>
      </c>
      <c r="D253" s="11" t="s">
        <v>1477</v>
      </c>
      <c r="E253" s="11" t="s">
        <v>1478</v>
      </c>
      <c r="F253" s="11" t="s">
        <v>1478</v>
      </c>
      <c r="G253" s="11" t="s">
        <v>1478</v>
      </c>
    </row>
    <row r="254" spans="1:7">
      <c r="A254" s="20">
        <v>46105</v>
      </c>
      <c r="B254" s="21">
        <v>6</v>
      </c>
      <c r="C254" s="11" t="s">
        <v>1477</v>
      </c>
      <c r="D254" s="11" t="s">
        <v>1478</v>
      </c>
      <c r="E254" s="11" t="s">
        <v>1477</v>
      </c>
      <c r="F254" s="11" t="s">
        <v>1477</v>
      </c>
      <c r="G254" s="11" t="s">
        <v>1478</v>
      </c>
    </row>
    <row r="255" spans="1:7">
      <c r="A255" s="20">
        <v>46106</v>
      </c>
      <c r="B255" s="21">
        <v>7.5</v>
      </c>
      <c r="C255" s="11" t="s">
        <v>1478</v>
      </c>
      <c r="D255" s="11" t="s">
        <v>1478</v>
      </c>
      <c r="E255" s="11" t="s">
        <v>1477</v>
      </c>
      <c r="F255" s="11" t="s">
        <v>1478</v>
      </c>
      <c r="G255" s="11" t="s">
        <v>1477</v>
      </c>
    </row>
    <row r="256" spans="1:7">
      <c r="A256" s="20">
        <v>46107</v>
      </c>
      <c r="B256" s="21">
        <v>6</v>
      </c>
      <c r="C256" s="11" t="s">
        <v>1478</v>
      </c>
      <c r="D256" s="11" t="s">
        <v>1478</v>
      </c>
      <c r="E256" s="11" t="s">
        <v>1478</v>
      </c>
      <c r="F256" s="11" t="s">
        <v>1478</v>
      </c>
      <c r="G256" s="11" t="s">
        <v>1478</v>
      </c>
    </row>
    <row r="257" spans="1:7">
      <c r="A257" s="20">
        <v>46108</v>
      </c>
      <c r="B257" s="21">
        <v>7</v>
      </c>
      <c r="C257" s="11" t="s">
        <v>1478</v>
      </c>
      <c r="D257" s="11" t="s">
        <v>1478</v>
      </c>
      <c r="E257" s="11" t="s">
        <v>1478</v>
      </c>
      <c r="F257" s="11" t="s">
        <v>1478</v>
      </c>
      <c r="G257" s="11" t="s">
        <v>1478</v>
      </c>
    </row>
    <row r="258" spans="1:7">
      <c r="A258" s="20">
        <v>46109</v>
      </c>
      <c r="B258" s="21">
        <v>8</v>
      </c>
      <c r="C258" s="11" t="s">
        <v>1478</v>
      </c>
      <c r="D258" s="11" t="s">
        <v>1477</v>
      </c>
      <c r="E258" s="11" t="s">
        <v>1477</v>
      </c>
      <c r="F258" s="11" t="s">
        <v>1478</v>
      </c>
      <c r="G258" s="11" t="s">
        <v>1477</v>
      </c>
    </row>
    <row r="259" spans="1:7">
      <c r="A259" s="20">
        <v>46110</v>
      </c>
      <c r="B259" s="21">
        <v>6</v>
      </c>
      <c r="C259" s="11" t="s">
        <v>1478</v>
      </c>
      <c r="D259" s="11" t="s">
        <v>1478</v>
      </c>
      <c r="E259" s="11" t="s">
        <v>1478</v>
      </c>
      <c r="F259" s="11" t="s">
        <v>1478</v>
      </c>
      <c r="G259" s="11" t="s">
        <v>1477</v>
      </c>
    </row>
    <row r="260" spans="1:7">
      <c r="A260" s="20">
        <v>46111</v>
      </c>
      <c r="B260" s="21">
        <v>6</v>
      </c>
      <c r="C260" s="11" t="s">
        <v>1478</v>
      </c>
      <c r="D260" s="11" t="s">
        <v>1478</v>
      </c>
      <c r="E260" s="11" t="s">
        <v>1477</v>
      </c>
      <c r="F260" s="11" t="s">
        <v>1478</v>
      </c>
      <c r="G260" s="11" t="s">
        <v>1477</v>
      </c>
    </row>
    <row r="261" spans="1:7">
      <c r="A261" s="20">
        <v>46112</v>
      </c>
      <c r="B261" s="21">
        <v>7</v>
      </c>
      <c r="C261" s="11" t="s">
        <v>1478</v>
      </c>
      <c r="D261" s="11" t="s">
        <v>1477</v>
      </c>
      <c r="E261" s="11" t="s">
        <v>1477</v>
      </c>
      <c r="F261" s="11" t="s">
        <v>1478</v>
      </c>
      <c r="G261" s="11" t="s">
        <v>1478</v>
      </c>
    </row>
  </sheetData>
  <autoFilter ref="A1:G261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6"/>
  <sheetViews>
    <sheetView workbookViewId="0"/>
  </sheetViews>
  <sheetFormatPr baseColWidth="10" defaultColWidth="11.1640625" defaultRowHeight="15" customHeight="1"/>
  <sheetData>
    <row r="1" spans="1:3">
      <c r="A1" s="1" t="s">
        <v>1479</v>
      </c>
      <c r="B1" s="1" t="s">
        <v>1480</v>
      </c>
      <c r="C1" s="1" t="s">
        <v>1481</v>
      </c>
    </row>
    <row r="2" spans="1:3">
      <c r="A2" s="19" t="s">
        <v>1472</v>
      </c>
      <c r="B2" s="1">
        <v>6.2724137931034489</v>
      </c>
      <c r="C2" s="1">
        <f>COUNTIF(jdr!C2:C261,"Yes")</f>
        <v>87</v>
      </c>
    </row>
    <row r="3" spans="1:3">
      <c r="A3" s="19" t="s">
        <v>1473</v>
      </c>
      <c r="B3" s="1">
        <v>6.6181818181818182</v>
      </c>
      <c r="C3" s="1">
        <f>COUNTIF(jdr!D1:D261,"Yes")</f>
        <v>44</v>
      </c>
    </row>
    <row r="4" spans="1:3">
      <c r="A4" s="19" t="s">
        <v>1474</v>
      </c>
      <c r="B4" s="1">
        <v>6.2357798165137615</v>
      </c>
      <c r="C4" s="1">
        <f>COUNTIF(jdr!E2:E261,"Yes")</f>
        <v>109</v>
      </c>
    </row>
    <row r="5" spans="1:3">
      <c r="A5" s="19" t="s">
        <v>1475</v>
      </c>
      <c r="B5" s="1">
        <v>6.2321428571428568</v>
      </c>
      <c r="C5" s="1">
        <f>COUNTIF(jdr!F1:F261,"Yes")</f>
        <v>29</v>
      </c>
    </row>
    <row r="6" spans="1:3">
      <c r="A6" s="19" t="s">
        <v>1476</v>
      </c>
      <c r="B6" s="1">
        <v>6.2735849056603774</v>
      </c>
      <c r="C6" s="1">
        <f>COUNTIF(jdr!G2:G261,"Yes")</f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raw_data</vt:lpstr>
      <vt:lpstr>whr</vt:lpstr>
      <vt:lpstr>country region mapping</vt:lpstr>
      <vt:lpstr>jdr</vt:lpstr>
      <vt:lpstr>jdr_habitavgs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Rippe, Jaelin</cp:lastModifiedBy>
  <dcterms:created xsi:type="dcterms:W3CDTF">2026-05-08T23:41:33Z</dcterms:created>
  <dcterms:modified xsi:type="dcterms:W3CDTF">2026-05-08T23:44:21Z</dcterms:modified>
</cp:coreProperties>
</file>